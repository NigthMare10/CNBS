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Dell\Desktop\OneDrive - Cámara Hondureña de Aseguradores\Documentos\Estadísticas Mercado\"/>
    </mc:Choice>
  </mc:AlternateContent>
  <xr:revisionPtr revIDLastSave="0" documentId="13_ncr:1_{406FC311-3434-45EF-A80E-55E1C70B6F05}" xr6:coauthVersionLast="47" xr6:coauthVersionMax="47" xr10:uidLastSave="{00000000-0000-0000-0000-000000000000}"/>
  <bookViews>
    <workbookView xWindow="-120" yWindow="-120" windowWidth="20730" windowHeight="11040" tabRatio="857" activeTab="1" xr2:uid="{00000000-000D-0000-FFFF-FFFF00000000}"/>
  </bookViews>
  <sheets>
    <sheet name="Gráficos" sheetId="56" r:id="rId1"/>
    <sheet name="1. Ramos Totales" sheetId="1" r:id="rId2"/>
    <sheet name="2. Vida" sheetId="5" r:id="rId3"/>
    <sheet name="2.1 Vida Individual" sheetId="49" r:id="rId4"/>
    <sheet name="2.2 Vida Colectivo" sheetId="50" r:id="rId5"/>
    <sheet name="3. Accidentes y Enfermedades" sheetId="6" r:id="rId6"/>
    <sheet name="3.1 Salud y Hospitalización" sheetId="51" r:id="rId7"/>
    <sheet name="3.2 Accidentes Personales" sheetId="52" r:id="rId8"/>
    <sheet name="4. Incendio y Líneas Aliadas" sheetId="7" r:id="rId9"/>
    <sheet name="5. Vehículos Automotores" sheetId="8" r:id="rId10"/>
    <sheet name="6. Otros Seguros Generales" sheetId="9" r:id="rId11"/>
    <sheet name="6.1 Transporte" sheetId="38" r:id="rId12"/>
    <sheet name="6.2 Responsabilidad Civil" sheetId="39" r:id="rId13"/>
    <sheet name="6.3 Equipo Electrónico" sheetId="40" r:id="rId14"/>
    <sheet name="7. Fianzas" sheetId="10" r:id="rId15"/>
    <sheet name="8. Primas y Siniestros Totales" sheetId="11" r:id="rId16"/>
    <sheet name="9. Primas y Siniestros NO VIDA" sheetId="13" r:id="rId17"/>
    <sheet name="1. Utilidad" sheetId="16" r:id="rId18"/>
    <sheet name="2. Ingresos Financieros" sheetId="17" r:id="rId19"/>
    <sheet name="3. Reserva Técnica y Matemática" sheetId="29" r:id="rId20"/>
    <sheet name="4. Primas Por Cobrar" sheetId="19" r:id="rId21"/>
    <sheet name="5. Activos Totales" sheetId="20" r:id="rId22"/>
    <sheet name="6. Patrimonio" sheetId="21" r:id="rId23"/>
    <sheet name="7. Primas Cedidas " sheetId="22" r:id="rId24"/>
    <sheet name="7.1 Primas Retenidas" sheetId="54" r:id="rId25"/>
    <sheet name="8. Gastos Adq Negocio" sheetId="23" r:id="rId26"/>
    <sheet name="8.1 Gastos de Intermediación" sheetId="53" r:id="rId27"/>
    <sheet name="9. Siniestralidad Retenida" sheetId="24" r:id="rId28"/>
    <sheet name="10. Índice Solidez" sheetId="25" r:id="rId29"/>
    <sheet name="11. Índice Eficiencia Adm" sheetId="26" r:id="rId30"/>
    <sheet name="12. ROE" sheetId="41" r:id="rId31"/>
    <sheet name="13. ROA" sheetId="42" r:id="rId32"/>
    <sheet name="14.Índice Combinado" sheetId="44" r:id="rId33"/>
    <sheet name="Ranking del Sistema" sheetId="27" r:id="rId34"/>
    <sheet name="Índice Combinado Diciembre 2024" sheetId="43" r:id="rId35"/>
    <sheet name="Índice Combinado Dic. 2025  " sheetId="45" r:id="rId36"/>
    <sheet name="Primas Diciembre 2025" sheetId="30" r:id="rId37"/>
    <sheet name="Siniestros Diciembre  2025" sheetId="31" r:id="rId38"/>
    <sheet name="descarga app P&amp;S" sheetId="46" r:id="rId39"/>
    <sheet name="Balance Diciembre 2025" sheetId="32" r:id="rId40"/>
    <sheet name="descarga BG" sheetId="47" state="hidden" r:id="rId41"/>
    <sheet name="ER Diciembre 2025" sheetId="33" r:id="rId42"/>
    <sheet name="descarga ER" sheetId="48" state="hidden" r:id="rId43"/>
    <sheet name="Primas Diciembre 2024" sheetId="34" r:id="rId44"/>
    <sheet name="Siniestros Diciembre 2024" sheetId="35" r:id="rId45"/>
    <sheet name="ER diciembre 2024" sheetId="37" r:id="rId46"/>
    <sheet name="Balance diciembre 2024" sheetId="36" r:id="rId47"/>
  </sheets>
  <definedNames>
    <definedName name="_xlnm._FilterDatabase" localSheetId="30" hidden="1">'12. ROE'!$B$9:$F$21</definedName>
    <definedName name="_xlnm._FilterDatabase" localSheetId="19" hidden="1">'3. Reserva Técnica y Matemática'!$B$9:$J$21</definedName>
    <definedName name="_xlnm._FilterDatabase" localSheetId="10" hidden="1">'6. Otros Seguros Generales'!$B$9:$N$21</definedName>
    <definedName name="_xlnm._FilterDatabase" localSheetId="12" hidden="1">'6.2 Responsabilidad Civil'!$B$9:$N$21</definedName>
    <definedName name="_xlnm._FilterDatabase" localSheetId="16" hidden="1">'9. Primas y Siniestros NO VIDA'!$B$9:$N$21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 r="F32" i="1"/>
  <c r="D16" i="47" l="1"/>
  <c r="C37" i="47"/>
  <c r="H20" i="49"/>
  <c r="V54" i="31"/>
  <c r="V55" i="31"/>
  <c r="G27" i="33"/>
  <c r="X61" i="31"/>
  <c r="N16" i="48" l="1"/>
  <c r="M25" i="33" l="1"/>
  <c r="M26" i="33"/>
  <c r="M27" i="33"/>
  <c r="M28" i="33"/>
  <c r="M29" i="33"/>
  <c r="M30" i="33"/>
  <c r="M31" i="33"/>
  <c r="M32" i="33"/>
  <c r="M33" i="33"/>
  <c r="M34" i="33"/>
  <c r="M35" i="33"/>
  <c r="M24" i="33"/>
  <c r="M13" i="33"/>
  <c r="M14" i="33"/>
  <c r="M15" i="33"/>
  <c r="M16" i="33"/>
  <c r="M17" i="33"/>
  <c r="M18" i="33"/>
  <c r="M19" i="33"/>
  <c r="M20" i="33"/>
  <c r="M12" i="33"/>
  <c r="O53" i="32"/>
  <c r="O49" i="32"/>
  <c r="O42" i="32"/>
  <c r="O43" i="32"/>
  <c r="O44" i="32"/>
  <c r="O45" i="32"/>
  <c r="O41" i="32"/>
  <c r="O30" i="32"/>
  <c r="O31" i="32"/>
  <c r="O32" i="32"/>
  <c r="O33" i="32"/>
  <c r="O34" i="32"/>
  <c r="O35" i="32"/>
  <c r="O36" i="32"/>
  <c r="O37" i="32"/>
  <c r="O29" i="32"/>
  <c r="O23" i="32"/>
  <c r="O13" i="32"/>
  <c r="O14" i="32"/>
  <c r="O15" i="32"/>
  <c r="O16" i="32"/>
  <c r="O17" i="32"/>
  <c r="O18" i="32"/>
  <c r="O19" i="32"/>
  <c r="O20" i="32"/>
  <c r="O21" i="32"/>
  <c r="O12" i="32"/>
  <c r="D27" i="47"/>
  <c r="D17" i="47"/>
  <c r="O27" i="32" s="1"/>
  <c r="D4" i="47"/>
  <c r="O25" i="32" s="1"/>
  <c r="X58" i="31"/>
  <c r="X59" i="31"/>
  <c r="X57" i="31"/>
  <c r="X55" i="31"/>
  <c r="X52" i="31"/>
  <c r="X53" i="31"/>
  <c r="X54" i="31"/>
  <c r="X51" i="31"/>
  <c r="X23" i="31"/>
  <c r="X24" i="31"/>
  <c r="X25" i="31"/>
  <c r="X26" i="31"/>
  <c r="X27" i="31"/>
  <c r="X28" i="31"/>
  <c r="X29" i="31"/>
  <c r="X30" i="31"/>
  <c r="X31" i="31"/>
  <c r="X32" i="31"/>
  <c r="X33" i="31"/>
  <c r="X34" i="31"/>
  <c r="X35" i="31"/>
  <c r="X36" i="31"/>
  <c r="X37" i="31"/>
  <c r="X38" i="31"/>
  <c r="X39" i="31"/>
  <c r="X40" i="31"/>
  <c r="X41" i="31"/>
  <c r="X42" i="31"/>
  <c r="X43" i="31"/>
  <c r="X44" i="31"/>
  <c r="X22" i="31"/>
  <c r="X20" i="31"/>
  <c r="X18" i="31"/>
  <c r="X19" i="31"/>
  <c r="X17" i="31"/>
  <c r="X15" i="31"/>
  <c r="H17" i="51" s="1"/>
  <c r="X13" i="31"/>
  <c r="X14" i="31"/>
  <c r="X12" i="31"/>
  <c r="M61" i="30"/>
  <c r="M58" i="30"/>
  <c r="M59" i="30"/>
  <c r="M57" i="30"/>
  <c r="M52" i="30"/>
  <c r="M53" i="30"/>
  <c r="M54" i="30"/>
  <c r="M55" i="30"/>
  <c r="M51" i="30"/>
  <c r="M24" i="30"/>
  <c r="M25" i="30"/>
  <c r="M26" i="30"/>
  <c r="M27" i="30"/>
  <c r="M28" i="30"/>
  <c r="M29" i="30"/>
  <c r="M30" i="30"/>
  <c r="M31" i="30"/>
  <c r="M32" i="30"/>
  <c r="M33" i="30"/>
  <c r="M34" i="30"/>
  <c r="M35" i="30"/>
  <c r="M36" i="30"/>
  <c r="M37" i="30"/>
  <c r="M38" i="30"/>
  <c r="M39" i="30"/>
  <c r="M40" i="30"/>
  <c r="M41" i="30"/>
  <c r="M42" i="30"/>
  <c r="M43" i="30"/>
  <c r="M44" i="30"/>
  <c r="M23" i="30"/>
  <c r="M22" i="30"/>
  <c r="M18" i="30"/>
  <c r="M19" i="30"/>
  <c r="M20" i="30"/>
  <c r="M17" i="30"/>
  <c r="M13" i="30"/>
  <c r="M14" i="30"/>
  <c r="M15" i="30"/>
  <c r="D17" i="51" s="1"/>
  <c r="M12" i="30"/>
  <c r="O39" i="32" l="1"/>
  <c r="D33" i="47"/>
  <c r="O10" i="32"/>
  <c r="V61" i="31"/>
  <c r="D35" i="47" l="1"/>
  <c r="O51" i="32" s="1"/>
  <c r="O47" i="32"/>
  <c r="G26" i="33"/>
  <c r="C34" i="36" l="1"/>
  <c r="J27" i="47" l="1"/>
  <c r="C39" i="20" l="1"/>
  <c r="C41" i="20"/>
  <c r="C38" i="20"/>
  <c r="C40" i="20"/>
  <c r="C36" i="20"/>
  <c r="C33" i="20"/>
  <c r="C35" i="20"/>
  <c r="C37" i="20"/>
  <c r="C31" i="20"/>
  <c r="C32" i="20"/>
  <c r="C34" i="20"/>
  <c r="C30" i="20"/>
  <c r="B39" i="20"/>
  <c r="B41" i="20"/>
  <c r="B38" i="20"/>
  <c r="B40" i="20"/>
  <c r="B36" i="20"/>
  <c r="B33" i="20"/>
  <c r="B35" i="20"/>
  <c r="B37" i="20"/>
  <c r="B31" i="20"/>
  <c r="B32" i="20"/>
  <c r="B34" i="20"/>
  <c r="B30" i="20"/>
  <c r="H29" i="20"/>
  <c r="G29" i="20"/>
  <c r="D29" i="20"/>
  <c r="C29" i="20"/>
  <c r="L61" i="30"/>
  <c r="C42" i="20" l="1"/>
  <c r="L12" i="30" l="1"/>
  <c r="L13" i="30"/>
  <c r="L14" i="30"/>
  <c r="L15" i="30"/>
  <c r="L17" i="30"/>
  <c r="L18" i="30"/>
  <c r="L19" i="30"/>
  <c r="L20" i="30"/>
  <c r="L22" i="30"/>
  <c r="L23" i="30"/>
  <c r="L24" i="30"/>
  <c r="L25" i="30"/>
  <c r="L26" i="30"/>
  <c r="L27" i="30"/>
  <c r="L28" i="30"/>
  <c r="L29" i="30"/>
  <c r="L30" i="30"/>
  <c r="L31" i="30"/>
  <c r="L32" i="30"/>
  <c r="L33" i="30"/>
  <c r="L34" i="30"/>
  <c r="L35" i="30"/>
  <c r="L36" i="30"/>
  <c r="L37" i="30"/>
  <c r="L38" i="30"/>
  <c r="L39" i="30"/>
  <c r="L40" i="30"/>
  <c r="L41" i="30"/>
  <c r="L42" i="30"/>
  <c r="L43" i="30"/>
  <c r="L44" i="30"/>
  <c r="L51" i="30"/>
  <c r="P9" i="5"/>
  <c r="O9" i="5"/>
  <c r="P9" i="10"/>
  <c r="O9" i="10"/>
  <c r="P9" i="40"/>
  <c r="O9" i="40"/>
  <c r="P9" i="39"/>
  <c r="O9" i="39"/>
  <c r="P9" i="38"/>
  <c r="O9" i="38"/>
  <c r="P9" i="9"/>
  <c r="O9" i="9"/>
  <c r="P9" i="8"/>
  <c r="O9" i="8"/>
  <c r="P9" i="7"/>
  <c r="O9" i="7"/>
  <c r="P9" i="52"/>
  <c r="O9" i="52"/>
  <c r="P9" i="51"/>
  <c r="O9" i="51"/>
  <c r="P9" i="6"/>
  <c r="O9" i="6"/>
  <c r="P9" i="50"/>
  <c r="O9" i="50"/>
  <c r="P9" i="49"/>
  <c r="O9" i="49"/>
  <c r="P57" i="31" l="1"/>
  <c r="G15" i="39" l="1"/>
  <c r="G16" i="39"/>
  <c r="C15" i="39"/>
  <c r="C13" i="40"/>
  <c r="C11" i="40"/>
  <c r="G11" i="40"/>
  <c r="H13" i="30" l="1"/>
  <c r="H14" i="30"/>
  <c r="H15" i="30"/>
  <c r="H12" i="30"/>
  <c r="I17" i="47" l="1"/>
  <c r="G13" i="49" l="1"/>
  <c r="C11" i="19"/>
  <c r="E57" i="35"/>
  <c r="C18" i="38"/>
  <c r="C12" i="33" l="1"/>
  <c r="D12" i="33"/>
  <c r="E12" i="33"/>
  <c r="F12" i="33"/>
  <c r="G12" i="33"/>
  <c r="H12" i="33"/>
  <c r="I12" i="33"/>
  <c r="J12" i="33"/>
  <c r="K12" i="33"/>
  <c r="L12" i="33"/>
  <c r="N12" i="33"/>
  <c r="C13" i="33"/>
  <c r="D13" i="33"/>
  <c r="E13" i="33"/>
  <c r="F13" i="33"/>
  <c r="G13" i="33"/>
  <c r="H13" i="33"/>
  <c r="I13" i="33"/>
  <c r="J13" i="33"/>
  <c r="K13" i="33"/>
  <c r="L13" i="33"/>
  <c r="N13" i="33"/>
  <c r="C14" i="33"/>
  <c r="D14" i="33"/>
  <c r="E14" i="33"/>
  <c r="F14" i="33"/>
  <c r="G14" i="33"/>
  <c r="H14" i="33"/>
  <c r="I14" i="33"/>
  <c r="J14" i="33"/>
  <c r="K14" i="33"/>
  <c r="L14" i="33"/>
  <c r="N14" i="33"/>
  <c r="C15" i="33"/>
  <c r="D15" i="33"/>
  <c r="E15" i="33"/>
  <c r="F15" i="33"/>
  <c r="G15" i="33"/>
  <c r="H15" i="33"/>
  <c r="I15" i="33"/>
  <c r="J15" i="33"/>
  <c r="K15" i="33"/>
  <c r="L15" i="33"/>
  <c r="N15" i="33"/>
  <c r="C16" i="33"/>
  <c r="D16" i="33"/>
  <c r="E16" i="33"/>
  <c r="F16" i="33"/>
  <c r="G16" i="33"/>
  <c r="H16" i="33"/>
  <c r="I16" i="33"/>
  <c r="J16" i="33"/>
  <c r="K16" i="33"/>
  <c r="L16" i="33"/>
  <c r="N16" i="33"/>
  <c r="C17" i="33"/>
  <c r="D17" i="33"/>
  <c r="E17" i="33"/>
  <c r="F17" i="33"/>
  <c r="G17" i="33"/>
  <c r="H17" i="33"/>
  <c r="I17" i="33"/>
  <c r="J17" i="33"/>
  <c r="K17" i="33"/>
  <c r="L17" i="33"/>
  <c r="N17" i="33"/>
  <c r="C18" i="33"/>
  <c r="D18" i="33"/>
  <c r="E18" i="33"/>
  <c r="F18" i="33"/>
  <c r="G18" i="33"/>
  <c r="H18" i="33"/>
  <c r="I18" i="33"/>
  <c r="J18" i="33"/>
  <c r="K18" i="33"/>
  <c r="L18" i="33"/>
  <c r="N18" i="33"/>
  <c r="C19" i="33"/>
  <c r="D19" i="33"/>
  <c r="E19" i="33"/>
  <c r="F19" i="33"/>
  <c r="G19" i="33"/>
  <c r="H19" i="33"/>
  <c r="I19" i="33"/>
  <c r="J19" i="33"/>
  <c r="K19" i="33"/>
  <c r="L19" i="33"/>
  <c r="N19" i="33"/>
  <c r="C20" i="33"/>
  <c r="D20" i="33"/>
  <c r="E20" i="33"/>
  <c r="F20" i="33"/>
  <c r="G20" i="33"/>
  <c r="H20" i="33"/>
  <c r="I20" i="33"/>
  <c r="J20" i="33"/>
  <c r="K20" i="33"/>
  <c r="L20" i="33"/>
  <c r="N20" i="33"/>
  <c r="C24" i="33"/>
  <c r="D24" i="33"/>
  <c r="E24" i="33"/>
  <c r="F24" i="33"/>
  <c r="G24" i="33"/>
  <c r="H24" i="33"/>
  <c r="I24" i="33"/>
  <c r="J24" i="33"/>
  <c r="K24" i="33"/>
  <c r="L24" i="33"/>
  <c r="N24" i="33"/>
  <c r="C25" i="33"/>
  <c r="D25" i="33"/>
  <c r="E25" i="33"/>
  <c r="F25" i="33"/>
  <c r="G25" i="33"/>
  <c r="H25" i="33"/>
  <c r="I25" i="33"/>
  <c r="J25" i="33"/>
  <c r="K25" i="33"/>
  <c r="L25" i="33"/>
  <c r="N25" i="33"/>
  <c r="C26" i="33"/>
  <c r="D26" i="33"/>
  <c r="E26" i="33"/>
  <c r="F26" i="33"/>
  <c r="H26" i="33"/>
  <c r="I26" i="33"/>
  <c r="J26" i="33"/>
  <c r="K26" i="33"/>
  <c r="L26" i="33"/>
  <c r="N26" i="33"/>
  <c r="C27" i="33"/>
  <c r="D27" i="33"/>
  <c r="E27" i="33"/>
  <c r="F27" i="33"/>
  <c r="H27" i="33"/>
  <c r="I27" i="33"/>
  <c r="J27" i="33"/>
  <c r="K27" i="33"/>
  <c r="L27" i="33"/>
  <c r="N27" i="33"/>
  <c r="C28" i="33"/>
  <c r="D28" i="33"/>
  <c r="E28" i="33"/>
  <c r="F28" i="33"/>
  <c r="G28" i="33"/>
  <c r="H28" i="33"/>
  <c r="I28" i="33"/>
  <c r="J28" i="33"/>
  <c r="K28" i="33"/>
  <c r="L28" i="33"/>
  <c r="N28" i="33"/>
  <c r="C29" i="33"/>
  <c r="D29" i="33"/>
  <c r="E29" i="33"/>
  <c r="F29" i="33"/>
  <c r="G29" i="33"/>
  <c r="H29" i="33"/>
  <c r="I29" i="33"/>
  <c r="J29" i="33"/>
  <c r="K29" i="33"/>
  <c r="L29" i="33"/>
  <c r="N29" i="33"/>
  <c r="C30" i="33"/>
  <c r="D30" i="33"/>
  <c r="E30" i="33"/>
  <c r="F30" i="33"/>
  <c r="G30" i="33"/>
  <c r="H30" i="33"/>
  <c r="I30" i="33"/>
  <c r="J30" i="33"/>
  <c r="K30" i="33"/>
  <c r="L30" i="33"/>
  <c r="N30" i="33"/>
  <c r="C31" i="33"/>
  <c r="D31" i="33"/>
  <c r="E31" i="33"/>
  <c r="F31" i="33"/>
  <c r="G31" i="33"/>
  <c r="H31" i="33"/>
  <c r="I31" i="33"/>
  <c r="J31" i="33"/>
  <c r="K31" i="33"/>
  <c r="L31" i="33"/>
  <c r="N31" i="33"/>
  <c r="C32" i="33"/>
  <c r="D32" i="33"/>
  <c r="E32" i="33"/>
  <c r="F32" i="33"/>
  <c r="G32" i="33"/>
  <c r="H32" i="33"/>
  <c r="I32" i="33"/>
  <c r="J32" i="33"/>
  <c r="K32" i="33"/>
  <c r="L32" i="33"/>
  <c r="N32" i="33"/>
  <c r="C33" i="33"/>
  <c r="D33" i="33"/>
  <c r="E33" i="33"/>
  <c r="F33" i="33"/>
  <c r="G33" i="33"/>
  <c r="H33" i="33"/>
  <c r="I33" i="33"/>
  <c r="J33" i="33"/>
  <c r="K33" i="33"/>
  <c r="L33" i="33"/>
  <c r="N33" i="33"/>
  <c r="C34" i="33"/>
  <c r="D34" i="33"/>
  <c r="E34" i="33"/>
  <c r="F34" i="33"/>
  <c r="G34" i="33"/>
  <c r="H34" i="33"/>
  <c r="I34" i="33"/>
  <c r="J34" i="33"/>
  <c r="K34" i="33"/>
  <c r="L34" i="33"/>
  <c r="N34" i="33"/>
  <c r="C35" i="33"/>
  <c r="D35" i="33"/>
  <c r="E35" i="33"/>
  <c r="F35" i="33"/>
  <c r="G35" i="33"/>
  <c r="H35" i="33"/>
  <c r="I35" i="33"/>
  <c r="J35" i="33"/>
  <c r="K35" i="33"/>
  <c r="L35" i="33"/>
  <c r="N35" i="33"/>
  <c r="B29" i="33" l="1"/>
  <c r="D16" i="48"/>
  <c r="M22" i="33" s="1"/>
  <c r="D4" i="48"/>
  <c r="M10" i="33" s="1"/>
  <c r="D9" i="44"/>
  <c r="C9" i="44"/>
  <c r="D9" i="42"/>
  <c r="C9" i="42"/>
  <c r="D9" i="41"/>
  <c r="C9" i="41"/>
  <c r="D9" i="26"/>
  <c r="C9" i="26"/>
  <c r="D9" i="25"/>
  <c r="C9" i="25"/>
  <c r="D9" i="24"/>
  <c r="C9" i="24"/>
  <c r="H9" i="53"/>
  <c r="G9" i="53"/>
  <c r="D9" i="53"/>
  <c r="C9" i="53"/>
  <c r="H9" i="23"/>
  <c r="G9" i="23"/>
  <c r="D9" i="23"/>
  <c r="C9" i="23"/>
  <c r="H9" i="54"/>
  <c r="G9" i="54"/>
  <c r="D9" i="54"/>
  <c r="C9" i="54"/>
  <c r="H9" i="22"/>
  <c r="G9" i="22"/>
  <c r="D9" i="22"/>
  <c r="C9" i="22"/>
  <c r="H9" i="21"/>
  <c r="G9" i="21"/>
  <c r="D9" i="21"/>
  <c r="C9" i="21"/>
  <c r="H9" i="20"/>
  <c r="G9" i="20"/>
  <c r="D9" i="20"/>
  <c r="C9" i="20"/>
  <c r="H9" i="19"/>
  <c r="G9" i="19"/>
  <c r="D9" i="19"/>
  <c r="C9" i="19"/>
  <c r="H9" i="29"/>
  <c r="G9" i="29"/>
  <c r="D9" i="29"/>
  <c r="C9" i="29"/>
  <c r="H9" i="17"/>
  <c r="G9" i="17"/>
  <c r="D9" i="17"/>
  <c r="C9" i="17"/>
  <c r="H9" i="16"/>
  <c r="G9" i="16"/>
  <c r="D9" i="16"/>
  <c r="C9" i="16"/>
  <c r="L9" i="13"/>
  <c r="K9" i="13"/>
  <c r="H9" i="13"/>
  <c r="G9" i="13"/>
  <c r="D9" i="13"/>
  <c r="C9" i="13"/>
  <c r="P9" i="11"/>
  <c r="O9" i="11"/>
  <c r="L9" i="11"/>
  <c r="K9" i="11"/>
  <c r="H9" i="11"/>
  <c r="G9" i="11"/>
  <c r="D9" i="11"/>
  <c r="C9" i="11"/>
  <c r="L9" i="10"/>
  <c r="K9" i="10"/>
  <c r="H9" i="10"/>
  <c r="G9" i="10"/>
  <c r="D9" i="10"/>
  <c r="C9" i="10"/>
  <c r="L9" i="40"/>
  <c r="K9" i="40"/>
  <c r="H9" i="40"/>
  <c r="G9" i="40"/>
  <c r="D9" i="40"/>
  <c r="C9" i="40"/>
  <c r="L9" i="39"/>
  <c r="K9" i="39"/>
  <c r="H9" i="39"/>
  <c r="G9" i="39"/>
  <c r="D9" i="39"/>
  <c r="C9" i="39"/>
  <c r="L9" i="38"/>
  <c r="K9" i="38"/>
  <c r="H9" i="38"/>
  <c r="G9" i="38"/>
  <c r="D9" i="38"/>
  <c r="C9" i="38"/>
  <c r="L9" i="9"/>
  <c r="K9" i="9"/>
  <c r="H9" i="9"/>
  <c r="G9" i="9"/>
  <c r="D9" i="9"/>
  <c r="C9" i="9"/>
  <c r="L9" i="8"/>
  <c r="K9" i="8"/>
  <c r="H9" i="8"/>
  <c r="G9" i="8"/>
  <c r="D9" i="8"/>
  <c r="C9" i="8"/>
  <c r="L9" i="7"/>
  <c r="K9" i="7"/>
  <c r="H9" i="7"/>
  <c r="G9" i="7"/>
  <c r="D9" i="7"/>
  <c r="C9" i="7"/>
  <c r="L9" i="52"/>
  <c r="K9" i="52"/>
  <c r="H9" i="52"/>
  <c r="G9" i="52"/>
  <c r="D9" i="52"/>
  <c r="C9" i="52"/>
  <c r="L9" i="51"/>
  <c r="K9" i="51"/>
  <c r="H9" i="51"/>
  <c r="G9" i="51"/>
  <c r="D9" i="51"/>
  <c r="C9" i="51"/>
  <c r="L9" i="6"/>
  <c r="K9" i="6"/>
  <c r="H9" i="6"/>
  <c r="G9" i="6"/>
  <c r="D9" i="6"/>
  <c r="C9" i="6"/>
  <c r="L9" i="50"/>
  <c r="K9" i="50"/>
  <c r="H9" i="50"/>
  <c r="G9" i="50"/>
  <c r="D9" i="50"/>
  <c r="C9" i="50"/>
  <c r="L9" i="49"/>
  <c r="K9" i="49"/>
  <c r="H9" i="49"/>
  <c r="G9" i="49"/>
  <c r="D9" i="49"/>
  <c r="C9" i="49"/>
  <c r="L9" i="5"/>
  <c r="K9" i="5"/>
  <c r="H9" i="5"/>
  <c r="G9" i="5"/>
  <c r="D9" i="5"/>
  <c r="C9" i="5"/>
  <c r="O9" i="1"/>
  <c r="N9" i="1"/>
  <c r="K9" i="1"/>
  <c r="J9" i="1"/>
  <c r="G9" i="1"/>
  <c r="F9" i="1"/>
  <c r="D32" i="48" l="1"/>
  <c r="M37" i="33" s="1"/>
  <c r="J25" i="13"/>
  <c r="G25" i="13"/>
  <c r="J24" i="11"/>
  <c r="G24" i="11"/>
  <c r="J24" i="10"/>
  <c r="G24" i="10"/>
  <c r="J24" i="40"/>
  <c r="G24" i="40"/>
  <c r="J24" i="38"/>
  <c r="G24" i="38"/>
  <c r="J24" i="39"/>
  <c r="G24" i="39"/>
  <c r="J24" i="9"/>
  <c r="G24" i="9"/>
  <c r="J24" i="8"/>
  <c r="G24" i="8"/>
  <c r="J24" i="7"/>
  <c r="G24" i="7"/>
  <c r="J24" i="52"/>
  <c r="G24" i="52"/>
  <c r="J24" i="51"/>
  <c r="G24" i="51"/>
  <c r="J24" i="6"/>
  <c r="G24" i="6"/>
  <c r="J24" i="50"/>
  <c r="G24" i="50"/>
  <c r="J24" i="49"/>
  <c r="G24" i="49"/>
  <c r="J24" i="5"/>
  <c r="G24" i="5"/>
  <c r="N12" i="32"/>
  <c r="C16" i="39" l="1"/>
  <c r="E61" i="30" l="1"/>
  <c r="C27" i="47"/>
  <c r="E27" i="47"/>
  <c r="F27" i="47"/>
  <c r="G27" i="47"/>
  <c r="H27" i="47"/>
  <c r="I27" i="47"/>
  <c r="K27" i="47"/>
  <c r="L27" i="47"/>
  <c r="M27" i="47"/>
  <c r="N27" i="47"/>
  <c r="B27" i="47"/>
  <c r="C17" i="36" l="1"/>
  <c r="C11" i="54" l="1"/>
  <c r="C14" i="54"/>
  <c r="C19" i="54"/>
  <c r="C20" i="54"/>
  <c r="C16" i="54"/>
  <c r="C10" i="54"/>
  <c r="C21" i="54"/>
  <c r="C12" i="54"/>
  <c r="C13" i="54"/>
  <c r="C17" i="54"/>
  <c r="C18" i="54"/>
  <c r="C15" i="54"/>
  <c r="B16" i="54"/>
  <c r="B19" i="54"/>
  <c r="B20" i="54"/>
  <c r="B21" i="54"/>
  <c r="B12" i="54"/>
  <c r="B17" i="54"/>
  <c r="B13" i="54"/>
  <c r="B15" i="54"/>
  <c r="B10" i="54"/>
  <c r="B18" i="54"/>
  <c r="B11" i="54"/>
  <c r="B14" i="54"/>
  <c r="A3" i="54"/>
  <c r="C21" i="49" l="1"/>
  <c r="C20" i="49"/>
  <c r="C19" i="49"/>
  <c r="C18" i="49"/>
  <c r="C15" i="49"/>
  <c r="C17" i="49"/>
  <c r="C13" i="49"/>
  <c r="C14" i="49"/>
  <c r="C12" i="49"/>
  <c r="C11" i="49"/>
  <c r="C10" i="49"/>
  <c r="C16" i="49"/>
  <c r="C21" i="50"/>
  <c r="C20" i="50"/>
  <c r="C19" i="50"/>
  <c r="C17" i="50"/>
  <c r="C18" i="50"/>
  <c r="C13" i="50"/>
  <c r="C14" i="50"/>
  <c r="C16" i="50"/>
  <c r="C12" i="50"/>
  <c r="C15" i="50"/>
  <c r="C11" i="50"/>
  <c r="C10" i="50"/>
  <c r="D51" i="34"/>
  <c r="D53" i="34"/>
  <c r="D54" i="34" l="1"/>
  <c r="G54" i="30"/>
  <c r="F54" i="30"/>
  <c r="G16" i="49"/>
  <c r="G11" i="49"/>
  <c r="C22" i="54" l="1"/>
  <c r="D55" i="34" l="1"/>
  <c r="B4" i="47" l="1"/>
  <c r="B16" i="47" s="1"/>
  <c r="C4" i="47"/>
  <c r="C16" i="47" s="1"/>
  <c r="E4" i="47"/>
  <c r="E16" i="47" s="1"/>
  <c r="F4" i="47"/>
  <c r="F16" i="47" s="1"/>
  <c r="G4" i="47"/>
  <c r="G16" i="47" s="1"/>
  <c r="H4" i="47"/>
  <c r="I4" i="47"/>
  <c r="I16" i="47" s="1"/>
  <c r="J4" i="47"/>
  <c r="J16" i="47" s="1"/>
  <c r="K4" i="47"/>
  <c r="L4" i="47"/>
  <c r="L16" i="47" s="1"/>
  <c r="M4" i="47"/>
  <c r="M16" i="47" s="1"/>
  <c r="N4" i="47"/>
  <c r="B17" i="47"/>
  <c r="C17" i="47"/>
  <c r="E17" i="47"/>
  <c r="F17" i="47"/>
  <c r="G17" i="47"/>
  <c r="H17" i="47"/>
  <c r="J17" i="47"/>
  <c r="K17" i="47"/>
  <c r="L17" i="47"/>
  <c r="M17" i="47"/>
  <c r="N17" i="47"/>
  <c r="D61" i="34"/>
  <c r="D26" i="34"/>
  <c r="H16" i="47" l="1"/>
  <c r="N10" i="32"/>
  <c r="D21" i="20" s="1"/>
  <c r="K16" i="47"/>
  <c r="G10" i="32"/>
  <c r="D20" i="20"/>
  <c r="H33" i="47"/>
  <c r="H35" i="47" s="1"/>
  <c r="I33" i="47"/>
  <c r="I35" i="47" s="1"/>
  <c r="I37" i="47" s="1"/>
  <c r="L33" i="47"/>
  <c r="L35" i="47" s="1"/>
  <c r="L37" i="47" s="1"/>
  <c r="K33" i="47"/>
  <c r="K35" i="47" s="1"/>
  <c r="G33" i="47"/>
  <c r="G35" i="47" s="1"/>
  <c r="G37" i="47" s="1"/>
  <c r="C33" i="47"/>
  <c r="C35" i="47" s="1"/>
  <c r="M33" i="47"/>
  <c r="M35" i="47" s="1"/>
  <c r="M37" i="47" s="1"/>
  <c r="E33" i="47"/>
  <c r="E35" i="47" s="1"/>
  <c r="E37" i="47" s="1"/>
  <c r="F33" i="47"/>
  <c r="F35" i="47" s="1"/>
  <c r="F37" i="47" s="1"/>
  <c r="B33" i="47"/>
  <c r="B35" i="47" s="1"/>
  <c r="N33" i="47"/>
  <c r="J33" i="47"/>
  <c r="J35" i="47" s="1"/>
  <c r="J37" i="47" s="1"/>
  <c r="J61" i="30"/>
  <c r="A2" i="27"/>
  <c r="A3" i="44"/>
  <c r="A3" i="42"/>
  <c r="A3" i="41"/>
  <c r="A3" i="26"/>
  <c r="A3" i="25"/>
  <c r="A3" i="24"/>
  <c r="A3" i="53"/>
  <c r="A3" i="23"/>
  <c r="A3" i="22"/>
  <c r="A3" i="21"/>
  <c r="A3" i="20"/>
  <c r="A3" i="19"/>
  <c r="A3" i="29"/>
  <c r="A3" i="17"/>
  <c r="A3" i="16"/>
  <c r="A3" i="13"/>
  <c r="A3" i="11"/>
  <c r="A3" i="10"/>
  <c r="A3" i="40"/>
  <c r="A3" i="39"/>
  <c r="A3" i="38"/>
  <c r="A3" i="9"/>
  <c r="A3" i="8"/>
  <c r="A3" i="7"/>
  <c r="A3" i="52"/>
  <c r="A3" i="51"/>
  <c r="A3" i="6"/>
  <c r="A3" i="50"/>
  <c r="A3" i="49"/>
  <c r="A3" i="5"/>
  <c r="B37" i="47" l="1"/>
  <c r="N35" i="47"/>
  <c r="K37" i="47"/>
  <c r="H37" i="47"/>
  <c r="D41" i="20"/>
  <c r="D37" i="47"/>
  <c r="C20" i="53"/>
  <c r="C17" i="53"/>
  <c r="C19" i="53"/>
  <c r="C18" i="53"/>
  <c r="C21" i="53"/>
  <c r="C16" i="53"/>
  <c r="C14" i="53"/>
  <c r="C15" i="53"/>
  <c r="C13" i="53"/>
  <c r="C12" i="53"/>
  <c r="C11" i="53"/>
  <c r="C10" i="53"/>
  <c r="B20" i="53"/>
  <c r="B17" i="53"/>
  <c r="B19" i="53"/>
  <c r="B18" i="53"/>
  <c r="B21" i="53"/>
  <c r="B16" i="53"/>
  <c r="B14" i="53"/>
  <c r="B15" i="53"/>
  <c r="B13" i="53"/>
  <c r="B12" i="53"/>
  <c r="B11" i="53"/>
  <c r="B10" i="53"/>
  <c r="G18" i="52"/>
  <c r="G16" i="52"/>
  <c r="G21" i="52"/>
  <c r="G15" i="52"/>
  <c r="G14" i="52"/>
  <c r="G20" i="52"/>
  <c r="G13" i="52"/>
  <c r="G17" i="52"/>
  <c r="G12" i="52"/>
  <c r="G19" i="52"/>
  <c r="G10" i="52"/>
  <c r="G11" i="52"/>
  <c r="C18" i="52"/>
  <c r="C16" i="52"/>
  <c r="C21" i="52"/>
  <c r="C15" i="52"/>
  <c r="C14" i="52"/>
  <c r="C20" i="52"/>
  <c r="C13" i="52"/>
  <c r="C17" i="52"/>
  <c r="C12" i="52"/>
  <c r="C19" i="52"/>
  <c r="C10" i="52"/>
  <c r="C11" i="52"/>
  <c r="G21" i="51"/>
  <c r="G19" i="51"/>
  <c r="G20" i="51"/>
  <c r="G18" i="51"/>
  <c r="G17" i="51"/>
  <c r="G15" i="51"/>
  <c r="G16" i="51"/>
  <c r="G13" i="51"/>
  <c r="G12" i="51"/>
  <c r="G11" i="51"/>
  <c r="G14" i="51"/>
  <c r="G10" i="51"/>
  <c r="C21" i="51"/>
  <c r="C19" i="51"/>
  <c r="C20" i="51"/>
  <c r="C18" i="51"/>
  <c r="C17" i="51"/>
  <c r="C15" i="51"/>
  <c r="C16" i="51"/>
  <c r="C13" i="51"/>
  <c r="C12" i="51"/>
  <c r="C11" i="51"/>
  <c r="C14" i="51"/>
  <c r="C10" i="51"/>
  <c r="E24" i="52"/>
  <c r="A24" i="52"/>
  <c r="B18" i="52"/>
  <c r="B16" i="52"/>
  <c r="B21" i="52"/>
  <c r="B15" i="52"/>
  <c r="B14" i="52"/>
  <c r="B20" i="52"/>
  <c r="B13" i="52"/>
  <c r="B17" i="52"/>
  <c r="B12" i="52"/>
  <c r="B19" i="52"/>
  <c r="B10" i="52"/>
  <c r="B11" i="52"/>
  <c r="G20" i="50"/>
  <c r="G21" i="50"/>
  <c r="G19" i="50"/>
  <c r="G17" i="50"/>
  <c r="G18" i="50"/>
  <c r="G14" i="50"/>
  <c r="G15" i="50"/>
  <c r="G12" i="50"/>
  <c r="G13" i="50"/>
  <c r="G16" i="50"/>
  <c r="G11" i="50"/>
  <c r="G10" i="50"/>
  <c r="G21" i="49"/>
  <c r="G17" i="49"/>
  <c r="G19" i="49"/>
  <c r="G15" i="49"/>
  <c r="G18" i="49"/>
  <c r="G20" i="49"/>
  <c r="G10" i="49"/>
  <c r="K10" i="49" s="1"/>
  <c r="G12" i="49"/>
  <c r="G14" i="49"/>
  <c r="E24" i="51"/>
  <c r="A24" i="51"/>
  <c r="B21" i="51"/>
  <c r="B20" i="51"/>
  <c r="B17" i="51"/>
  <c r="B18" i="51"/>
  <c r="B15" i="51"/>
  <c r="B19" i="51"/>
  <c r="B16" i="51"/>
  <c r="B13" i="51"/>
  <c r="B12" i="51"/>
  <c r="B11" i="51"/>
  <c r="B14" i="51"/>
  <c r="B10" i="51"/>
  <c r="E24" i="50"/>
  <c r="A24" i="50"/>
  <c r="B20" i="50"/>
  <c r="B21" i="50"/>
  <c r="B19" i="50"/>
  <c r="B17" i="50"/>
  <c r="B18" i="50"/>
  <c r="B14" i="50"/>
  <c r="B15" i="50"/>
  <c r="B12" i="50"/>
  <c r="B13" i="50"/>
  <c r="B16" i="50"/>
  <c r="B11" i="50"/>
  <c r="B10" i="50"/>
  <c r="E24" i="49"/>
  <c r="A24" i="49"/>
  <c r="B21" i="49"/>
  <c r="B13" i="49"/>
  <c r="B17" i="49"/>
  <c r="B19" i="49"/>
  <c r="B15" i="49"/>
  <c r="B18" i="49"/>
  <c r="B20" i="49"/>
  <c r="B16" i="49"/>
  <c r="B11" i="49"/>
  <c r="B10" i="49"/>
  <c r="B12" i="49"/>
  <c r="B14" i="49"/>
  <c r="E41" i="20" l="1"/>
  <c r="F41" i="20"/>
  <c r="K21" i="52"/>
  <c r="K14" i="52"/>
  <c r="K12" i="50"/>
  <c r="K17" i="50"/>
  <c r="K15" i="50"/>
  <c r="C22" i="53"/>
  <c r="K15" i="52"/>
  <c r="K10" i="52"/>
  <c r="K12" i="52"/>
  <c r="K18" i="52"/>
  <c r="K17" i="52"/>
  <c r="K13" i="52"/>
  <c r="K20" i="52"/>
  <c r="C22" i="52"/>
  <c r="O14" i="52" s="1"/>
  <c r="K11" i="52"/>
  <c r="K14" i="51"/>
  <c r="K15" i="51"/>
  <c r="K19" i="51"/>
  <c r="K16" i="51"/>
  <c r="K13" i="51"/>
  <c r="K11" i="51"/>
  <c r="K21" i="51"/>
  <c r="K20" i="51"/>
  <c r="K18" i="51"/>
  <c r="K10" i="51"/>
  <c r="C22" i="51"/>
  <c r="O14" i="51" s="1"/>
  <c r="K19" i="52"/>
  <c r="K16" i="52"/>
  <c r="G22" i="52"/>
  <c r="K20" i="50"/>
  <c r="K19" i="50"/>
  <c r="K18" i="50"/>
  <c r="K14" i="50"/>
  <c r="K13" i="50"/>
  <c r="K11" i="50"/>
  <c r="C22" i="50"/>
  <c r="K10" i="50"/>
  <c r="K21" i="49"/>
  <c r="K13" i="49"/>
  <c r="K11" i="49"/>
  <c r="K17" i="49"/>
  <c r="K19" i="49"/>
  <c r="K15" i="49"/>
  <c r="K18" i="49"/>
  <c r="K20" i="49"/>
  <c r="K16" i="49"/>
  <c r="K12" i="49"/>
  <c r="C22" i="49"/>
  <c r="K14" i="49"/>
  <c r="K17" i="51"/>
  <c r="K12" i="51"/>
  <c r="G22" i="51"/>
  <c r="K16" i="50"/>
  <c r="K21" i="50"/>
  <c r="G22" i="50"/>
  <c r="G22" i="49"/>
  <c r="O20" i="52" l="1"/>
  <c r="O13" i="51"/>
  <c r="O16" i="52"/>
  <c r="O11" i="51"/>
  <c r="O21" i="52"/>
  <c r="O17" i="52"/>
  <c r="O10" i="51"/>
  <c r="O21" i="51"/>
  <c r="O19" i="52"/>
  <c r="O13" i="52"/>
  <c r="O14" i="49"/>
  <c r="O17" i="49"/>
  <c r="O21" i="49"/>
  <c r="O18" i="49"/>
  <c r="O10" i="49"/>
  <c r="O20" i="49"/>
  <c r="O12" i="49"/>
  <c r="O19" i="49"/>
  <c r="O13" i="49"/>
  <c r="O15" i="49"/>
  <c r="O16" i="49"/>
  <c r="O11" i="49"/>
  <c r="O10" i="50"/>
  <c r="O19" i="50"/>
  <c r="O15" i="50"/>
  <c r="O21" i="50"/>
  <c r="O14" i="50"/>
  <c r="O16" i="50"/>
  <c r="O13" i="50"/>
  <c r="O18" i="50"/>
  <c r="O17" i="50"/>
  <c r="O11" i="50"/>
  <c r="O20" i="50"/>
  <c r="O12" i="50"/>
  <c r="O10" i="52"/>
  <c r="O11" i="52"/>
  <c r="O18" i="52"/>
  <c r="O17" i="51"/>
  <c r="O19" i="51"/>
  <c r="O20" i="51"/>
  <c r="O15" i="52"/>
  <c r="O12" i="52"/>
  <c r="O16" i="51"/>
  <c r="O18" i="51"/>
  <c r="O12" i="51"/>
  <c r="O15" i="51"/>
  <c r="K22" i="52"/>
  <c r="K22" i="51"/>
  <c r="K22" i="50"/>
  <c r="K22" i="49"/>
  <c r="F12" i="32"/>
  <c r="D12" i="34"/>
  <c r="E54" i="35"/>
  <c r="E53" i="35"/>
  <c r="E12" i="32" l="1"/>
  <c r="G12" i="32"/>
  <c r="H12" i="32"/>
  <c r="I12" i="32"/>
  <c r="J12" i="32"/>
  <c r="K12" i="32"/>
  <c r="L12" i="32"/>
  <c r="M12" i="32"/>
  <c r="P12" i="32"/>
  <c r="E13" i="32"/>
  <c r="F13" i="32"/>
  <c r="G13" i="32"/>
  <c r="H13" i="32"/>
  <c r="I13" i="32"/>
  <c r="J13" i="32"/>
  <c r="K13" i="32"/>
  <c r="L13" i="32"/>
  <c r="M13" i="32"/>
  <c r="N13" i="32"/>
  <c r="P13" i="32"/>
  <c r="E14" i="32"/>
  <c r="F14" i="32"/>
  <c r="G14" i="32"/>
  <c r="H14" i="32"/>
  <c r="I14" i="32"/>
  <c r="J14" i="32"/>
  <c r="K14" i="32"/>
  <c r="L14" i="32"/>
  <c r="M14" i="32"/>
  <c r="N14" i="32"/>
  <c r="P14" i="32"/>
  <c r="E15" i="32"/>
  <c r="F15" i="32"/>
  <c r="G15" i="32"/>
  <c r="H15" i="32"/>
  <c r="I15" i="32"/>
  <c r="J15" i="32"/>
  <c r="K15" i="32"/>
  <c r="L15" i="32"/>
  <c r="M15" i="32"/>
  <c r="N15" i="32"/>
  <c r="P15" i="32"/>
  <c r="E16" i="32"/>
  <c r="F16" i="32"/>
  <c r="G16" i="32"/>
  <c r="H16" i="32"/>
  <c r="I16" i="32"/>
  <c r="J16" i="32"/>
  <c r="K16" i="32"/>
  <c r="L16" i="32"/>
  <c r="M16" i="32"/>
  <c r="N16" i="32"/>
  <c r="P16" i="32"/>
  <c r="E17" i="32"/>
  <c r="F17" i="32"/>
  <c r="G17" i="32"/>
  <c r="H17" i="32"/>
  <c r="I17" i="32"/>
  <c r="J17" i="32"/>
  <c r="K17" i="32"/>
  <c r="L17" i="32"/>
  <c r="M17" i="32"/>
  <c r="N17" i="32"/>
  <c r="P17" i="32"/>
  <c r="E18" i="32"/>
  <c r="F18" i="32"/>
  <c r="G18" i="32"/>
  <c r="H18" i="32"/>
  <c r="I18" i="32"/>
  <c r="J18" i="32"/>
  <c r="K18" i="32"/>
  <c r="L18" i="32"/>
  <c r="M18" i="32"/>
  <c r="N18" i="32"/>
  <c r="P18" i="32"/>
  <c r="E19" i="32"/>
  <c r="F19" i="32"/>
  <c r="G19" i="32"/>
  <c r="H19" i="32"/>
  <c r="I19" i="32"/>
  <c r="J19" i="32"/>
  <c r="K19" i="32"/>
  <c r="L19" i="32"/>
  <c r="M19" i="32"/>
  <c r="N19" i="32"/>
  <c r="P19" i="32"/>
  <c r="E20" i="32"/>
  <c r="F20" i="32"/>
  <c r="G20" i="32"/>
  <c r="H20" i="32"/>
  <c r="I20" i="32"/>
  <c r="J20" i="32"/>
  <c r="K20" i="32"/>
  <c r="L20" i="32"/>
  <c r="M20" i="32"/>
  <c r="N20" i="32"/>
  <c r="P20" i="32"/>
  <c r="E21" i="32"/>
  <c r="F21" i="32"/>
  <c r="G21" i="32"/>
  <c r="H21" i="32"/>
  <c r="I21" i="32"/>
  <c r="J21" i="32"/>
  <c r="K21" i="32"/>
  <c r="L21" i="32"/>
  <c r="M21" i="32"/>
  <c r="N21" i="32"/>
  <c r="P21" i="32"/>
  <c r="E55" i="35"/>
  <c r="E52" i="35"/>
  <c r="B19" i="32" l="1"/>
  <c r="B15" i="32"/>
  <c r="B20" i="32"/>
  <c r="B16" i="32"/>
  <c r="B13" i="32"/>
  <c r="B21" i="32"/>
  <c r="B18" i="32"/>
  <c r="B17" i="32"/>
  <c r="B14" i="32"/>
  <c r="B12" i="32"/>
  <c r="F11" i="1"/>
  <c r="F34" i="1" s="1"/>
  <c r="G15" i="38"/>
  <c r="G12" i="9"/>
  <c r="B13" i="1"/>
  <c r="B36" i="1" s="1"/>
  <c r="D13" i="34"/>
  <c r="D14" i="34"/>
  <c r="B14" i="1" s="1"/>
  <c r="B37" i="1" s="1"/>
  <c r="D15" i="34"/>
  <c r="B15" i="1" s="1"/>
  <c r="B38" i="1" s="1"/>
  <c r="D17" i="34"/>
  <c r="B20" i="1" s="1"/>
  <c r="B43" i="1" s="1"/>
  <c r="D18" i="34"/>
  <c r="D19" i="34"/>
  <c r="D20" i="34"/>
  <c r="D22" i="34"/>
  <c r="B19" i="1" s="1"/>
  <c r="B42" i="1" s="1"/>
  <c r="D23" i="34"/>
  <c r="D24" i="34"/>
  <c r="D25" i="34"/>
  <c r="D27" i="34"/>
  <c r="D28" i="34"/>
  <c r="D29" i="34"/>
  <c r="D30" i="34"/>
  <c r="D31" i="34"/>
  <c r="D32" i="34"/>
  <c r="D33" i="34"/>
  <c r="D34" i="34"/>
  <c r="D35" i="34"/>
  <c r="D36" i="34"/>
  <c r="D37" i="34"/>
  <c r="D38" i="34"/>
  <c r="D39" i="34"/>
  <c r="D40" i="34"/>
  <c r="D41" i="34"/>
  <c r="D42" i="34"/>
  <c r="D43" i="34"/>
  <c r="D44" i="34"/>
  <c r="D46" i="34"/>
  <c r="B10" i="1"/>
  <c r="B33" i="1" s="1"/>
  <c r="D52" i="34"/>
  <c r="B12" i="1"/>
  <c r="B35" i="1" s="1"/>
  <c r="B11" i="1"/>
  <c r="B34" i="1" s="1"/>
  <c r="D57" i="34"/>
  <c r="B16" i="1" s="1"/>
  <c r="B39" i="1" s="1"/>
  <c r="D58" i="34"/>
  <c r="B17" i="1" s="1"/>
  <c r="B40" i="1" s="1"/>
  <c r="D59" i="34"/>
  <c r="B18" i="1" s="1"/>
  <c r="B41" i="1" s="1"/>
  <c r="B21" i="1"/>
  <c r="E61" i="34"/>
  <c r="F61" i="34"/>
  <c r="E20" i="35"/>
  <c r="D61" i="31"/>
  <c r="D59" i="31"/>
  <c r="H13" i="8" s="1"/>
  <c r="D58" i="31"/>
  <c r="H16" i="7" s="1"/>
  <c r="D57" i="31"/>
  <c r="D55" i="31"/>
  <c r="H11" i="49" s="1"/>
  <c r="D54" i="31"/>
  <c r="H13" i="50" s="1"/>
  <c r="D53" i="31"/>
  <c r="D52" i="31"/>
  <c r="D51" i="31"/>
  <c r="H13" i="5" s="1"/>
  <c r="D44" i="31"/>
  <c r="D43" i="31"/>
  <c r="D42" i="31"/>
  <c r="D41" i="31"/>
  <c r="D40" i="31"/>
  <c r="D39" i="31"/>
  <c r="D38" i="31"/>
  <c r="D37" i="31"/>
  <c r="H18" i="39" s="1"/>
  <c r="D36" i="31"/>
  <c r="D35" i="31"/>
  <c r="D34" i="31"/>
  <c r="D33" i="31"/>
  <c r="D32" i="31"/>
  <c r="D31" i="31"/>
  <c r="H12" i="40" s="1"/>
  <c r="D30" i="31"/>
  <c r="D29" i="31"/>
  <c r="D28" i="31"/>
  <c r="D27" i="31"/>
  <c r="D26" i="31"/>
  <c r="D25" i="31"/>
  <c r="D24" i="31"/>
  <c r="D23" i="31"/>
  <c r="D22" i="31"/>
  <c r="H15" i="9" s="1"/>
  <c r="D20" i="31"/>
  <c r="D19" i="31"/>
  <c r="D18" i="31"/>
  <c r="D17" i="31"/>
  <c r="H19" i="10" s="1"/>
  <c r="D15" i="31"/>
  <c r="H18" i="51" s="1"/>
  <c r="D14" i="31"/>
  <c r="H15" i="52" s="1"/>
  <c r="D13" i="31"/>
  <c r="D12" i="31"/>
  <c r="H17" i="6" s="1"/>
  <c r="F61" i="31"/>
  <c r="H15" i="11" s="1"/>
  <c r="F59" i="31"/>
  <c r="H21" i="8" s="1"/>
  <c r="F58" i="31"/>
  <c r="H21" i="7" s="1"/>
  <c r="F57" i="31"/>
  <c r="F55" i="31"/>
  <c r="H10" i="49" s="1"/>
  <c r="F54" i="31"/>
  <c r="H16" i="50" s="1"/>
  <c r="F53" i="31"/>
  <c r="F52" i="31"/>
  <c r="F51" i="31"/>
  <c r="H14" i="5" s="1"/>
  <c r="F44" i="31"/>
  <c r="F43" i="31"/>
  <c r="F42" i="31"/>
  <c r="F41" i="31"/>
  <c r="F40" i="31"/>
  <c r="F39" i="31"/>
  <c r="F38" i="31"/>
  <c r="F37" i="31"/>
  <c r="F36" i="31"/>
  <c r="F35" i="31"/>
  <c r="F34" i="31"/>
  <c r="F33" i="31"/>
  <c r="F32" i="31"/>
  <c r="F31" i="31"/>
  <c r="H21" i="40" s="1"/>
  <c r="F30" i="31"/>
  <c r="F29" i="31"/>
  <c r="F28" i="31"/>
  <c r="F27" i="31"/>
  <c r="F26" i="31"/>
  <c r="F25" i="31"/>
  <c r="F24" i="31"/>
  <c r="F23" i="31"/>
  <c r="F22" i="31"/>
  <c r="H21" i="39" s="1"/>
  <c r="F20" i="31"/>
  <c r="F19" i="31"/>
  <c r="F18" i="31"/>
  <c r="F17" i="31"/>
  <c r="H21" i="10" s="1"/>
  <c r="F15" i="31"/>
  <c r="H11" i="51" s="1"/>
  <c r="F14" i="31"/>
  <c r="H19" i="52" s="1"/>
  <c r="F13" i="31"/>
  <c r="F12" i="31"/>
  <c r="H11" i="6" s="1"/>
  <c r="H61" i="31"/>
  <c r="H11" i="11" s="1"/>
  <c r="H59" i="31"/>
  <c r="H12" i="8" s="1"/>
  <c r="H58" i="31"/>
  <c r="H13" i="7" s="1"/>
  <c r="H57" i="31"/>
  <c r="H55" i="31"/>
  <c r="H14" i="49" s="1"/>
  <c r="H54" i="31"/>
  <c r="H10" i="50" s="1"/>
  <c r="H53" i="31"/>
  <c r="H52" i="31"/>
  <c r="H51" i="31"/>
  <c r="H10" i="5" s="1"/>
  <c r="H44" i="31"/>
  <c r="H43" i="31"/>
  <c r="H42" i="31"/>
  <c r="H41" i="31"/>
  <c r="H40" i="31"/>
  <c r="H39" i="31"/>
  <c r="H38" i="31"/>
  <c r="H37" i="31"/>
  <c r="H14" i="39" s="1"/>
  <c r="H36" i="31"/>
  <c r="H35" i="31"/>
  <c r="H34" i="31"/>
  <c r="H33" i="31"/>
  <c r="H32" i="31"/>
  <c r="H31" i="31"/>
  <c r="H30" i="31"/>
  <c r="H29" i="31"/>
  <c r="H28" i="31"/>
  <c r="H27" i="31"/>
  <c r="H26" i="31"/>
  <c r="H25" i="31"/>
  <c r="H24" i="31"/>
  <c r="H23" i="31"/>
  <c r="H22" i="31"/>
  <c r="H14" i="9" s="1"/>
  <c r="H20" i="31"/>
  <c r="H19" i="31"/>
  <c r="H18" i="31"/>
  <c r="H17" i="31"/>
  <c r="H11" i="10" s="1"/>
  <c r="H15" i="31"/>
  <c r="H14" i="51" s="1"/>
  <c r="H14" i="31"/>
  <c r="H10" i="52" s="1"/>
  <c r="H13" i="31"/>
  <c r="H12" i="31"/>
  <c r="H12" i="6" s="1"/>
  <c r="J61" i="31"/>
  <c r="H10" i="11" s="1"/>
  <c r="J59" i="31"/>
  <c r="H10" i="8" s="1"/>
  <c r="J58" i="31"/>
  <c r="H10" i="7" s="1"/>
  <c r="J57" i="31"/>
  <c r="J55" i="31"/>
  <c r="H12" i="49" s="1"/>
  <c r="J12" i="49" s="1"/>
  <c r="I12" i="49" s="1"/>
  <c r="J54" i="31"/>
  <c r="H11" i="50" s="1"/>
  <c r="J53" i="31"/>
  <c r="J52" i="31"/>
  <c r="J51" i="31"/>
  <c r="H11" i="5" s="1"/>
  <c r="J44" i="31"/>
  <c r="J43" i="31"/>
  <c r="J42" i="31"/>
  <c r="J41" i="31"/>
  <c r="J40" i="31"/>
  <c r="J39" i="31"/>
  <c r="J38" i="31"/>
  <c r="J37" i="31"/>
  <c r="H11" i="39" s="1"/>
  <c r="J36" i="31"/>
  <c r="J35" i="31"/>
  <c r="J34" i="31"/>
  <c r="J33" i="31"/>
  <c r="J32" i="31"/>
  <c r="J31" i="31"/>
  <c r="H10" i="40" s="1"/>
  <c r="J30" i="31"/>
  <c r="J29" i="31"/>
  <c r="J28" i="31"/>
  <c r="J27" i="31"/>
  <c r="J26" i="31"/>
  <c r="J25" i="31"/>
  <c r="J24" i="31"/>
  <c r="J23" i="31"/>
  <c r="J22" i="31"/>
  <c r="H10" i="9" s="1"/>
  <c r="J20" i="31"/>
  <c r="J19" i="31"/>
  <c r="J18" i="31"/>
  <c r="J17" i="31"/>
  <c r="H14" i="10" s="1"/>
  <c r="J15" i="31"/>
  <c r="H10" i="51" s="1"/>
  <c r="J14" i="31"/>
  <c r="H11" i="52" s="1"/>
  <c r="J13" i="31"/>
  <c r="J12" i="31"/>
  <c r="H10" i="6" s="1"/>
  <c r="L61" i="31"/>
  <c r="L59" i="31"/>
  <c r="H16" i="8" s="1"/>
  <c r="L58" i="31"/>
  <c r="H17" i="7" s="1"/>
  <c r="L57" i="31"/>
  <c r="L55" i="31"/>
  <c r="H13" i="49" s="1"/>
  <c r="L54" i="31"/>
  <c r="H21" i="50" s="1"/>
  <c r="L53" i="31"/>
  <c r="L52" i="31"/>
  <c r="L51" i="31"/>
  <c r="H21" i="5" s="1"/>
  <c r="L44" i="31"/>
  <c r="L43" i="31"/>
  <c r="L42" i="31"/>
  <c r="L41" i="31"/>
  <c r="L40" i="31"/>
  <c r="L39" i="31"/>
  <c r="L38" i="31"/>
  <c r="L37" i="31"/>
  <c r="H17" i="39" s="1"/>
  <c r="L36" i="31"/>
  <c r="L35" i="31"/>
  <c r="L34" i="31"/>
  <c r="L33" i="31"/>
  <c r="L32" i="31"/>
  <c r="L31" i="31"/>
  <c r="H19" i="40" s="1"/>
  <c r="L30" i="31"/>
  <c r="L29" i="31"/>
  <c r="L28" i="31"/>
  <c r="L27" i="31"/>
  <c r="L26" i="31"/>
  <c r="L25" i="31"/>
  <c r="L24" i="31"/>
  <c r="L23" i="31"/>
  <c r="L22" i="31"/>
  <c r="N22" i="31"/>
  <c r="H11" i="9" s="1"/>
  <c r="L20" i="31"/>
  <c r="L19" i="31"/>
  <c r="L18" i="31"/>
  <c r="L17" i="31"/>
  <c r="H17" i="10" s="1"/>
  <c r="L15" i="31"/>
  <c r="H20" i="51" s="1"/>
  <c r="J20" i="51" s="1"/>
  <c r="I20" i="51" s="1"/>
  <c r="L14" i="31"/>
  <c r="H16" i="52" s="1"/>
  <c r="L13" i="31"/>
  <c r="L12" i="31"/>
  <c r="H19" i="6" s="1"/>
  <c r="P61" i="31"/>
  <c r="H13" i="11" s="1"/>
  <c r="P59" i="31"/>
  <c r="H15" i="8" s="1"/>
  <c r="P58" i="31"/>
  <c r="H15" i="7" s="1"/>
  <c r="P55" i="31"/>
  <c r="H18" i="49" s="1"/>
  <c r="P54" i="31"/>
  <c r="H14" i="50" s="1"/>
  <c r="P53" i="31"/>
  <c r="P52" i="31"/>
  <c r="P51" i="31"/>
  <c r="H15" i="5" s="1"/>
  <c r="P44" i="31"/>
  <c r="P43" i="31"/>
  <c r="P42" i="31"/>
  <c r="P41" i="31"/>
  <c r="P40" i="31"/>
  <c r="P39" i="31"/>
  <c r="P38" i="31"/>
  <c r="P37" i="31"/>
  <c r="H15" i="39" s="1"/>
  <c r="P36" i="31"/>
  <c r="P35" i="31"/>
  <c r="P34" i="31"/>
  <c r="P33" i="31"/>
  <c r="P32" i="31"/>
  <c r="P31" i="31"/>
  <c r="H17" i="40" s="1"/>
  <c r="P30" i="31"/>
  <c r="P29" i="31"/>
  <c r="P28" i="31"/>
  <c r="P27" i="31"/>
  <c r="P26" i="31"/>
  <c r="P25" i="31"/>
  <c r="P24" i="31"/>
  <c r="P23" i="31"/>
  <c r="P22" i="31"/>
  <c r="H16" i="9" s="1"/>
  <c r="P20" i="31"/>
  <c r="P19" i="31"/>
  <c r="P18" i="31"/>
  <c r="P17" i="31"/>
  <c r="H10" i="10" s="1"/>
  <c r="P15" i="31"/>
  <c r="H12" i="51" s="1"/>
  <c r="J12" i="51" s="1"/>
  <c r="I12" i="51" s="1"/>
  <c r="P14" i="31"/>
  <c r="H12" i="52" s="1"/>
  <c r="P13" i="31"/>
  <c r="P12" i="31"/>
  <c r="H13" i="6" s="1"/>
  <c r="R61" i="31"/>
  <c r="H19" i="11" s="1"/>
  <c r="R59" i="31"/>
  <c r="H20" i="8" s="1"/>
  <c r="R58" i="31"/>
  <c r="H19" i="7" s="1"/>
  <c r="R57" i="31"/>
  <c r="R54" i="31"/>
  <c r="H15" i="50" s="1"/>
  <c r="R52" i="31"/>
  <c r="R55" i="31"/>
  <c r="R53" i="31"/>
  <c r="R51" i="31"/>
  <c r="R44" i="31"/>
  <c r="R43" i="31"/>
  <c r="R42" i="31"/>
  <c r="R41" i="31"/>
  <c r="R40" i="31"/>
  <c r="R39" i="31"/>
  <c r="R38" i="31"/>
  <c r="R37" i="31"/>
  <c r="H19" i="39" s="1"/>
  <c r="R36" i="31"/>
  <c r="R35" i="31"/>
  <c r="R34" i="31"/>
  <c r="R33" i="31"/>
  <c r="R32" i="31"/>
  <c r="R31" i="31"/>
  <c r="H16" i="40" s="1"/>
  <c r="R30" i="31"/>
  <c r="R29" i="31"/>
  <c r="R28" i="31"/>
  <c r="R27" i="31"/>
  <c r="R26" i="31"/>
  <c r="R25" i="31"/>
  <c r="R24" i="31"/>
  <c r="R23" i="31"/>
  <c r="R22" i="31"/>
  <c r="H19" i="9" s="1"/>
  <c r="R20" i="31"/>
  <c r="R19" i="31"/>
  <c r="R18" i="31"/>
  <c r="R17" i="31"/>
  <c r="H18" i="10" s="1"/>
  <c r="R15" i="31"/>
  <c r="H19" i="51" s="1"/>
  <c r="R14" i="31"/>
  <c r="H20" i="52" s="1"/>
  <c r="R13" i="31"/>
  <c r="R12" i="31"/>
  <c r="H20" i="6" s="1"/>
  <c r="H21" i="11"/>
  <c r="V59" i="31"/>
  <c r="H17" i="8" s="1"/>
  <c r="V58" i="31"/>
  <c r="H18" i="7" s="1"/>
  <c r="V57" i="31"/>
  <c r="H17" i="49"/>
  <c r="H19" i="50"/>
  <c r="V53" i="31"/>
  <c r="V52" i="31"/>
  <c r="V51" i="31"/>
  <c r="H19" i="5" s="1"/>
  <c r="V44" i="31"/>
  <c r="V43" i="31"/>
  <c r="V42" i="31"/>
  <c r="V41" i="31"/>
  <c r="V40" i="31"/>
  <c r="V39" i="31"/>
  <c r="V38" i="31"/>
  <c r="V37" i="31"/>
  <c r="H16" i="39" s="1"/>
  <c r="V36" i="31"/>
  <c r="V35" i="31"/>
  <c r="V34" i="31"/>
  <c r="V33" i="31"/>
  <c r="V32" i="31"/>
  <c r="V31" i="31"/>
  <c r="H14" i="40" s="1"/>
  <c r="V30" i="31"/>
  <c r="V29" i="31"/>
  <c r="V28" i="31"/>
  <c r="V27" i="31"/>
  <c r="V26" i="31"/>
  <c r="V25" i="31"/>
  <c r="V24" i="31"/>
  <c r="V23" i="31"/>
  <c r="V22" i="31"/>
  <c r="H17" i="9" s="1"/>
  <c r="V20" i="31"/>
  <c r="V19" i="31"/>
  <c r="V18" i="31"/>
  <c r="V17" i="31"/>
  <c r="H15" i="10" s="1"/>
  <c r="V15" i="31"/>
  <c r="H21" i="51" s="1"/>
  <c r="V14" i="31"/>
  <c r="H18" i="52" s="1"/>
  <c r="V13" i="31"/>
  <c r="V12" i="31"/>
  <c r="H21" i="6" s="1"/>
  <c r="H20" i="11"/>
  <c r="H18" i="8"/>
  <c r="H20" i="7"/>
  <c r="H19" i="49"/>
  <c r="J19" i="49" s="1"/>
  <c r="I19" i="49" s="1"/>
  <c r="H17" i="50"/>
  <c r="J17" i="50" s="1"/>
  <c r="I17" i="50" s="1"/>
  <c r="H18" i="5"/>
  <c r="H20" i="39"/>
  <c r="H20" i="40"/>
  <c r="H20" i="9"/>
  <c r="H20" i="10"/>
  <c r="H21" i="52"/>
  <c r="J21" i="52" s="1"/>
  <c r="I21" i="52" s="1"/>
  <c r="H18" i="6"/>
  <c r="C61" i="30"/>
  <c r="C59" i="30"/>
  <c r="D13" i="8" s="1"/>
  <c r="C58" i="30"/>
  <c r="D16" i="7" s="1"/>
  <c r="C57" i="30"/>
  <c r="C55" i="30"/>
  <c r="D11" i="49" s="1"/>
  <c r="C54" i="30"/>
  <c r="C53" i="30"/>
  <c r="C52" i="30"/>
  <c r="C51" i="30"/>
  <c r="D13" i="5" s="1"/>
  <c r="C44" i="30"/>
  <c r="C43" i="30"/>
  <c r="C42" i="30"/>
  <c r="C41" i="30"/>
  <c r="C40" i="30"/>
  <c r="C39" i="30"/>
  <c r="C38" i="30"/>
  <c r="C37" i="30"/>
  <c r="D18" i="39" s="1"/>
  <c r="C36" i="30"/>
  <c r="C35" i="30"/>
  <c r="C34" i="30"/>
  <c r="C33" i="30"/>
  <c r="C32" i="30"/>
  <c r="C31" i="30"/>
  <c r="D12" i="40" s="1"/>
  <c r="C30" i="30"/>
  <c r="C29" i="30"/>
  <c r="C28" i="30"/>
  <c r="C27" i="30"/>
  <c r="C26" i="30"/>
  <c r="C25" i="30"/>
  <c r="C24" i="30"/>
  <c r="C23" i="30"/>
  <c r="C22" i="30"/>
  <c r="D15" i="9" s="1"/>
  <c r="C20" i="30"/>
  <c r="C19" i="30"/>
  <c r="C18" i="30"/>
  <c r="C17" i="30"/>
  <c r="D19" i="10" s="1"/>
  <c r="C15" i="30"/>
  <c r="D18" i="51" s="1"/>
  <c r="C14" i="30"/>
  <c r="D15" i="52" s="1"/>
  <c r="C13" i="30"/>
  <c r="C12" i="30"/>
  <c r="D61" i="30"/>
  <c r="D59" i="30"/>
  <c r="D21" i="8" s="1"/>
  <c r="D58" i="30"/>
  <c r="D21" i="7" s="1"/>
  <c r="D57" i="30"/>
  <c r="D55" i="30"/>
  <c r="D10" i="49" s="1"/>
  <c r="D54" i="30"/>
  <c r="D16" i="50" s="1"/>
  <c r="D53" i="30"/>
  <c r="D52" i="30"/>
  <c r="D51" i="30"/>
  <c r="D14" i="5" s="1"/>
  <c r="D44" i="30"/>
  <c r="D43" i="30"/>
  <c r="D42" i="30"/>
  <c r="D41" i="30"/>
  <c r="D40" i="30"/>
  <c r="D39" i="30"/>
  <c r="D38" i="30"/>
  <c r="D37" i="30"/>
  <c r="D36" i="30"/>
  <c r="D35" i="30"/>
  <c r="D34" i="30"/>
  <c r="D33" i="30"/>
  <c r="D32" i="30"/>
  <c r="D31" i="30"/>
  <c r="D21" i="40" s="1"/>
  <c r="D30" i="30"/>
  <c r="D29" i="30"/>
  <c r="D28" i="30"/>
  <c r="D27" i="30"/>
  <c r="D26" i="30"/>
  <c r="D25" i="30"/>
  <c r="D24" i="30"/>
  <c r="D23" i="30"/>
  <c r="D22" i="30"/>
  <c r="D20" i="30"/>
  <c r="D19" i="30"/>
  <c r="D18" i="30"/>
  <c r="D17" i="30"/>
  <c r="D21" i="10" s="1"/>
  <c r="D15" i="30"/>
  <c r="D11" i="51" s="1"/>
  <c r="D14" i="30"/>
  <c r="D19" i="52" s="1"/>
  <c r="D13" i="30"/>
  <c r="D12" i="30"/>
  <c r="E59" i="30"/>
  <c r="D12" i="8" s="1"/>
  <c r="E58" i="30"/>
  <c r="D13" i="7" s="1"/>
  <c r="E57" i="30"/>
  <c r="E55" i="30"/>
  <c r="D14" i="49" s="1"/>
  <c r="E54" i="30"/>
  <c r="E53" i="30"/>
  <c r="E52" i="30"/>
  <c r="E51" i="30"/>
  <c r="D10" i="5" s="1"/>
  <c r="E44" i="30"/>
  <c r="E43" i="30"/>
  <c r="E42" i="30"/>
  <c r="E41" i="30"/>
  <c r="E40" i="30"/>
  <c r="E39" i="30"/>
  <c r="E38" i="30"/>
  <c r="E37" i="30"/>
  <c r="D14" i="39" s="1"/>
  <c r="E36" i="30"/>
  <c r="E35" i="30"/>
  <c r="E34" i="30"/>
  <c r="E33" i="30"/>
  <c r="E32" i="30"/>
  <c r="E31" i="30"/>
  <c r="D13" i="40" s="1"/>
  <c r="E30" i="30"/>
  <c r="E29" i="30"/>
  <c r="E28" i="30"/>
  <c r="E27" i="30"/>
  <c r="E26" i="30"/>
  <c r="E25" i="30"/>
  <c r="E24" i="30"/>
  <c r="E23" i="30"/>
  <c r="E22" i="30"/>
  <c r="D14" i="9" s="1"/>
  <c r="E20" i="30"/>
  <c r="E19" i="30"/>
  <c r="E18" i="30"/>
  <c r="E17" i="30"/>
  <c r="D11" i="10" s="1"/>
  <c r="E15" i="30"/>
  <c r="D14" i="51" s="1"/>
  <c r="E14" i="30"/>
  <c r="D10" i="52" s="1"/>
  <c r="E13" i="30"/>
  <c r="E12" i="30"/>
  <c r="F61" i="30"/>
  <c r="F59" i="30"/>
  <c r="D10" i="8" s="1"/>
  <c r="F58" i="30"/>
  <c r="D10" i="7" s="1"/>
  <c r="F57" i="30"/>
  <c r="F55" i="30"/>
  <c r="D12" i="49" s="1"/>
  <c r="D11" i="50"/>
  <c r="F53" i="30"/>
  <c r="F52" i="30"/>
  <c r="F51" i="30"/>
  <c r="D11" i="5" s="1"/>
  <c r="F44" i="30"/>
  <c r="F43" i="30"/>
  <c r="F42" i="30"/>
  <c r="F41" i="30"/>
  <c r="F40" i="30"/>
  <c r="F39" i="30"/>
  <c r="F38" i="30"/>
  <c r="F37" i="30"/>
  <c r="D11" i="39" s="1"/>
  <c r="F36" i="30"/>
  <c r="F35" i="30"/>
  <c r="F34" i="30"/>
  <c r="F33" i="30"/>
  <c r="F32" i="30"/>
  <c r="F31" i="30"/>
  <c r="D10" i="40" s="1"/>
  <c r="F30" i="30"/>
  <c r="F29" i="30"/>
  <c r="F28" i="30"/>
  <c r="F27" i="30"/>
  <c r="F26" i="30"/>
  <c r="F25" i="30"/>
  <c r="F24" i="30"/>
  <c r="F23" i="30"/>
  <c r="F22" i="30"/>
  <c r="D10" i="9" s="1"/>
  <c r="F20" i="30"/>
  <c r="F19" i="30"/>
  <c r="F18" i="30"/>
  <c r="F17" i="30"/>
  <c r="D14" i="10" s="1"/>
  <c r="F15" i="30"/>
  <c r="D10" i="51" s="1"/>
  <c r="F14" i="30"/>
  <c r="D11" i="52" s="1"/>
  <c r="F13" i="30"/>
  <c r="F12" i="30"/>
  <c r="L59" i="30"/>
  <c r="D17" i="8" s="1"/>
  <c r="L58" i="30"/>
  <c r="D18" i="7" s="1"/>
  <c r="L57" i="30"/>
  <c r="L55" i="30"/>
  <c r="D17" i="49" s="1"/>
  <c r="L54" i="30"/>
  <c r="D19" i="50" s="1"/>
  <c r="L53" i="30"/>
  <c r="L52" i="30"/>
  <c r="D19" i="5"/>
  <c r="D15" i="39"/>
  <c r="D14" i="40"/>
  <c r="D17" i="9"/>
  <c r="D15" i="10"/>
  <c r="D21" i="51"/>
  <c r="D18" i="52"/>
  <c r="J59" i="30"/>
  <c r="D20" i="8" s="1"/>
  <c r="J58" i="30"/>
  <c r="D19" i="7" s="1"/>
  <c r="J57" i="30"/>
  <c r="J44" i="30"/>
  <c r="J43" i="30"/>
  <c r="J42" i="30"/>
  <c r="J41" i="30"/>
  <c r="J40" i="30"/>
  <c r="J39" i="30"/>
  <c r="J38" i="30"/>
  <c r="J37" i="30"/>
  <c r="D19" i="39" s="1"/>
  <c r="J36" i="30"/>
  <c r="J35" i="30"/>
  <c r="J34" i="30"/>
  <c r="J33" i="30"/>
  <c r="J32" i="30"/>
  <c r="J31" i="30"/>
  <c r="D16" i="40" s="1"/>
  <c r="J30" i="30"/>
  <c r="J29" i="30"/>
  <c r="J28" i="30"/>
  <c r="J27" i="30"/>
  <c r="J26" i="30"/>
  <c r="J25" i="30"/>
  <c r="J24" i="30"/>
  <c r="J23" i="30"/>
  <c r="J22" i="30"/>
  <c r="D19" i="9" s="1"/>
  <c r="D19" i="11"/>
  <c r="J55" i="30"/>
  <c r="D20" i="49" s="1"/>
  <c r="J54" i="30"/>
  <c r="D15" i="50" s="1"/>
  <c r="J53" i="30"/>
  <c r="J52" i="30"/>
  <c r="J51" i="30"/>
  <c r="D16" i="5" s="1"/>
  <c r="J20" i="30"/>
  <c r="J19" i="30"/>
  <c r="J18" i="30"/>
  <c r="J17" i="30"/>
  <c r="D18" i="10" s="1"/>
  <c r="J15" i="30"/>
  <c r="D19" i="51" s="1"/>
  <c r="J14" i="30"/>
  <c r="D20" i="52" s="1"/>
  <c r="J13" i="30"/>
  <c r="J12" i="30"/>
  <c r="I61" i="30"/>
  <c r="I59" i="30"/>
  <c r="I58" i="30"/>
  <c r="D15" i="7" s="1"/>
  <c r="I57" i="30"/>
  <c r="I55" i="30"/>
  <c r="D18" i="49" s="1"/>
  <c r="I54" i="30"/>
  <c r="D14" i="50" s="1"/>
  <c r="I53" i="30"/>
  <c r="I52" i="30"/>
  <c r="I51" i="30"/>
  <c r="D15" i="5" s="1"/>
  <c r="I44" i="30"/>
  <c r="I43" i="30"/>
  <c r="I42" i="30"/>
  <c r="I41" i="30"/>
  <c r="I40" i="30"/>
  <c r="I39" i="30"/>
  <c r="I38" i="30"/>
  <c r="I37" i="30"/>
  <c r="I36" i="30"/>
  <c r="I35" i="30"/>
  <c r="I34" i="30"/>
  <c r="I33" i="30"/>
  <c r="I32" i="30"/>
  <c r="I31" i="30"/>
  <c r="D17" i="40" s="1"/>
  <c r="I30" i="30"/>
  <c r="I29" i="30"/>
  <c r="I28" i="30"/>
  <c r="I27" i="30"/>
  <c r="I26" i="30"/>
  <c r="I25" i="30"/>
  <c r="I24" i="30"/>
  <c r="I23" i="30"/>
  <c r="I22" i="30"/>
  <c r="D16" i="9" s="1"/>
  <c r="I20" i="30"/>
  <c r="I19" i="30"/>
  <c r="I18" i="30"/>
  <c r="I17" i="30"/>
  <c r="D10" i="10" s="1"/>
  <c r="I15" i="30"/>
  <c r="D12" i="51" s="1"/>
  <c r="I14" i="30"/>
  <c r="D12" i="52" s="1"/>
  <c r="I13" i="30"/>
  <c r="I12" i="30"/>
  <c r="G61" i="30"/>
  <c r="G59" i="30"/>
  <c r="D16" i="8" s="1"/>
  <c r="G58" i="30"/>
  <c r="D17" i="7" s="1"/>
  <c r="G57" i="30"/>
  <c r="G55" i="30"/>
  <c r="D13" i="49" s="1"/>
  <c r="D21" i="50"/>
  <c r="G53" i="30"/>
  <c r="G52" i="30"/>
  <c r="G51" i="30"/>
  <c r="D21" i="5" s="1"/>
  <c r="G44" i="30"/>
  <c r="G43" i="30"/>
  <c r="G42" i="30"/>
  <c r="G41" i="30"/>
  <c r="G40" i="30"/>
  <c r="G39" i="30"/>
  <c r="G38" i="30"/>
  <c r="G37" i="30"/>
  <c r="D17" i="39" s="1"/>
  <c r="G36" i="30"/>
  <c r="G35" i="30"/>
  <c r="G34" i="30"/>
  <c r="G33" i="30"/>
  <c r="G32" i="30"/>
  <c r="G31" i="30"/>
  <c r="D19" i="40" s="1"/>
  <c r="G30" i="30"/>
  <c r="G29" i="30"/>
  <c r="G28" i="30"/>
  <c r="G27" i="30"/>
  <c r="G26" i="30"/>
  <c r="G25" i="30"/>
  <c r="G24" i="30"/>
  <c r="G23" i="30"/>
  <c r="G22" i="30"/>
  <c r="D18" i="9" s="1"/>
  <c r="G20" i="30"/>
  <c r="G19" i="30"/>
  <c r="G18" i="30"/>
  <c r="G17" i="30"/>
  <c r="D17" i="10" s="1"/>
  <c r="G15" i="30"/>
  <c r="D20" i="51" s="1"/>
  <c r="G14" i="30"/>
  <c r="D16" i="52" s="1"/>
  <c r="G13" i="30"/>
  <c r="G12" i="30"/>
  <c r="D18" i="8"/>
  <c r="D20" i="7"/>
  <c r="D19" i="49"/>
  <c r="D17" i="50"/>
  <c r="D18" i="5"/>
  <c r="D20" i="39"/>
  <c r="D20" i="40"/>
  <c r="D20" i="9"/>
  <c r="D20" i="10"/>
  <c r="D21" i="52"/>
  <c r="D18" i="6"/>
  <c r="N61" i="30"/>
  <c r="T61" i="31"/>
  <c r="H16" i="11" s="1"/>
  <c r="T59" i="31"/>
  <c r="H14" i="8" s="1"/>
  <c r="T58" i="31"/>
  <c r="H14" i="7" s="1"/>
  <c r="T57" i="31"/>
  <c r="T55" i="31"/>
  <c r="H15" i="49" s="1"/>
  <c r="T54" i="31"/>
  <c r="H18" i="50" s="1"/>
  <c r="T53" i="31"/>
  <c r="T52" i="31"/>
  <c r="T51" i="31"/>
  <c r="H17" i="5" s="1"/>
  <c r="T44" i="31"/>
  <c r="T43" i="31"/>
  <c r="T42" i="31"/>
  <c r="T41" i="31"/>
  <c r="T40" i="31"/>
  <c r="T39" i="31"/>
  <c r="T38" i="31"/>
  <c r="T37" i="31"/>
  <c r="H13" i="39" s="1"/>
  <c r="T36" i="31"/>
  <c r="T35" i="31"/>
  <c r="T34" i="31"/>
  <c r="T33" i="31"/>
  <c r="T32" i="31"/>
  <c r="T31" i="31"/>
  <c r="H15" i="40" s="1"/>
  <c r="T30" i="31"/>
  <c r="T29" i="31"/>
  <c r="T28" i="31"/>
  <c r="T27" i="31"/>
  <c r="T26" i="31"/>
  <c r="T25" i="31"/>
  <c r="T24" i="31"/>
  <c r="T23" i="31"/>
  <c r="T22" i="31"/>
  <c r="H13" i="9" s="1"/>
  <c r="T20" i="31"/>
  <c r="T19" i="31"/>
  <c r="T18" i="31"/>
  <c r="T17" i="31"/>
  <c r="H12" i="10" s="1"/>
  <c r="T15" i="31"/>
  <c r="H16" i="51" s="1"/>
  <c r="T14" i="31"/>
  <c r="H13" i="52" s="1"/>
  <c r="T13" i="31"/>
  <c r="T12" i="31"/>
  <c r="H15" i="6" s="1"/>
  <c r="K61" i="30"/>
  <c r="D16" i="11" s="1"/>
  <c r="K59" i="30"/>
  <c r="D14" i="8" s="1"/>
  <c r="K58" i="30"/>
  <c r="D14" i="7" s="1"/>
  <c r="K57" i="30"/>
  <c r="K55" i="30"/>
  <c r="D15" i="49" s="1"/>
  <c r="K54" i="30"/>
  <c r="D18" i="50" s="1"/>
  <c r="K53" i="30"/>
  <c r="K52" i="30"/>
  <c r="K51" i="30"/>
  <c r="D17" i="5" s="1"/>
  <c r="K44" i="30"/>
  <c r="K43" i="30"/>
  <c r="K42" i="30"/>
  <c r="K41" i="30"/>
  <c r="K40" i="30"/>
  <c r="K39" i="30"/>
  <c r="K38" i="30"/>
  <c r="K37" i="30"/>
  <c r="D13" i="39" s="1"/>
  <c r="K36" i="30"/>
  <c r="K35" i="30"/>
  <c r="K34" i="30"/>
  <c r="K33" i="30"/>
  <c r="K32" i="30"/>
  <c r="K31" i="30"/>
  <c r="D15" i="40" s="1"/>
  <c r="K30" i="30"/>
  <c r="K29" i="30"/>
  <c r="K28" i="30"/>
  <c r="K27" i="30"/>
  <c r="K26" i="30"/>
  <c r="K25" i="30"/>
  <c r="K24" i="30"/>
  <c r="K23" i="30"/>
  <c r="K22" i="30"/>
  <c r="D13" i="9" s="1"/>
  <c r="K20" i="30"/>
  <c r="K19" i="30"/>
  <c r="K18" i="30"/>
  <c r="K17" i="30"/>
  <c r="D12" i="10" s="1"/>
  <c r="K15" i="30"/>
  <c r="D16" i="51" s="1"/>
  <c r="K14" i="30"/>
  <c r="D13" i="52" s="1"/>
  <c r="K13" i="30"/>
  <c r="K12" i="30"/>
  <c r="E12" i="35"/>
  <c r="F13" i="1" s="1"/>
  <c r="F36" i="1" s="1"/>
  <c r="E13" i="35"/>
  <c r="E14" i="35"/>
  <c r="F14" i="1" s="1"/>
  <c r="F37" i="1" s="1"/>
  <c r="E15" i="35"/>
  <c r="F15" i="1" s="1"/>
  <c r="F38" i="1" s="1"/>
  <c r="E17" i="35"/>
  <c r="F20" i="1" s="1"/>
  <c r="F43" i="1" s="1"/>
  <c r="E18" i="35"/>
  <c r="E19" i="35"/>
  <c r="E22" i="35"/>
  <c r="F19" i="1" s="1"/>
  <c r="F42" i="1" s="1"/>
  <c r="E23" i="35"/>
  <c r="E24" i="35"/>
  <c r="E25" i="35"/>
  <c r="E26" i="35"/>
  <c r="E27" i="35"/>
  <c r="E28" i="35"/>
  <c r="E29" i="35"/>
  <c r="E30" i="35"/>
  <c r="E31" i="35"/>
  <c r="E32" i="35"/>
  <c r="E33" i="35"/>
  <c r="E34" i="35"/>
  <c r="E35" i="35"/>
  <c r="E36" i="35"/>
  <c r="E37" i="35"/>
  <c r="E38" i="35"/>
  <c r="E39" i="35"/>
  <c r="E40" i="35"/>
  <c r="E41" i="35"/>
  <c r="E42" i="35"/>
  <c r="E43" i="35"/>
  <c r="E44" i="35"/>
  <c r="E46" i="35"/>
  <c r="E47" i="35"/>
  <c r="E48" i="35"/>
  <c r="E49" i="35"/>
  <c r="E51" i="35"/>
  <c r="F10" i="1" s="1"/>
  <c r="F33" i="1" s="1"/>
  <c r="F16" i="1"/>
  <c r="F39" i="1" s="1"/>
  <c r="E58" i="35"/>
  <c r="F17" i="1" s="1"/>
  <c r="F40" i="1" s="1"/>
  <c r="E59" i="35"/>
  <c r="F18" i="1" s="1"/>
  <c r="F41" i="1" s="1"/>
  <c r="E61" i="35"/>
  <c r="F21" i="1" s="1"/>
  <c r="C21" i="6"/>
  <c r="C16" i="5"/>
  <c r="C10" i="5"/>
  <c r="C16" i="6"/>
  <c r="C20" i="5"/>
  <c r="G10" i="38"/>
  <c r="G13" i="38"/>
  <c r="G11" i="38"/>
  <c r="G14" i="38"/>
  <c r="G12" i="38"/>
  <c r="G16" i="38"/>
  <c r="G17" i="38"/>
  <c r="G19" i="38"/>
  <c r="G18" i="38"/>
  <c r="G20" i="38"/>
  <c r="G21" i="38"/>
  <c r="C21" i="38"/>
  <c r="C20" i="38"/>
  <c r="C19" i="38"/>
  <c r="C17" i="38"/>
  <c r="C16" i="38"/>
  <c r="C12" i="38"/>
  <c r="C15" i="38"/>
  <c r="C14" i="38"/>
  <c r="C11" i="38"/>
  <c r="C13" i="38"/>
  <c r="C10" i="38"/>
  <c r="G21" i="6"/>
  <c r="G19" i="6"/>
  <c r="G18" i="6"/>
  <c r="G17" i="6"/>
  <c r="G16" i="6"/>
  <c r="G20" i="6"/>
  <c r="G15" i="6"/>
  <c r="G14" i="6"/>
  <c r="G13" i="6"/>
  <c r="G10" i="6"/>
  <c r="G12" i="6"/>
  <c r="G11" i="6"/>
  <c r="C19" i="6"/>
  <c r="C17" i="6"/>
  <c r="C20" i="6"/>
  <c r="C15" i="6"/>
  <c r="C14" i="6"/>
  <c r="C10" i="6"/>
  <c r="C12" i="6"/>
  <c r="C11" i="6"/>
  <c r="G20" i="5"/>
  <c r="G21" i="5"/>
  <c r="G19" i="5"/>
  <c r="G18" i="5"/>
  <c r="G17" i="5"/>
  <c r="G15" i="5"/>
  <c r="G13" i="5"/>
  <c r="G12" i="5"/>
  <c r="G16" i="5"/>
  <c r="G14" i="5"/>
  <c r="G11" i="5"/>
  <c r="G10" i="5"/>
  <c r="C21" i="5"/>
  <c r="C19" i="5"/>
  <c r="C18" i="5"/>
  <c r="C17" i="5"/>
  <c r="C15" i="5"/>
  <c r="C13" i="5"/>
  <c r="C12" i="5"/>
  <c r="C14" i="5"/>
  <c r="C11" i="5"/>
  <c r="G18" i="9"/>
  <c r="C18" i="9"/>
  <c r="G15" i="9"/>
  <c r="C15" i="9"/>
  <c r="B10" i="5"/>
  <c r="B11" i="5"/>
  <c r="B14" i="5"/>
  <c r="B16" i="5"/>
  <c r="B13" i="5"/>
  <c r="B12" i="5"/>
  <c r="B15" i="5"/>
  <c r="B17" i="5"/>
  <c r="B18" i="5"/>
  <c r="B19" i="5"/>
  <c r="B21" i="5"/>
  <c r="B20" i="5"/>
  <c r="C44" i="45"/>
  <c r="D44" i="45"/>
  <c r="E44" i="45"/>
  <c r="F44" i="45"/>
  <c r="G44" i="45"/>
  <c r="H44" i="45"/>
  <c r="I44" i="45"/>
  <c r="J44" i="45"/>
  <c r="K44" i="45"/>
  <c r="L44" i="45"/>
  <c r="N44" i="45"/>
  <c r="O44" i="45"/>
  <c r="C16" i="48"/>
  <c r="H22" i="33" s="1"/>
  <c r="E16" i="48"/>
  <c r="F16" i="48"/>
  <c r="G16" i="48"/>
  <c r="H16" i="48"/>
  <c r="I16" i="48"/>
  <c r="J16" i="48"/>
  <c r="K16" i="48"/>
  <c r="L16" i="48"/>
  <c r="M16" i="48"/>
  <c r="C4" i="48"/>
  <c r="H10" i="33" s="1"/>
  <c r="E4" i="48"/>
  <c r="F4" i="48"/>
  <c r="I10" i="33" s="1"/>
  <c r="G4" i="48"/>
  <c r="C10" i="33" s="1"/>
  <c r="H4" i="48"/>
  <c r="J10" i="33" s="1"/>
  <c r="I4" i="48"/>
  <c r="F10" i="33" s="1"/>
  <c r="J4" i="48"/>
  <c r="L10" i="33" s="1"/>
  <c r="K4" i="48"/>
  <c r="E10" i="33" s="1"/>
  <c r="L4" i="48"/>
  <c r="D10" i="33" s="1"/>
  <c r="M4" i="48"/>
  <c r="M31" i="45"/>
  <c r="L31" i="45"/>
  <c r="K31" i="45"/>
  <c r="J31" i="45"/>
  <c r="I31" i="45"/>
  <c r="H31" i="45"/>
  <c r="G31" i="45"/>
  <c r="N31" i="45"/>
  <c r="F31" i="45"/>
  <c r="E31" i="45"/>
  <c r="D31" i="45"/>
  <c r="C31" i="45"/>
  <c r="M36" i="45"/>
  <c r="K36" i="45"/>
  <c r="K39" i="33"/>
  <c r="J39" i="33"/>
  <c r="H36" i="45"/>
  <c r="G36" i="45"/>
  <c r="N36" i="45"/>
  <c r="F39" i="33"/>
  <c r="E36" i="45"/>
  <c r="D36" i="45"/>
  <c r="C36" i="45"/>
  <c r="M34" i="45"/>
  <c r="L34" i="45"/>
  <c r="K34" i="45"/>
  <c r="J34" i="45"/>
  <c r="I34" i="45"/>
  <c r="H34" i="45"/>
  <c r="G34" i="45"/>
  <c r="N34" i="45"/>
  <c r="F34" i="45"/>
  <c r="E34" i="45"/>
  <c r="D34" i="45"/>
  <c r="M25" i="45"/>
  <c r="M50" i="45" s="1"/>
  <c r="L25" i="45"/>
  <c r="L50" i="45" s="1"/>
  <c r="K25" i="45"/>
  <c r="K50" i="45" s="1"/>
  <c r="J25" i="45"/>
  <c r="J50" i="45" s="1"/>
  <c r="I25" i="45"/>
  <c r="I50" i="45" s="1"/>
  <c r="H25" i="45"/>
  <c r="H50" i="45" s="1"/>
  <c r="G25" i="45"/>
  <c r="G50" i="45" s="1"/>
  <c r="N25" i="45"/>
  <c r="N50" i="45" s="1"/>
  <c r="F25" i="45"/>
  <c r="F50" i="45" s="1"/>
  <c r="E25" i="45"/>
  <c r="E50" i="45" s="1"/>
  <c r="D25" i="45"/>
  <c r="D50" i="45" s="1"/>
  <c r="C25" i="45"/>
  <c r="C50" i="45" s="1"/>
  <c r="M28" i="45"/>
  <c r="L28" i="45"/>
  <c r="K28" i="45"/>
  <c r="J28" i="45"/>
  <c r="I28" i="45"/>
  <c r="H28" i="45"/>
  <c r="G28" i="45"/>
  <c r="N28" i="45"/>
  <c r="F28" i="45"/>
  <c r="E28" i="45"/>
  <c r="D28" i="45"/>
  <c r="C28" i="45"/>
  <c r="M23" i="45"/>
  <c r="L23" i="45"/>
  <c r="K23" i="45"/>
  <c r="J23" i="45"/>
  <c r="I23" i="45"/>
  <c r="H23" i="45"/>
  <c r="G23" i="45"/>
  <c r="F23" i="45"/>
  <c r="E23" i="45"/>
  <c r="D23" i="45"/>
  <c r="C23" i="45"/>
  <c r="M19" i="45"/>
  <c r="L19" i="45"/>
  <c r="K19" i="45"/>
  <c r="J19" i="45"/>
  <c r="I19" i="45"/>
  <c r="H19" i="45"/>
  <c r="G19" i="45"/>
  <c r="N19" i="45"/>
  <c r="F19" i="45"/>
  <c r="E19" i="45"/>
  <c r="D19" i="45"/>
  <c r="C19" i="45"/>
  <c r="M6" i="45"/>
  <c r="L6" i="45"/>
  <c r="K6" i="45"/>
  <c r="J6" i="45"/>
  <c r="I6" i="45"/>
  <c r="H6" i="45"/>
  <c r="G6" i="45"/>
  <c r="N6" i="45"/>
  <c r="F6" i="45"/>
  <c r="E6" i="45"/>
  <c r="C6" i="45"/>
  <c r="D21" i="53"/>
  <c r="D15" i="53"/>
  <c r="D19" i="53"/>
  <c r="D12" i="53"/>
  <c r="D13" i="53"/>
  <c r="M10" i="45"/>
  <c r="L10" i="45"/>
  <c r="K10" i="45"/>
  <c r="J10" i="45"/>
  <c r="I10" i="45"/>
  <c r="H10" i="45"/>
  <c r="G10" i="45"/>
  <c r="N10" i="45"/>
  <c r="F10" i="45"/>
  <c r="E10" i="45"/>
  <c r="D10" i="45"/>
  <c r="C10" i="45"/>
  <c r="L8" i="45"/>
  <c r="D18" i="22"/>
  <c r="D15" i="22"/>
  <c r="D14" i="22"/>
  <c r="G8" i="45"/>
  <c r="D20" i="22"/>
  <c r="F8" i="45"/>
  <c r="E8" i="45"/>
  <c r="D8" i="45"/>
  <c r="D16" i="22"/>
  <c r="M18" i="45"/>
  <c r="L18" i="45"/>
  <c r="K18" i="45"/>
  <c r="J18" i="45"/>
  <c r="I18" i="45"/>
  <c r="H18" i="45"/>
  <c r="G18" i="45"/>
  <c r="N18" i="45"/>
  <c r="F18" i="45"/>
  <c r="D18" i="45"/>
  <c r="C18" i="45"/>
  <c r="M30" i="45"/>
  <c r="L30" i="45"/>
  <c r="K30" i="45"/>
  <c r="J30" i="45"/>
  <c r="I30" i="45"/>
  <c r="H30" i="45"/>
  <c r="G30" i="45"/>
  <c r="N30" i="45"/>
  <c r="F30" i="45"/>
  <c r="E30" i="45"/>
  <c r="D30" i="45"/>
  <c r="C30" i="45"/>
  <c r="M33" i="45"/>
  <c r="L33" i="45"/>
  <c r="K33" i="45"/>
  <c r="J33" i="45"/>
  <c r="I33" i="45"/>
  <c r="H33" i="45"/>
  <c r="G33" i="45"/>
  <c r="N33" i="45"/>
  <c r="F33" i="45"/>
  <c r="E33" i="45"/>
  <c r="D33" i="45"/>
  <c r="D21" i="17"/>
  <c r="L27" i="45"/>
  <c r="K27" i="45"/>
  <c r="J27" i="45"/>
  <c r="D17" i="17"/>
  <c r="D15" i="17"/>
  <c r="D11" i="17"/>
  <c r="D18" i="17"/>
  <c r="F27" i="45"/>
  <c r="D14" i="17"/>
  <c r="D12" i="17"/>
  <c r="M22" i="45"/>
  <c r="L22" i="45"/>
  <c r="K22" i="45"/>
  <c r="J22" i="45"/>
  <c r="I22" i="45"/>
  <c r="H22" i="45"/>
  <c r="G22" i="45"/>
  <c r="N22" i="45"/>
  <c r="F22" i="45"/>
  <c r="E22" i="45"/>
  <c r="D22" i="45"/>
  <c r="C22" i="45"/>
  <c r="M17" i="45"/>
  <c r="L17" i="45"/>
  <c r="K17" i="45"/>
  <c r="J17" i="45"/>
  <c r="I17" i="45"/>
  <c r="H17" i="45"/>
  <c r="G17" i="45"/>
  <c r="N17" i="45"/>
  <c r="F17" i="45"/>
  <c r="E17" i="45"/>
  <c r="D17" i="45"/>
  <c r="C17" i="45"/>
  <c r="M16" i="45"/>
  <c r="L16" i="45"/>
  <c r="K16" i="45"/>
  <c r="J16" i="45"/>
  <c r="I16" i="45"/>
  <c r="H16" i="45"/>
  <c r="G16" i="45"/>
  <c r="N16" i="45"/>
  <c r="F16" i="45"/>
  <c r="E16" i="45"/>
  <c r="D16" i="45"/>
  <c r="C16" i="45"/>
  <c r="M11" i="45"/>
  <c r="L11" i="45"/>
  <c r="K11" i="45"/>
  <c r="J11" i="45"/>
  <c r="I11" i="45"/>
  <c r="H11" i="45"/>
  <c r="G11" i="45"/>
  <c r="N11" i="45"/>
  <c r="F11" i="45"/>
  <c r="E11" i="45"/>
  <c r="D11" i="45"/>
  <c r="C11" i="45"/>
  <c r="M13" i="45"/>
  <c r="L13" i="45"/>
  <c r="K13" i="45"/>
  <c r="J13" i="45"/>
  <c r="I13" i="45"/>
  <c r="H13" i="45"/>
  <c r="G13" i="45"/>
  <c r="N13" i="45"/>
  <c r="F13" i="45"/>
  <c r="E13" i="45"/>
  <c r="D13" i="45"/>
  <c r="C13" i="45"/>
  <c r="M5" i="45"/>
  <c r="L5" i="45"/>
  <c r="K5" i="45"/>
  <c r="J5" i="45"/>
  <c r="I5" i="45"/>
  <c r="H5" i="45"/>
  <c r="G5" i="45"/>
  <c r="N5" i="45"/>
  <c r="F5" i="45"/>
  <c r="E5" i="45"/>
  <c r="C5" i="45"/>
  <c r="B16" i="48"/>
  <c r="N22" i="33" s="1"/>
  <c r="B4" i="48"/>
  <c r="N10" i="33" s="1"/>
  <c r="P53" i="32"/>
  <c r="N53" i="32"/>
  <c r="M53" i="32"/>
  <c r="L53" i="32"/>
  <c r="K53" i="32"/>
  <c r="J53" i="32"/>
  <c r="I53" i="32"/>
  <c r="H53" i="32"/>
  <c r="G53" i="32"/>
  <c r="F53" i="32"/>
  <c r="E53" i="32"/>
  <c r="P49" i="32"/>
  <c r="N49" i="32"/>
  <c r="M49" i="32"/>
  <c r="L49" i="32"/>
  <c r="K49" i="32"/>
  <c r="J49" i="32"/>
  <c r="I49" i="32"/>
  <c r="H49" i="32"/>
  <c r="G49" i="32"/>
  <c r="F49" i="32"/>
  <c r="E49" i="32"/>
  <c r="P45" i="32"/>
  <c r="N45" i="32"/>
  <c r="M45" i="32"/>
  <c r="L45" i="32"/>
  <c r="K45" i="32"/>
  <c r="J45" i="32"/>
  <c r="I45" i="32"/>
  <c r="H45" i="32"/>
  <c r="G45" i="32"/>
  <c r="F45" i="32"/>
  <c r="E45" i="32"/>
  <c r="P44" i="32"/>
  <c r="N44" i="32"/>
  <c r="M44" i="32"/>
  <c r="L44" i="32"/>
  <c r="K44" i="32"/>
  <c r="J44" i="32"/>
  <c r="I44" i="32"/>
  <c r="H44" i="32"/>
  <c r="G44" i="32"/>
  <c r="F44" i="32"/>
  <c r="E44" i="32"/>
  <c r="P43" i="32"/>
  <c r="N43" i="32"/>
  <c r="M43" i="32"/>
  <c r="L43" i="32"/>
  <c r="K43" i="32"/>
  <c r="J43" i="32"/>
  <c r="I43" i="32"/>
  <c r="H43" i="32"/>
  <c r="G43" i="32"/>
  <c r="F43" i="32"/>
  <c r="E43" i="32"/>
  <c r="P42" i="32"/>
  <c r="N42" i="32"/>
  <c r="M42" i="32"/>
  <c r="L42" i="32"/>
  <c r="K42" i="32"/>
  <c r="J42" i="32"/>
  <c r="I42" i="32"/>
  <c r="H42" i="32"/>
  <c r="G42" i="32"/>
  <c r="F42" i="32"/>
  <c r="E42" i="32"/>
  <c r="P41" i="32"/>
  <c r="N41" i="32"/>
  <c r="M41" i="32"/>
  <c r="L41" i="32"/>
  <c r="K41" i="32"/>
  <c r="J41" i="32"/>
  <c r="I41" i="32"/>
  <c r="H41" i="32"/>
  <c r="G41" i="32"/>
  <c r="F41" i="32"/>
  <c r="E41" i="32"/>
  <c r="P37" i="32"/>
  <c r="N37" i="32"/>
  <c r="M37" i="32"/>
  <c r="L37" i="32"/>
  <c r="K37" i="32"/>
  <c r="J37" i="32"/>
  <c r="I37" i="32"/>
  <c r="H37" i="32"/>
  <c r="G37" i="32"/>
  <c r="F37" i="32"/>
  <c r="E37" i="32"/>
  <c r="P36" i="32"/>
  <c r="N36" i="32"/>
  <c r="M36" i="32"/>
  <c r="L36" i="32"/>
  <c r="K36" i="32"/>
  <c r="J36" i="32"/>
  <c r="I36" i="32"/>
  <c r="H36" i="32"/>
  <c r="G36" i="32"/>
  <c r="F36" i="32"/>
  <c r="E36" i="32"/>
  <c r="P35" i="32"/>
  <c r="D21" i="29" s="1"/>
  <c r="D20" i="29"/>
  <c r="N35" i="32"/>
  <c r="D19" i="29" s="1"/>
  <c r="M35" i="32"/>
  <c r="D17" i="29" s="1"/>
  <c r="L35" i="32"/>
  <c r="D18" i="29" s="1"/>
  <c r="K35" i="32"/>
  <c r="D15" i="29" s="1"/>
  <c r="J35" i="32"/>
  <c r="D12" i="29" s="1"/>
  <c r="I35" i="32"/>
  <c r="D16" i="29" s="1"/>
  <c r="H35" i="32"/>
  <c r="D13" i="29" s="1"/>
  <c r="G35" i="32"/>
  <c r="D14" i="29" s="1"/>
  <c r="F35" i="32"/>
  <c r="D10" i="29" s="1"/>
  <c r="E35" i="32"/>
  <c r="D11" i="29" s="1"/>
  <c r="P34" i="32"/>
  <c r="N34" i="32"/>
  <c r="M34" i="32"/>
  <c r="L34" i="32"/>
  <c r="K34" i="32"/>
  <c r="J34" i="32"/>
  <c r="I34" i="32"/>
  <c r="H34" i="32"/>
  <c r="G34" i="32"/>
  <c r="F34" i="32"/>
  <c r="E34" i="32"/>
  <c r="P33" i="32"/>
  <c r="N33" i="32"/>
  <c r="M33" i="32"/>
  <c r="L33" i="32"/>
  <c r="K33" i="32"/>
  <c r="J33" i="32"/>
  <c r="I33" i="32"/>
  <c r="H33" i="32"/>
  <c r="G33" i="32"/>
  <c r="F33" i="32"/>
  <c r="E33" i="32"/>
  <c r="P32" i="32"/>
  <c r="N32" i="32"/>
  <c r="M32" i="32"/>
  <c r="L32" i="32"/>
  <c r="K32" i="32"/>
  <c r="J32" i="32"/>
  <c r="I32" i="32"/>
  <c r="H32" i="32"/>
  <c r="G32" i="32"/>
  <c r="F32" i="32"/>
  <c r="E32" i="32"/>
  <c r="P31" i="32"/>
  <c r="N31" i="32"/>
  <c r="M31" i="32"/>
  <c r="L31" i="32"/>
  <c r="K31" i="32"/>
  <c r="J31" i="32"/>
  <c r="I31" i="32"/>
  <c r="H31" i="32"/>
  <c r="G31" i="32"/>
  <c r="F31" i="32"/>
  <c r="E31" i="32"/>
  <c r="P30" i="32"/>
  <c r="N30" i="32"/>
  <c r="M30" i="32"/>
  <c r="L30" i="32"/>
  <c r="K30" i="32"/>
  <c r="J30" i="32"/>
  <c r="I30" i="32"/>
  <c r="H30" i="32"/>
  <c r="G30" i="32"/>
  <c r="F30" i="32"/>
  <c r="E30" i="32"/>
  <c r="P29" i="32"/>
  <c r="N29" i="32"/>
  <c r="M29" i="32"/>
  <c r="L29" i="32"/>
  <c r="K29" i="32"/>
  <c r="J29" i="32"/>
  <c r="I29" i="32"/>
  <c r="H29" i="32"/>
  <c r="G29" i="32"/>
  <c r="F29" i="32"/>
  <c r="E29" i="32"/>
  <c r="P23" i="32"/>
  <c r="N23" i="32"/>
  <c r="M23" i="32"/>
  <c r="L23" i="32"/>
  <c r="K23" i="32"/>
  <c r="J23" i="32"/>
  <c r="I23" i="32"/>
  <c r="H23" i="32"/>
  <c r="G23" i="32"/>
  <c r="F23" i="32"/>
  <c r="E23" i="32"/>
  <c r="D17" i="19"/>
  <c r="D19" i="19"/>
  <c r="D20" i="19"/>
  <c r="D21" i="19"/>
  <c r="D15" i="19"/>
  <c r="D11" i="19"/>
  <c r="D18" i="19"/>
  <c r="D10" i="19"/>
  <c r="D12" i="19"/>
  <c r="D16" i="19"/>
  <c r="D14" i="19"/>
  <c r="J39" i="32"/>
  <c r="D11" i="21" s="1"/>
  <c r="D19" i="21"/>
  <c r="I39" i="32"/>
  <c r="K39" i="32"/>
  <c r="E39" i="32"/>
  <c r="L39" i="32"/>
  <c r="H39" i="32"/>
  <c r="D10" i="21" s="1"/>
  <c r="N39" i="32"/>
  <c r="G39" i="32"/>
  <c r="F39" i="32"/>
  <c r="D14" i="21" s="1"/>
  <c r="M39" i="32"/>
  <c r="P39" i="32"/>
  <c r="I27" i="32"/>
  <c r="K27" i="32"/>
  <c r="E27" i="32"/>
  <c r="H27" i="32"/>
  <c r="N27" i="32"/>
  <c r="G27" i="32"/>
  <c r="F27" i="32"/>
  <c r="M27" i="32"/>
  <c r="K10" i="32"/>
  <c r="E10" i="32"/>
  <c r="D13" i="20" s="1"/>
  <c r="L10" i="32"/>
  <c r="H10" i="32"/>
  <c r="F10" i="32"/>
  <c r="D11" i="20" s="1"/>
  <c r="P10" i="32"/>
  <c r="D17" i="20" s="1"/>
  <c r="Z61" i="31"/>
  <c r="N61" i="31"/>
  <c r="Z59" i="31"/>
  <c r="H19" i="8" s="1"/>
  <c r="N59" i="31"/>
  <c r="H11" i="8" s="1"/>
  <c r="Z58" i="31"/>
  <c r="H12" i="7" s="1"/>
  <c r="N58" i="31"/>
  <c r="Z57" i="31"/>
  <c r="N57" i="31"/>
  <c r="Z55" i="31"/>
  <c r="H21" i="49" s="1"/>
  <c r="N55" i="31"/>
  <c r="H16" i="49" s="1"/>
  <c r="Z54" i="31"/>
  <c r="H20" i="50" s="1"/>
  <c r="N54" i="31"/>
  <c r="H12" i="50" s="1"/>
  <c r="Z53" i="31"/>
  <c r="N53" i="31"/>
  <c r="Z52" i="31"/>
  <c r="N52" i="31"/>
  <c r="Z51" i="31"/>
  <c r="H20" i="5" s="1"/>
  <c r="N51" i="31"/>
  <c r="H12" i="5" s="1"/>
  <c r="Z44" i="31"/>
  <c r="N44" i="31"/>
  <c r="Z43" i="31"/>
  <c r="N43" i="31"/>
  <c r="Z42" i="31"/>
  <c r="N42" i="31"/>
  <c r="Z41" i="31"/>
  <c r="N41" i="31"/>
  <c r="Z40" i="31"/>
  <c r="N40" i="31"/>
  <c r="Z39" i="31"/>
  <c r="N39" i="31"/>
  <c r="Z38" i="31"/>
  <c r="N38" i="31"/>
  <c r="Z37" i="31"/>
  <c r="H10" i="39" s="1"/>
  <c r="N37" i="31"/>
  <c r="Z36" i="31"/>
  <c r="N36" i="31"/>
  <c r="Z35" i="31"/>
  <c r="N35" i="31"/>
  <c r="Z34" i="31"/>
  <c r="N34" i="31"/>
  <c r="Z33" i="31"/>
  <c r="N33" i="31"/>
  <c r="Z32" i="31"/>
  <c r="N32" i="31"/>
  <c r="Z31" i="31"/>
  <c r="H18" i="40" s="1"/>
  <c r="N31" i="31"/>
  <c r="Z30" i="31"/>
  <c r="N30" i="31"/>
  <c r="Z29" i="31"/>
  <c r="N29" i="31"/>
  <c r="Z28" i="31"/>
  <c r="N28" i="31"/>
  <c r="Z27" i="31"/>
  <c r="N27" i="31"/>
  <c r="Z26" i="31"/>
  <c r="N26" i="31"/>
  <c r="Z25" i="31"/>
  <c r="N25" i="31"/>
  <c r="Z24" i="31"/>
  <c r="N24" i="31"/>
  <c r="Z23" i="31"/>
  <c r="N23" i="31"/>
  <c r="Z22" i="31"/>
  <c r="H12" i="9" s="1"/>
  <c r="Z20" i="31"/>
  <c r="N20" i="31"/>
  <c r="Z19" i="31"/>
  <c r="N19" i="31"/>
  <c r="Z18" i="31"/>
  <c r="N18" i="31"/>
  <c r="Z17" i="31"/>
  <c r="H13" i="10" s="1"/>
  <c r="N17" i="31"/>
  <c r="H16" i="10" s="1"/>
  <c r="Z15" i="31"/>
  <c r="H15" i="51" s="1"/>
  <c r="N15" i="31"/>
  <c r="H13" i="51" s="1"/>
  <c r="Z14" i="31"/>
  <c r="H14" i="52" s="1"/>
  <c r="N14" i="31"/>
  <c r="H17" i="52" s="1"/>
  <c r="Z13" i="31"/>
  <c r="N13" i="31"/>
  <c r="Z12" i="31"/>
  <c r="H16" i="6" s="1"/>
  <c r="N12" i="31"/>
  <c r="H14" i="6" s="1"/>
  <c r="H61" i="30"/>
  <c r="N59" i="30"/>
  <c r="D19" i="8" s="1"/>
  <c r="H59" i="30"/>
  <c r="D11" i="8" s="1"/>
  <c r="N58" i="30"/>
  <c r="D12" i="7" s="1"/>
  <c r="H58" i="30"/>
  <c r="D11" i="7" s="1"/>
  <c r="N57" i="30"/>
  <c r="H57" i="30"/>
  <c r="N55" i="30"/>
  <c r="D21" i="49" s="1"/>
  <c r="H55" i="30"/>
  <c r="D16" i="49" s="1"/>
  <c r="N54" i="30"/>
  <c r="D20" i="50" s="1"/>
  <c r="H54" i="30"/>
  <c r="D12" i="50" s="1"/>
  <c r="N53" i="30"/>
  <c r="H53" i="30"/>
  <c r="N52" i="30"/>
  <c r="H52" i="30"/>
  <c r="N51" i="30"/>
  <c r="D20" i="5" s="1"/>
  <c r="H51" i="30"/>
  <c r="D12" i="5" s="1"/>
  <c r="N44" i="30"/>
  <c r="H44" i="30"/>
  <c r="N43" i="30"/>
  <c r="H43" i="30"/>
  <c r="N42" i="30"/>
  <c r="H42" i="30"/>
  <c r="N41" i="30"/>
  <c r="H41" i="30"/>
  <c r="N40" i="30"/>
  <c r="H40" i="30"/>
  <c r="N39" i="30"/>
  <c r="H39" i="30"/>
  <c r="N38" i="30"/>
  <c r="H38" i="30"/>
  <c r="N37" i="30"/>
  <c r="D10" i="39" s="1"/>
  <c r="H37" i="30"/>
  <c r="D12" i="39" s="1"/>
  <c r="N36" i="30"/>
  <c r="H36" i="30"/>
  <c r="N35" i="30"/>
  <c r="H35" i="30"/>
  <c r="N34" i="30"/>
  <c r="H34" i="30"/>
  <c r="N33" i="30"/>
  <c r="H33" i="30"/>
  <c r="N32" i="30"/>
  <c r="H32" i="30"/>
  <c r="N31" i="30"/>
  <c r="D18" i="40" s="1"/>
  <c r="H31" i="30"/>
  <c r="D11" i="40" s="1"/>
  <c r="N30" i="30"/>
  <c r="H30" i="30"/>
  <c r="N29" i="30"/>
  <c r="H29" i="30"/>
  <c r="N28" i="30"/>
  <c r="H28" i="30"/>
  <c r="N27" i="30"/>
  <c r="H27" i="30"/>
  <c r="N26" i="30"/>
  <c r="H26" i="30"/>
  <c r="N25" i="30"/>
  <c r="H25" i="30"/>
  <c r="N24" i="30"/>
  <c r="H24" i="30"/>
  <c r="N23" i="30"/>
  <c r="H23" i="30"/>
  <c r="N22" i="30"/>
  <c r="D12" i="9" s="1"/>
  <c r="H22" i="30"/>
  <c r="D11" i="9" s="1"/>
  <c r="N20" i="30"/>
  <c r="H20" i="30"/>
  <c r="N19" i="30"/>
  <c r="H19" i="30"/>
  <c r="N18" i="30"/>
  <c r="H18" i="30"/>
  <c r="N17" i="30"/>
  <c r="D13" i="10" s="1"/>
  <c r="H17" i="30"/>
  <c r="N15" i="30"/>
  <c r="D15" i="51" s="1"/>
  <c r="D13" i="51"/>
  <c r="N14" i="30"/>
  <c r="D14" i="52" s="1"/>
  <c r="D17" i="52"/>
  <c r="N13" i="30"/>
  <c r="N12" i="30"/>
  <c r="D14" i="6"/>
  <c r="F12" i="1"/>
  <c r="F35" i="1" s="1"/>
  <c r="A25" i="13"/>
  <c r="A24" i="11"/>
  <c r="A24" i="10"/>
  <c r="A24" i="40"/>
  <c r="A24" i="39"/>
  <c r="A24" i="38"/>
  <c r="A24" i="9"/>
  <c r="A24" i="8"/>
  <c r="A24" i="7"/>
  <c r="A24" i="6"/>
  <c r="A24" i="5"/>
  <c r="E25" i="13"/>
  <c r="E24" i="11"/>
  <c r="E24" i="10"/>
  <c r="E24" i="40"/>
  <c r="E24" i="39"/>
  <c r="E24" i="38"/>
  <c r="E24" i="9"/>
  <c r="E24" i="8"/>
  <c r="E24" i="7"/>
  <c r="E24" i="6"/>
  <c r="E24" i="5"/>
  <c r="C10" i="37"/>
  <c r="C12" i="37"/>
  <c r="C13" i="37"/>
  <c r="C14" i="37"/>
  <c r="C15" i="37"/>
  <c r="C16" i="37"/>
  <c r="C17" i="37"/>
  <c r="C18" i="37"/>
  <c r="C19" i="37"/>
  <c r="C20" i="37"/>
  <c r="C22" i="37"/>
  <c r="C24" i="37"/>
  <c r="C25" i="37"/>
  <c r="C26" i="37"/>
  <c r="C27" i="37"/>
  <c r="C28" i="37"/>
  <c r="C29" i="37"/>
  <c r="C30" i="37"/>
  <c r="C31" i="37"/>
  <c r="C32" i="37"/>
  <c r="C33" i="37"/>
  <c r="C34" i="37"/>
  <c r="C35" i="37"/>
  <c r="C37" i="37"/>
  <c r="C10" i="36"/>
  <c r="C12" i="36"/>
  <c r="C13" i="36"/>
  <c r="C14" i="36"/>
  <c r="C15" i="36"/>
  <c r="C16" i="36"/>
  <c r="C18" i="36"/>
  <c r="C19" i="36"/>
  <c r="C20" i="36"/>
  <c r="C21" i="36"/>
  <c r="C23" i="36"/>
  <c r="C25" i="36"/>
  <c r="C27" i="36"/>
  <c r="C29" i="36"/>
  <c r="C30" i="36"/>
  <c r="C31" i="36"/>
  <c r="C32" i="36"/>
  <c r="C33" i="36"/>
  <c r="C35" i="36"/>
  <c r="C36" i="36"/>
  <c r="C37" i="36"/>
  <c r="C39" i="36"/>
  <c r="C41" i="36"/>
  <c r="C42" i="36"/>
  <c r="C43" i="36"/>
  <c r="C44" i="36"/>
  <c r="C45" i="36"/>
  <c r="C47" i="36"/>
  <c r="C49" i="36"/>
  <c r="C51" i="36"/>
  <c r="C53" i="36"/>
  <c r="D1" i="45"/>
  <c r="E1" i="45"/>
  <c r="F1" i="45"/>
  <c r="G1" i="45"/>
  <c r="H1" i="45"/>
  <c r="I1" i="45"/>
  <c r="J1" i="45"/>
  <c r="K1" i="45"/>
  <c r="L1" i="45"/>
  <c r="D1" i="43"/>
  <c r="E1" i="43"/>
  <c r="F1" i="43"/>
  <c r="G1" i="43"/>
  <c r="H1" i="43"/>
  <c r="I1" i="43"/>
  <c r="J1" i="43"/>
  <c r="K1" i="43"/>
  <c r="L1" i="43"/>
  <c r="C5" i="43"/>
  <c r="D5" i="43"/>
  <c r="E5" i="43"/>
  <c r="F5" i="43"/>
  <c r="G5" i="43"/>
  <c r="H5" i="43"/>
  <c r="I5" i="43"/>
  <c r="J5" i="43"/>
  <c r="K5" i="43"/>
  <c r="L5" i="43"/>
  <c r="M5" i="43"/>
  <c r="N5" i="43"/>
  <c r="C6" i="43"/>
  <c r="D6" i="43"/>
  <c r="E6" i="43"/>
  <c r="F6" i="43"/>
  <c r="G6" i="43"/>
  <c r="H6" i="43"/>
  <c r="I6" i="43"/>
  <c r="J6" i="43"/>
  <c r="K6" i="43"/>
  <c r="L6" i="43"/>
  <c r="M6" i="43"/>
  <c r="N6" i="43"/>
  <c r="C8" i="43"/>
  <c r="D8" i="43"/>
  <c r="E8" i="43"/>
  <c r="F8" i="43"/>
  <c r="G8" i="43"/>
  <c r="H8" i="43"/>
  <c r="I8" i="43"/>
  <c r="J8" i="43"/>
  <c r="K8" i="43"/>
  <c r="L8" i="43"/>
  <c r="M8" i="43"/>
  <c r="N8" i="43"/>
  <c r="C10" i="43"/>
  <c r="D10" i="43"/>
  <c r="E10" i="43"/>
  <c r="F10" i="43"/>
  <c r="G10" i="43"/>
  <c r="H10" i="43"/>
  <c r="I10" i="43"/>
  <c r="J10" i="43"/>
  <c r="K10" i="43"/>
  <c r="L10" i="43"/>
  <c r="M10" i="43"/>
  <c r="N10" i="43"/>
  <c r="C11" i="43"/>
  <c r="D11" i="43"/>
  <c r="E11" i="43"/>
  <c r="F11" i="43"/>
  <c r="G11" i="43"/>
  <c r="H11" i="43"/>
  <c r="I11" i="43"/>
  <c r="J11" i="43"/>
  <c r="K11" i="43"/>
  <c r="L11" i="43"/>
  <c r="M11" i="43"/>
  <c r="N11" i="43"/>
  <c r="C13" i="43"/>
  <c r="D13" i="43"/>
  <c r="E13" i="43"/>
  <c r="F13" i="43"/>
  <c r="G13" i="43"/>
  <c r="H13" i="43"/>
  <c r="I13" i="43"/>
  <c r="J13" i="43"/>
  <c r="J57" i="43" s="1"/>
  <c r="K13" i="43"/>
  <c r="L13" i="43"/>
  <c r="M13" i="43"/>
  <c r="N13" i="43"/>
  <c r="C14" i="43"/>
  <c r="D14" i="43"/>
  <c r="E14" i="43"/>
  <c r="F14" i="43"/>
  <c r="G14" i="43"/>
  <c r="H14" i="43"/>
  <c r="I14" i="43"/>
  <c r="J14" i="43"/>
  <c r="K14" i="43"/>
  <c r="L14" i="43"/>
  <c r="M14" i="43"/>
  <c r="N14" i="43"/>
  <c r="C16" i="43"/>
  <c r="D16" i="43"/>
  <c r="E16" i="43"/>
  <c r="F16" i="43"/>
  <c r="G16" i="43"/>
  <c r="H16" i="43"/>
  <c r="I16" i="43"/>
  <c r="J16" i="43"/>
  <c r="K16" i="43"/>
  <c r="L16" i="43"/>
  <c r="M16" i="43"/>
  <c r="N16" i="43"/>
  <c r="C17" i="43"/>
  <c r="D17" i="43"/>
  <c r="E17" i="43"/>
  <c r="F17" i="43"/>
  <c r="G17" i="43"/>
  <c r="H17" i="43"/>
  <c r="I17" i="43"/>
  <c r="J17" i="43"/>
  <c r="K17" i="43"/>
  <c r="L17" i="43"/>
  <c r="M17" i="43"/>
  <c r="N17" i="43"/>
  <c r="C18" i="43"/>
  <c r="D18" i="43"/>
  <c r="E18" i="43"/>
  <c r="F18" i="43"/>
  <c r="G18" i="43"/>
  <c r="H18" i="43"/>
  <c r="I18" i="43"/>
  <c r="J18" i="43"/>
  <c r="K18" i="43"/>
  <c r="L18" i="43"/>
  <c r="M18" i="43"/>
  <c r="N18" i="43"/>
  <c r="C19" i="43"/>
  <c r="D19" i="43"/>
  <c r="E19" i="43"/>
  <c r="F19" i="43"/>
  <c r="G19" i="43"/>
  <c r="H19" i="43"/>
  <c r="I19" i="43"/>
  <c r="J19" i="43"/>
  <c r="K19" i="43"/>
  <c r="L19" i="43"/>
  <c r="M19" i="43"/>
  <c r="N19" i="43"/>
  <c r="C22" i="43"/>
  <c r="D22" i="43"/>
  <c r="E22" i="43"/>
  <c r="F22" i="43"/>
  <c r="G22" i="43"/>
  <c r="H22" i="43"/>
  <c r="I22" i="43"/>
  <c r="J22" i="43"/>
  <c r="K22" i="43"/>
  <c r="L22" i="43"/>
  <c r="M22" i="43"/>
  <c r="N22" i="43"/>
  <c r="C23" i="43"/>
  <c r="D23" i="43"/>
  <c r="E23" i="43"/>
  <c r="F23" i="43"/>
  <c r="G23" i="43"/>
  <c r="H23" i="43"/>
  <c r="I23" i="43"/>
  <c r="J23" i="43"/>
  <c r="K23" i="43"/>
  <c r="L23" i="43"/>
  <c r="M23" i="43"/>
  <c r="N23" i="43"/>
  <c r="N49" i="43" s="1"/>
  <c r="C25" i="43"/>
  <c r="D25" i="43"/>
  <c r="D48" i="43" s="1"/>
  <c r="E25" i="43"/>
  <c r="E48" i="43" s="1"/>
  <c r="F25" i="43"/>
  <c r="F48" i="43" s="1"/>
  <c r="G25" i="43"/>
  <c r="G48" i="43" s="1"/>
  <c r="H25" i="43"/>
  <c r="H48" i="43" s="1"/>
  <c r="I25" i="43"/>
  <c r="I48" i="43" s="1"/>
  <c r="J25" i="43"/>
  <c r="J48" i="43" s="1"/>
  <c r="K25" i="43"/>
  <c r="K48" i="43" s="1"/>
  <c r="L25" i="43"/>
  <c r="L48" i="43" s="1"/>
  <c r="M25" i="43"/>
  <c r="M48" i="43" s="1"/>
  <c r="N25" i="43"/>
  <c r="N48" i="43" s="1"/>
  <c r="C27" i="43"/>
  <c r="D27" i="43"/>
  <c r="E27" i="43"/>
  <c r="F27" i="43"/>
  <c r="G27" i="43"/>
  <c r="H27" i="43"/>
  <c r="I27" i="43"/>
  <c r="J27" i="43"/>
  <c r="K27" i="43"/>
  <c r="L27" i="43"/>
  <c r="M27" i="43"/>
  <c r="N27" i="43"/>
  <c r="C28" i="43"/>
  <c r="D28" i="43"/>
  <c r="E28" i="43"/>
  <c r="F28" i="43"/>
  <c r="G28" i="43"/>
  <c r="H28" i="43"/>
  <c r="I28" i="43"/>
  <c r="J28" i="43"/>
  <c r="K28" i="43"/>
  <c r="L28" i="43"/>
  <c r="M28" i="43"/>
  <c r="N28" i="43"/>
  <c r="C30" i="43"/>
  <c r="D30" i="43"/>
  <c r="E30" i="43"/>
  <c r="F30" i="43"/>
  <c r="G30" i="43"/>
  <c r="H30" i="43"/>
  <c r="I30" i="43"/>
  <c r="J30" i="43"/>
  <c r="K30" i="43"/>
  <c r="L30" i="43"/>
  <c r="M30" i="43"/>
  <c r="N30" i="43"/>
  <c r="C31" i="43"/>
  <c r="D31" i="43"/>
  <c r="E31" i="43"/>
  <c r="F31" i="43"/>
  <c r="G31" i="43"/>
  <c r="H31" i="43"/>
  <c r="I31" i="43"/>
  <c r="J31" i="43"/>
  <c r="K31" i="43"/>
  <c r="L31" i="43"/>
  <c r="M31" i="43"/>
  <c r="N31" i="43"/>
  <c r="C33" i="43"/>
  <c r="D33" i="43"/>
  <c r="E33" i="43"/>
  <c r="F33" i="43"/>
  <c r="G33" i="43"/>
  <c r="H33" i="43"/>
  <c r="I33" i="43"/>
  <c r="J33" i="43"/>
  <c r="K33" i="43"/>
  <c r="L33" i="43"/>
  <c r="M33" i="43"/>
  <c r="N33" i="43"/>
  <c r="C34" i="43"/>
  <c r="D34" i="43"/>
  <c r="E34" i="43"/>
  <c r="F34" i="43"/>
  <c r="G34" i="43"/>
  <c r="H34" i="43"/>
  <c r="I34" i="43"/>
  <c r="J34" i="43"/>
  <c r="K34" i="43"/>
  <c r="L34" i="43"/>
  <c r="M34" i="43"/>
  <c r="N34" i="43"/>
  <c r="C36" i="43"/>
  <c r="D36" i="43"/>
  <c r="E36" i="43"/>
  <c r="F36" i="43"/>
  <c r="G36" i="43"/>
  <c r="H36" i="43"/>
  <c r="I36" i="43"/>
  <c r="J36" i="43"/>
  <c r="K36" i="43"/>
  <c r="L36" i="43"/>
  <c r="M36" i="43"/>
  <c r="N36" i="43"/>
  <c r="C42" i="43"/>
  <c r="D42" i="43"/>
  <c r="E42" i="43"/>
  <c r="F42" i="43"/>
  <c r="G42" i="43"/>
  <c r="H42" i="43"/>
  <c r="I42" i="43"/>
  <c r="J42" i="43"/>
  <c r="K42" i="43"/>
  <c r="L42" i="43"/>
  <c r="N42" i="43"/>
  <c r="O42" i="43"/>
  <c r="B21" i="44"/>
  <c r="B12" i="44"/>
  <c r="B18" i="44"/>
  <c r="B15" i="44"/>
  <c r="B17" i="44"/>
  <c r="B16" i="44"/>
  <c r="B13" i="44"/>
  <c r="B10" i="44"/>
  <c r="B20" i="44"/>
  <c r="B19" i="44"/>
  <c r="B11" i="44"/>
  <c r="B14" i="44"/>
  <c r="B14" i="42"/>
  <c r="C14" i="42"/>
  <c r="B16" i="42"/>
  <c r="C16" i="42"/>
  <c r="B11" i="42"/>
  <c r="C11" i="42"/>
  <c r="B10" i="42"/>
  <c r="C10" i="42"/>
  <c r="B17" i="42"/>
  <c r="C17" i="42"/>
  <c r="B13" i="42"/>
  <c r="C13" i="42"/>
  <c r="B15" i="42"/>
  <c r="C15" i="42"/>
  <c r="B18" i="42"/>
  <c r="C18" i="42"/>
  <c r="B21" i="42"/>
  <c r="C21" i="42"/>
  <c r="B12" i="42"/>
  <c r="C12" i="42"/>
  <c r="B20" i="42"/>
  <c r="C20" i="42"/>
  <c r="B19" i="42"/>
  <c r="C19" i="42"/>
  <c r="B12" i="41"/>
  <c r="C12" i="41"/>
  <c r="B11" i="41"/>
  <c r="C11" i="41"/>
  <c r="B18" i="41"/>
  <c r="C18" i="41"/>
  <c r="B14" i="41"/>
  <c r="C14" i="41"/>
  <c r="B10" i="41"/>
  <c r="C10" i="41"/>
  <c r="B16" i="41"/>
  <c r="C16" i="41"/>
  <c r="B19" i="41"/>
  <c r="C19" i="41"/>
  <c r="B17" i="41"/>
  <c r="C17" i="41"/>
  <c r="B20" i="41"/>
  <c r="C20" i="41"/>
  <c r="B13" i="41"/>
  <c r="C13" i="41"/>
  <c r="B21" i="41"/>
  <c r="C21" i="41"/>
  <c r="B15" i="41"/>
  <c r="C15" i="41"/>
  <c r="B21" i="26"/>
  <c r="B20" i="26"/>
  <c r="B19" i="26"/>
  <c r="B10" i="26"/>
  <c r="B17" i="26"/>
  <c r="B14" i="26"/>
  <c r="B16" i="26"/>
  <c r="B18" i="26"/>
  <c r="B12" i="26"/>
  <c r="B15" i="26"/>
  <c r="B13" i="26"/>
  <c r="B11" i="26"/>
  <c r="B12" i="25"/>
  <c r="C12" i="25"/>
  <c r="B16" i="25"/>
  <c r="C16" i="25"/>
  <c r="B11" i="25"/>
  <c r="C11" i="25"/>
  <c r="B10" i="25"/>
  <c r="C10" i="25"/>
  <c r="B18" i="25"/>
  <c r="C18" i="25"/>
  <c r="B14" i="25"/>
  <c r="C14" i="25"/>
  <c r="B21" i="25"/>
  <c r="C21" i="25"/>
  <c r="B13" i="25"/>
  <c r="C13" i="25"/>
  <c r="B15" i="25"/>
  <c r="C15" i="25"/>
  <c r="B17" i="25"/>
  <c r="C17" i="25"/>
  <c r="B19" i="25"/>
  <c r="C19" i="25"/>
  <c r="B20" i="25"/>
  <c r="C20" i="25"/>
  <c r="C37" i="25"/>
  <c r="G37" i="25"/>
  <c r="B18" i="24"/>
  <c r="B13" i="24"/>
  <c r="B14" i="24"/>
  <c r="B12" i="24"/>
  <c r="B19" i="24"/>
  <c r="B17" i="24"/>
  <c r="B10" i="24"/>
  <c r="B21" i="24"/>
  <c r="B15" i="24"/>
  <c r="B11" i="24"/>
  <c r="B16" i="24"/>
  <c r="B20" i="24"/>
  <c r="B11" i="23"/>
  <c r="C11" i="23"/>
  <c r="B10" i="23"/>
  <c r="C10" i="23"/>
  <c r="B13" i="23"/>
  <c r="C13" i="23"/>
  <c r="B12" i="23"/>
  <c r="C12" i="23"/>
  <c r="B14" i="23"/>
  <c r="C14" i="23"/>
  <c r="B15" i="23"/>
  <c r="C15" i="23"/>
  <c r="B18" i="23"/>
  <c r="C18" i="23"/>
  <c r="B16" i="23"/>
  <c r="C16" i="23"/>
  <c r="B20" i="23"/>
  <c r="C20" i="23"/>
  <c r="B19" i="23"/>
  <c r="C19" i="23"/>
  <c r="B17" i="23"/>
  <c r="C17" i="23"/>
  <c r="B21" i="23"/>
  <c r="C21" i="23"/>
  <c r="B10" i="22"/>
  <c r="C10" i="22"/>
  <c r="B11" i="22"/>
  <c r="C11" i="22"/>
  <c r="B12" i="22"/>
  <c r="C12" i="22"/>
  <c r="B14" i="22"/>
  <c r="C14" i="22"/>
  <c r="B15" i="22"/>
  <c r="C15" i="22"/>
  <c r="B17" i="22"/>
  <c r="C17" i="22"/>
  <c r="B13" i="22"/>
  <c r="C13" i="22"/>
  <c r="B16" i="22"/>
  <c r="C16" i="22"/>
  <c r="B18" i="22"/>
  <c r="C18" i="22"/>
  <c r="B19" i="22"/>
  <c r="C19" i="22"/>
  <c r="B20" i="22"/>
  <c r="C20" i="22"/>
  <c r="B21" i="22"/>
  <c r="C21" i="22"/>
  <c r="B11" i="21"/>
  <c r="C11" i="21"/>
  <c r="B10" i="21"/>
  <c r="C10" i="21"/>
  <c r="B12" i="21"/>
  <c r="C12" i="21"/>
  <c r="B15" i="21"/>
  <c r="C15" i="21"/>
  <c r="B16" i="21"/>
  <c r="C16" i="21"/>
  <c r="B13" i="21"/>
  <c r="C13" i="21"/>
  <c r="B17" i="21"/>
  <c r="C17" i="21"/>
  <c r="B14" i="21"/>
  <c r="C14" i="21"/>
  <c r="B18" i="21"/>
  <c r="C18" i="21"/>
  <c r="B19" i="21"/>
  <c r="C19" i="21"/>
  <c r="B20" i="21"/>
  <c r="C20" i="21"/>
  <c r="B21" i="21"/>
  <c r="C21" i="21"/>
  <c r="B10" i="20"/>
  <c r="C10" i="20"/>
  <c r="B14" i="20"/>
  <c r="C14" i="20"/>
  <c r="B11" i="20"/>
  <c r="C11" i="20"/>
  <c r="B16" i="20"/>
  <c r="C16" i="20"/>
  <c r="B12" i="20"/>
  <c r="C12" i="20"/>
  <c r="B13" i="20"/>
  <c r="C13" i="20"/>
  <c r="B18" i="20"/>
  <c r="C18" i="20"/>
  <c r="B15" i="20"/>
  <c r="C15" i="20"/>
  <c r="B19" i="20"/>
  <c r="C19" i="20"/>
  <c r="B21" i="20"/>
  <c r="C20" i="20"/>
  <c r="B17" i="20"/>
  <c r="C21" i="20"/>
  <c r="B20" i="20"/>
  <c r="C17" i="20"/>
  <c r="B10" i="19"/>
  <c r="C10" i="19"/>
  <c r="B12" i="19"/>
  <c r="C12" i="19"/>
  <c r="B11" i="19"/>
  <c r="B16" i="19"/>
  <c r="C16" i="19"/>
  <c r="B13" i="19"/>
  <c r="C13" i="19"/>
  <c r="B14" i="19"/>
  <c r="C14" i="19"/>
  <c r="B21" i="19"/>
  <c r="C21" i="19"/>
  <c r="B17" i="19"/>
  <c r="C17" i="19"/>
  <c r="B20" i="19"/>
  <c r="C20" i="19"/>
  <c r="B15" i="19"/>
  <c r="C15" i="19"/>
  <c r="B18" i="19"/>
  <c r="C18" i="19"/>
  <c r="B19" i="19"/>
  <c r="C19" i="19"/>
  <c r="B10" i="29"/>
  <c r="C10" i="29"/>
  <c r="B11" i="29"/>
  <c r="C11" i="29"/>
  <c r="B12" i="29"/>
  <c r="C12" i="29"/>
  <c r="B14" i="29"/>
  <c r="C14" i="29"/>
  <c r="B13" i="29"/>
  <c r="C13" i="29"/>
  <c r="B18" i="29"/>
  <c r="C18" i="29"/>
  <c r="B16" i="29"/>
  <c r="C16" i="29"/>
  <c r="B15" i="29"/>
  <c r="C15" i="29"/>
  <c r="B17" i="29"/>
  <c r="C17" i="29"/>
  <c r="B19" i="29"/>
  <c r="C19" i="29"/>
  <c r="B20" i="29"/>
  <c r="C20" i="29"/>
  <c r="B21" i="29"/>
  <c r="C21" i="29"/>
  <c r="B10" i="17"/>
  <c r="C10" i="17"/>
  <c r="B11" i="17"/>
  <c r="C11" i="17"/>
  <c r="B13" i="17"/>
  <c r="C13" i="17"/>
  <c r="B14" i="17"/>
  <c r="C14" i="17"/>
  <c r="B12" i="17"/>
  <c r="C12" i="17"/>
  <c r="B16" i="17"/>
  <c r="C16" i="17"/>
  <c r="B18" i="17"/>
  <c r="C18" i="17"/>
  <c r="B15" i="17"/>
  <c r="C15" i="17"/>
  <c r="B20" i="17"/>
  <c r="C20" i="17"/>
  <c r="B19" i="17"/>
  <c r="C19" i="17"/>
  <c r="B17" i="17"/>
  <c r="C17" i="17"/>
  <c r="B21" i="17"/>
  <c r="C21" i="17"/>
  <c r="B11" i="16"/>
  <c r="C11" i="16"/>
  <c r="B10" i="16"/>
  <c r="C10" i="16"/>
  <c r="B12" i="16"/>
  <c r="C12" i="16"/>
  <c r="B15" i="16"/>
  <c r="C15" i="16"/>
  <c r="B14" i="16"/>
  <c r="C14" i="16"/>
  <c r="B16" i="16"/>
  <c r="C16" i="16"/>
  <c r="B18" i="16"/>
  <c r="C18" i="16"/>
  <c r="B17" i="16"/>
  <c r="C17" i="16"/>
  <c r="B19" i="16"/>
  <c r="C19" i="16"/>
  <c r="B21" i="16"/>
  <c r="C21" i="16"/>
  <c r="B20" i="16"/>
  <c r="C20" i="16"/>
  <c r="B13" i="16"/>
  <c r="C13" i="16"/>
  <c r="B10" i="13"/>
  <c r="G10" i="13"/>
  <c r="B11" i="13"/>
  <c r="G11" i="13"/>
  <c r="B12" i="13"/>
  <c r="G12" i="13"/>
  <c r="B20" i="13"/>
  <c r="C20" i="13"/>
  <c r="G20" i="13"/>
  <c r="B14" i="13"/>
  <c r="C14" i="13"/>
  <c r="G14" i="13"/>
  <c r="B13" i="13"/>
  <c r="G13" i="13"/>
  <c r="B17" i="13"/>
  <c r="G17" i="13"/>
  <c r="B16" i="13"/>
  <c r="G16" i="13"/>
  <c r="B15" i="13"/>
  <c r="G15" i="13"/>
  <c r="B18" i="13"/>
  <c r="G18" i="13"/>
  <c r="B21" i="13"/>
  <c r="G21" i="13"/>
  <c r="B19" i="13"/>
  <c r="G19" i="13"/>
  <c r="B10" i="11"/>
  <c r="G10" i="11"/>
  <c r="B11" i="11"/>
  <c r="G11" i="11"/>
  <c r="B12" i="11"/>
  <c r="G12" i="11"/>
  <c r="B15" i="11"/>
  <c r="G15" i="11"/>
  <c r="B14" i="11"/>
  <c r="G14" i="11"/>
  <c r="B16" i="11"/>
  <c r="C16" i="11"/>
  <c r="G16" i="11"/>
  <c r="B13" i="11"/>
  <c r="G13" i="11"/>
  <c r="B19" i="11"/>
  <c r="G19" i="11"/>
  <c r="B17" i="11"/>
  <c r="G17" i="11"/>
  <c r="B21" i="11"/>
  <c r="G21" i="11"/>
  <c r="B20" i="11"/>
  <c r="C20" i="11"/>
  <c r="G20" i="11"/>
  <c r="B18" i="11"/>
  <c r="G18" i="11"/>
  <c r="B16" i="10"/>
  <c r="C16" i="10"/>
  <c r="G16" i="10"/>
  <c r="B12" i="10"/>
  <c r="C12" i="10"/>
  <c r="G12" i="10"/>
  <c r="B10" i="10"/>
  <c r="C10" i="10"/>
  <c r="G10" i="10"/>
  <c r="B14" i="10"/>
  <c r="C14" i="10"/>
  <c r="G14" i="10"/>
  <c r="B11" i="10"/>
  <c r="C11" i="10"/>
  <c r="G11" i="10"/>
  <c r="B17" i="10"/>
  <c r="C17" i="10"/>
  <c r="G17" i="10"/>
  <c r="B15" i="10"/>
  <c r="C15" i="10"/>
  <c r="G15" i="10"/>
  <c r="B13" i="10"/>
  <c r="C13" i="10"/>
  <c r="G13" i="10"/>
  <c r="B18" i="10"/>
  <c r="C18" i="10"/>
  <c r="G18" i="10"/>
  <c r="B19" i="10"/>
  <c r="G19" i="10"/>
  <c r="B20" i="10"/>
  <c r="C20" i="10"/>
  <c r="G20" i="10"/>
  <c r="B21" i="10"/>
  <c r="C21" i="10"/>
  <c r="G21" i="10"/>
  <c r="B10" i="40"/>
  <c r="C10" i="40"/>
  <c r="G10" i="40"/>
  <c r="B13" i="40"/>
  <c r="B12" i="40"/>
  <c r="C12" i="40"/>
  <c r="G12" i="40"/>
  <c r="B11" i="40"/>
  <c r="G13" i="40"/>
  <c r="B16" i="40"/>
  <c r="C16" i="40"/>
  <c r="G16" i="40"/>
  <c r="B17" i="40"/>
  <c r="C17" i="40"/>
  <c r="G17" i="40"/>
  <c r="B15" i="40"/>
  <c r="C15" i="40"/>
  <c r="G15" i="40"/>
  <c r="B14" i="40"/>
  <c r="C14" i="40"/>
  <c r="G14" i="40"/>
  <c r="B19" i="40"/>
  <c r="C19" i="40"/>
  <c r="G19" i="40"/>
  <c r="B18" i="40"/>
  <c r="C18" i="40"/>
  <c r="G18" i="40"/>
  <c r="B20" i="40"/>
  <c r="C20" i="40"/>
  <c r="G20" i="40"/>
  <c r="B21" i="40"/>
  <c r="C21" i="40"/>
  <c r="G21" i="40"/>
  <c r="B11" i="39"/>
  <c r="C11" i="39"/>
  <c r="G11" i="39"/>
  <c r="B10" i="39"/>
  <c r="C10" i="39"/>
  <c r="G10" i="39"/>
  <c r="B12" i="39"/>
  <c r="C12" i="39"/>
  <c r="G12" i="39"/>
  <c r="B14" i="39"/>
  <c r="C14" i="39"/>
  <c r="G14" i="39"/>
  <c r="B13" i="39"/>
  <c r="C13" i="39"/>
  <c r="G13" i="39"/>
  <c r="B15" i="39"/>
  <c r="B17" i="39"/>
  <c r="C17" i="39"/>
  <c r="G17" i="39"/>
  <c r="B16" i="39"/>
  <c r="B18" i="39"/>
  <c r="C18" i="39"/>
  <c r="G18" i="39"/>
  <c r="B19" i="39"/>
  <c r="C19" i="39"/>
  <c r="G19" i="39"/>
  <c r="B20" i="39"/>
  <c r="C20" i="39"/>
  <c r="G20" i="39"/>
  <c r="B21" i="39"/>
  <c r="C21" i="39"/>
  <c r="G21" i="39"/>
  <c r="B10" i="38"/>
  <c r="B13" i="38"/>
  <c r="B11" i="38"/>
  <c r="B14" i="38"/>
  <c r="B12" i="38"/>
  <c r="B15" i="38"/>
  <c r="B17" i="38"/>
  <c r="B16" i="38"/>
  <c r="B18" i="38"/>
  <c r="B19" i="38"/>
  <c r="B20" i="38"/>
  <c r="B21" i="38"/>
  <c r="B10" i="9"/>
  <c r="C10" i="9"/>
  <c r="G10" i="9"/>
  <c r="B11" i="9"/>
  <c r="C11" i="9"/>
  <c r="G11" i="9"/>
  <c r="B14" i="9"/>
  <c r="C14" i="9"/>
  <c r="G14" i="9"/>
  <c r="B13" i="9"/>
  <c r="C13" i="9"/>
  <c r="G13" i="9"/>
  <c r="B12" i="9"/>
  <c r="B15" i="9"/>
  <c r="B19" i="9"/>
  <c r="G19" i="9"/>
  <c r="B16" i="9"/>
  <c r="C16" i="9"/>
  <c r="G16" i="9"/>
  <c r="B18" i="9"/>
  <c r="B17" i="9"/>
  <c r="C17" i="9"/>
  <c r="G17" i="9"/>
  <c r="B20" i="9"/>
  <c r="C20" i="9"/>
  <c r="G20" i="9"/>
  <c r="B21" i="9"/>
  <c r="C21" i="9"/>
  <c r="G21" i="9"/>
  <c r="B10" i="8"/>
  <c r="C10" i="8"/>
  <c r="G10" i="8"/>
  <c r="B11" i="8"/>
  <c r="C11" i="8"/>
  <c r="G11" i="8"/>
  <c r="B12" i="8"/>
  <c r="C12" i="8"/>
  <c r="G12" i="8"/>
  <c r="B13" i="8"/>
  <c r="C13" i="8"/>
  <c r="G13" i="8"/>
  <c r="B14" i="8"/>
  <c r="C14" i="8"/>
  <c r="G14" i="8"/>
  <c r="B16" i="8"/>
  <c r="C16" i="8"/>
  <c r="G16" i="8"/>
  <c r="B15" i="8"/>
  <c r="C15" i="8"/>
  <c r="G15" i="8"/>
  <c r="B17" i="8"/>
  <c r="C17" i="8"/>
  <c r="G17" i="8"/>
  <c r="B20" i="8"/>
  <c r="C20" i="8"/>
  <c r="G20" i="8"/>
  <c r="B19" i="8"/>
  <c r="C19" i="8"/>
  <c r="G19" i="8"/>
  <c r="B18" i="8"/>
  <c r="C18" i="8"/>
  <c r="G18" i="8"/>
  <c r="B21" i="8"/>
  <c r="C21" i="8"/>
  <c r="G21" i="8"/>
  <c r="B10" i="7"/>
  <c r="C10" i="7"/>
  <c r="G10" i="7"/>
  <c r="B11" i="7"/>
  <c r="C11" i="7"/>
  <c r="G11" i="7"/>
  <c r="B13" i="7"/>
  <c r="C13" i="7"/>
  <c r="G13" i="7"/>
  <c r="B14" i="7"/>
  <c r="C14" i="7"/>
  <c r="G14" i="7"/>
  <c r="B12" i="7"/>
  <c r="C12" i="7"/>
  <c r="G12" i="7"/>
  <c r="B16" i="7"/>
  <c r="C16" i="7"/>
  <c r="G16" i="7"/>
  <c r="B15" i="7"/>
  <c r="C15" i="7"/>
  <c r="G15" i="7"/>
  <c r="B17" i="7"/>
  <c r="C17" i="7"/>
  <c r="G17" i="7"/>
  <c r="B19" i="7"/>
  <c r="C19" i="7"/>
  <c r="G19" i="7"/>
  <c r="B18" i="7"/>
  <c r="C18" i="7"/>
  <c r="G18" i="7"/>
  <c r="B20" i="7"/>
  <c r="C20" i="7"/>
  <c r="G20" i="7"/>
  <c r="B21" i="7"/>
  <c r="C21" i="7"/>
  <c r="G21" i="7"/>
  <c r="B10" i="6"/>
  <c r="B11" i="6"/>
  <c r="B12" i="6"/>
  <c r="B13" i="6"/>
  <c r="B14" i="6"/>
  <c r="B15" i="6"/>
  <c r="B17" i="6"/>
  <c r="B20" i="6"/>
  <c r="B16" i="6"/>
  <c r="B18" i="6"/>
  <c r="B19" i="6"/>
  <c r="B21" i="6"/>
  <c r="O38" i="43"/>
  <c r="O38" i="45"/>
  <c r="D27" i="45"/>
  <c r="C13" i="6"/>
  <c r="C13" i="11"/>
  <c r="C13" i="13"/>
  <c r="C21" i="11"/>
  <c r="C19" i="13"/>
  <c r="C15" i="13"/>
  <c r="C12" i="9"/>
  <c r="C18" i="13"/>
  <c r="C18" i="11"/>
  <c r="C10" i="11"/>
  <c r="C10" i="13"/>
  <c r="C11" i="13"/>
  <c r="C12" i="11"/>
  <c r="C17" i="11"/>
  <c r="C12" i="13"/>
  <c r="C11" i="11"/>
  <c r="C15" i="11"/>
  <c r="C17" i="13"/>
  <c r="N39" i="33"/>
  <c r="C14" i="11"/>
  <c r="C16" i="13"/>
  <c r="C19" i="9"/>
  <c r="C18" i="6"/>
  <c r="C19" i="11"/>
  <c r="C21" i="13"/>
  <c r="C19" i="10"/>
  <c r="B22" i="1" l="1"/>
  <c r="B44" i="1"/>
  <c r="F22" i="1"/>
  <c r="F44" i="1"/>
  <c r="H12" i="11"/>
  <c r="B61" i="31"/>
  <c r="G21" i="1" s="1"/>
  <c r="M7" i="43"/>
  <c r="M9" i="43" s="1"/>
  <c r="K10" i="33"/>
  <c r="N4" i="48"/>
  <c r="H14" i="11"/>
  <c r="J14" i="11" s="1"/>
  <c r="I14" i="11" s="1"/>
  <c r="I22" i="33"/>
  <c r="F32" i="48"/>
  <c r="G22" i="33"/>
  <c r="E32" i="48"/>
  <c r="K22" i="33"/>
  <c r="M32" i="48"/>
  <c r="D22" i="33"/>
  <c r="L32" i="48"/>
  <c r="E22" i="33"/>
  <c r="K32" i="48"/>
  <c r="L22" i="33"/>
  <c r="J32" i="48"/>
  <c r="F22" i="33"/>
  <c r="I32" i="48"/>
  <c r="J22" i="33"/>
  <c r="H32" i="48"/>
  <c r="C22" i="33"/>
  <c r="G32" i="48"/>
  <c r="G10" i="33"/>
  <c r="M34" i="20"/>
  <c r="G34" i="20" s="1"/>
  <c r="M31" i="20"/>
  <c r="G31" i="20" s="1"/>
  <c r="M32" i="20"/>
  <c r="G32" i="20" s="1"/>
  <c r="M40" i="20"/>
  <c r="G40" i="20" s="1"/>
  <c r="M36" i="20"/>
  <c r="G36" i="20" s="1"/>
  <c r="M41" i="20"/>
  <c r="G41" i="20" s="1"/>
  <c r="M39" i="20"/>
  <c r="G39" i="20" s="1"/>
  <c r="M35" i="20"/>
  <c r="G35" i="20" s="1"/>
  <c r="M33" i="20"/>
  <c r="G33" i="20" s="1"/>
  <c r="N40" i="20"/>
  <c r="M30" i="20"/>
  <c r="G30" i="20" s="1"/>
  <c r="M38" i="20"/>
  <c r="G38" i="20" s="1"/>
  <c r="M37" i="20"/>
  <c r="G37" i="20" s="1"/>
  <c r="B61" i="30"/>
  <c r="C21" i="1" s="1"/>
  <c r="F14" i="49"/>
  <c r="E14" i="49" s="1"/>
  <c r="F21" i="49"/>
  <c r="E21" i="49" s="1"/>
  <c r="F18" i="50"/>
  <c r="E18" i="50" s="1"/>
  <c r="F16" i="50"/>
  <c r="E16" i="50" s="1"/>
  <c r="F20" i="50"/>
  <c r="E20" i="50" s="1"/>
  <c r="F13" i="49"/>
  <c r="E13" i="49" s="1"/>
  <c r="F18" i="49"/>
  <c r="E18" i="49" s="1"/>
  <c r="F15" i="50"/>
  <c r="E15" i="50" s="1"/>
  <c r="F17" i="49"/>
  <c r="E17" i="49" s="1"/>
  <c r="F12" i="49"/>
  <c r="E12" i="49" s="1"/>
  <c r="F20" i="49"/>
  <c r="E20" i="49" s="1"/>
  <c r="F15" i="49"/>
  <c r="E15" i="49" s="1"/>
  <c r="F21" i="50"/>
  <c r="E21" i="50" s="1"/>
  <c r="F14" i="50"/>
  <c r="E14" i="50" s="1"/>
  <c r="F19" i="50"/>
  <c r="E19" i="50" s="1"/>
  <c r="F11" i="50"/>
  <c r="E11" i="50" s="1"/>
  <c r="F10" i="49"/>
  <c r="E10" i="49" s="1"/>
  <c r="F11" i="49"/>
  <c r="E11" i="49" s="1"/>
  <c r="F15" i="51"/>
  <c r="E15" i="51" s="1"/>
  <c r="F21" i="51"/>
  <c r="E21" i="51" s="1"/>
  <c r="F10" i="51"/>
  <c r="E10" i="51" s="1"/>
  <c r="F14" i="51"/>
  <c r="E14" i="51" s="1"/>
  <c r="F19" i="51"/>
  <c r="E19" i="51" s="1"/>
  <c r="F13" i="52"/>
  <c r="E13" i="52" s="1"/>
  <c r="F19" i="52"/>
  <c r="E19" i="52" s="1"/>
  <c r="F15" i="52"/>
  <c r="E15" i="52" s="1"/>
  <c r="F14" i="52"/>
  <c r="E14" i="52" s="1"/>
  <c r="F17" i="51"/>
  <c r="E17" i="51" s="1"/>
  <c r="F16" i="51"/>
  <c r="E16" i="51" s="1"/>
  <c r="F16" i="52"/>
  <c r="E16" i="52" s="1"/>
  <c r="F12" i="52"/>
  <c r="E12" i="52" s="1"/>
  <c r="F20" i="52"/>
  <c r="E20" i="52" s="1"/>
  <c r="F18" i="52"/>
  <c r="E18" i="52" s="1"/>
  <c r="F11" i="52"/>
  <c r="E11" i="52" s="1"/>
  <c r="F10" i="52"/>
  <c r="E10" i="52" s="1"/>
  <c r="F11" i="51"/>
  <c r="E11" i="51" s="1"/>
  <c r="F18" i="51"/>
  <c r="E18" i="51" s="1"/>
  <c r="H13" i="40"/>
  <c r="J13" i="40" s="1"/>
  <c r="I13" i="40" s="1"/>
  <c r="H11" i="40"/>
  <c r="D16" i="6"/>
  <c r="D19" i="6"/>
  <c r="L19" i="6" s="1"/>
  <c r="D13" i="6"/>
  <c r="D20" i="6"/>
  <c r="F20" i="6" s="1"/>
  <c r="E20" i="6" s="1"/>
  <c r="D21" i="6"/>
  <c r="D10" i="6"/>
  <c r="D12" i="6"/>
  <c r="D16" i="10"/>
  <c r="D22" i="10" s="1"/>
  <c r="P13" i="10" s="1"/>
  <c r="D15" i="6"/>
  <c r="D11" i="6"/>
  <c r="D17" i="6"/>
  <c r="H16" i="5"/>
  <c r="H22" i="5" s="1"/>
  <c r="B53" i="32"/>
  <c r="C32" i="48"/>
  <c r="L49" i="43"/>
  <c r="D49" i="43"/>
  <c r="L47" i="43"/>
  <c r="D47" i="43"/>
  <c r="H57" i="43"/>
  <c r="I29" i="43"/>
  <c r="E49" i="43"/>
  <c r="I7" i="43"/>
  <c r="I43" i="43" s="1"/>
  <c r="K49" i="43"/>
  <c r="K47" i="43"/>
  <c r="C47" i="43"/>
  <c r="J20" i="1"/>
  <c r="H19" i="13"/>
  <c r="J19" i="13" s="1"/>
  <c r="I19" i="13" s="1"/>
  <c r="N36" i="20"/>
  <c r="D17" i="54"/>
  <c r="E17" i="54" s="1"/>
  <c r="D15" i="11"/>
  <c r="N34" i="20" s="1"/>
  <c r="D13" i="54"/>
  <c r="F15" i="39"/>
  <c r="E15" i="39" s="1"/>
  <c r="D16" i="39"/>
  <c r="M27" i="45"/>
  <c r="M29" i="45" s="1"/>
  <c r="D6" i="45"/>
  <c r="O6" i="45" s="1"/>
  <c r="D14" i="23"/>
  <c r="F14" i="23" s="1"/>
  <c r="C8" i="45"/>
  <c r="C59" i="45" s="1"/>
  <c r="C14" i="45"/>
  <c r="C49" i="45" s="1"/>
  <c r="D21" i="22"/>
  <c r="E21" i="22" s="1"/>
  <c r="D16" i="54"/>
  <c r="D19" i="54"/>
  <c r="E19" i="54" s="1"/>
  <c r="D18" i="54"/>
  <c r="F18" i="54" s="1"/>
  <c r="D14" i="54"/>
  <c r="E14" i="54" s="1"/>
  <c r="H16" i="13"/>
  <c r="J16" i="13" s="1"/>
  <c r="I16" i="13" s="1"/>
  <c r="D17" i="11"/>
  <c r="N35" i="20" s="1"/>
  <c r="D21" i="54"/>
  <c r="D12" i="11"/>
  <c r="N32" i="20" s="1"/>
  <c r="D10" i="54"/>
  <c r="D21" i="11"/>
  <c r="L21" i="11" s="1"/>
  <c r="D20" i="54"/>
  <c r="D10" i="11"/>
  <c r="N30" i="20" s="1"/>
  <c r="D11" i="54"/>
  <c r="D14" i="11"/>
  <c r="D12" i="54"/>
  <c r="D13" i="50"/>
  <c r="B54" i="30"/>
  <c r="C12" i="1" s="1"/>
  <c r="D13" i="11"/>
  <c r="N33" i="20" s="1"/>
  <c r="D15" i="54"/>
  <c r="M10" i="54"/>
  <c r="L11" i="22"/>
  <c r="M13" i="54"/>
  <c r="M18" i="54"/>
  <c r="M19" i="54"/>
  <c r="M16" i="54"/>
  <c r="M17" i="54"/>
  <c r="M12" i="54"/>
  <c r="M14" i="54"/>
  <c r="M21" i="54"/>
  <c r="M11" i="54"/>
  <c r="M15" i="54"/>
  <c r="M20" i="54"/>
  <c r="D10" i="50"/>
  <c r="H12" i="13"/>
  <c r="J12" i="13" s="1"/>
  <c r="I12" i="13" s="1"/>
  <c r="B32" i="48"/>
  <c r="N27" i="45"/>
  <c r="N29" i="45" s="1"/>
  <c r="I27" i="45"/>
  <c r="I29" i="45" s="1"/>
  <c r="K8" i="45"/>
  <c r="K59" i="45" s="1"/>
  <c r="L39" i="33"/>
  <c r="F12" i="40"/>
  <c r="E12" i="40" s="1"/>
  <c r="H21" i="9"/>
  <c r="J21" i="9" s="1"/>
  <c r="I21" i="9" s="1"/>
  <c r="F10" i="40"/>
  <c r="E10" i="40" s="1"/>
  <c r="F20" i="40"/>
  <c r="E20" i="40" s="1"/>
  <c r="D7" i="43"/>
  <c r="D53" i="43" s="1"/>
  <c r="K12" i="9"/>
  <c r="L15" i="7"/>
  <c r="H14" i="45"/>
  <c r="H49" i="45" s="1"/>
  <c r="D14" i="53"/>
  <c r="E15" i="53"/>
  <c r="F15" i="53"/>
  <c r="E13" i="53"/>
  <c r="F13" i="53"/>
  <c r="F21" i="53"/>
  <c r="E21" i="53"/>
  <c r="F12" i="53"/>
  <c r="E12" i="53"/>
  <c r="J14" i="45"/>
  <c r="J49" i="45" s="1"/>
  <c r="D16" i="53"/>
  <c r="E14" i="45"/>
  <c r="E49" i="45" s="1"/>
  <c r="D10" i="53"/>
  <c r="D20" i="23"/>
  <c r="F20" i="23" s="1"/>
  <c r="D18" i="53"/>
  <c r="D19" i="23"/>
  <c r="E19" i="23" s="1"/>
  <c r="F14" i="45"/>
  <c r="F49" i="45" s="1"/>
  <c r="D11" i="53"/>
  <c r="L14" i="45"/>
  <c r="L49" i="45" s="1"/>
  <c r="D20" i="53"/>
  <c r="N14" i="45"/>
  <c r="N49" i="45" s="1"/>
  <c r="M14" i="45"/>
  <c r="M49" i="45" s="1"/>
  <c r="D17" i="53"/>
  <c r="E19" i="53"/>
  <c r="F19" i="53"/>
  <c r="H39" i="33"/>
  <c r="J49" i="43"/>
  <c r="F57" i="43"/>
  <c r="H49" i="43"/>
  <c r="L57" i="43"/>
  <c r="D57" i="43"/>
  <c r="C29" i="43"/>
  <c r="C57" i="43"/>
  <c r="B30" i="32"/>
  <c r="L20" i="51"/>
  <c r="N20" i="51" s="1"/>
  <c r="M20" i="51" s="1"/>
  <c r="F20" i="51"/>
  <c r="E20" i="51" s="1"/>
  <c r="F19" i="49"/>
  <c r="E19" i="49" s="1"/>
  <c r="L19" i="49"/>
  <c r="N19" i="49" s="1"/>
  <c r="M19" i="49" s="1"/>
  <c r="L12" i="40"/>
  <c r="L10" i="16"/>
  <c r="M11" i="53"/>
  <c r="M14" i="53"/>
  <c r="M16" i="53"/>
  <c r="M21" i="53"/>
  <c r="M20" i="53"/>
  <c r="M17" i="53"/>
  <c r="M18" i="53"/>
  <c r="M15" i="53"/>
  <c r="M19" i="53"/>
  <c r="M13" i="53"/>
  <c r="M10" i="53"/>
  <c r="M12" i="53"/>
  <c r="F21" i="52"/>
  <c r="E21" i="52" s="1"/>
  <c r="L21" i="52"/>
  <c r="N21" i="52" s="1"/>
  <c r="M21" i="52" s="1"/>
  <c r="F17" i="50"/>
  <c r="E17" i="50" s="1"/>
  <c r="L17" i="50"/>
  <c r="N17" i="50" s="1"/>
  <c r="M17" i="50" s="1"/>
  <c r="J20" i="52"/>
  <c r="I20" i="52" s="1"/>
  <c r="L20" i="52"/>
  <c r="N20" i="52" s="1"/>
  <c r="M20" i="52" s="1"/>
  <c r="J14" i="50"/>
  <c r="I14" i="50" s="1"/>
  <c r="L14" i="50"/>
  <c r="N14" i="50" s="1"/>
  <c r="M14" i="50" s="1"/>
  <c r="L12" i="51"/>
  <c r="N12" i="51" s="1"/>
  <c r="M12" i="51" s="1"/>
  <c r="F12" i="51"/>
  <c r="E12" i="51" s="1"/>
  <c r="L21" i="51"/>
  <c r="N21" i="51" s="1"/>
  <c r="M21" i="51" s="1"/>
  <c r="J21" i="51"/>
  <c r="I21" i="51" s="1"/>
  <c r="L17" i="49"/>
  <c r="N17" i="49" s="1"/>
  <c r="M17" i="49" s="1"/>
  <c r="J17" i="49"/>
  <c r="I17" i="49" s="1"/>
  <c r="J15" i="51"/>
  <c r="I15" i="51" s="1"/>
  <c r="L15" i="51"/>
  <c r="N15" i="51" s="1"/>
  <c r="M15" i="51" s="1"/>
  <c r="J15" i="50"/>
  <c r="I15" i="50" s="1"/>
  <c r="L15" i="50"/>
  <c r="N15" i="50" s="1"/>
  <c r="M15" i="50" s="1"/>
  <c r="J18" i="49"/>
  <c r="I18" i="49" s="1"/>
  <c r="L18" i="49"/>
  <c r="N18" i="49" s="1"/>
  <c r="M18" i="49" s="1"/>
  <c r="L19" i="51"/>
  <c r="N19" i="51" s="1"/>
  <c r="M19" i="51" s="1"/>
  <c r="J19" i="51"/>
  <c r="I19" i="51" s="1"/>
  <c r="J21" i="50"/>
  <c r="I21" i="50" s="1"/>
  <c r="L21" i="50"/>
  <c r="N21" i="50" s="1"/>
  <c r="M21" i="50" s="1"/>
  <c r="J11" i="52"/>
  <c r="I11" i="52" s="1"/>
  <c r="L11" i="52"/>
  <c r="N11" i="52" s="1"/>
  <c r="M11" i="52" s="1"/>
  <c r="L11" i="50"/>
  <c r="N11" i="50" s="1"/>
  <c r="M11" i="50" s="1"/>
  <c r="J11" i="50"/>
  <c r="I11" i="50" s="1"/>
  <c r="J10" i="52"/>
  <c r="I10" i="52" s="1"/>
  <c r="L10" i="52"/>
  <c r="N10" i="52" s="1"/>
  <c r="M10" i="52" s="1"/>
  <c r="J10" i="50"/>
  <c r="I10" i="50" s="1"/>
  <c r="J19" i="52"/>
  <c r="I19" i="52" s="1"/>
  <c r="L19" i="52"/>
  <c r="N19" i="52" s="1"/>
  <c r="M19" i="52" s="1"/>
  <c r="L16" i="50"/>
  <c r="N16" i="50" s="1"/>
  <c r="M16" i="50" s="1"/>
  <c r="J16" i="50"/>
  <c r="I16" i="50" s="1"/>
  <c r="L15" i="52"/>
  <c r="N15" i="52" s="1"/>
  <c r="M15" i="52" s="1"/>
  <c r="J15" i="52"/>
  <c r="I15" i="52" s="1"/>
  <c r="J13" i="50"/>
  <c r="I13" i="50" s="1"/>
  <c r="J15" i="49"/>
  <c r="I15" i="49" s="1"/>
  <c r="L15" i="49"/>
  <c r="N15" i="49" s="1"/>
  <c r="M15" i="49" s="1"/>
  <c r="J19" i="50"/>
  <c r="I19" i="50" s="1"/>
  <c r="L19" i="50"/>
  <c r="N19" i="50" s="1"/>
  <c r="M19" i="50" s="1"/>
  <c r="J13" i="49"/>
  <c r="I13" i="49" s="1"/>
  <c r="L13" i="49"/>
  <c r="N13" i="49" s="1"/>
  <c r="M13" i="49" s="1"/>
  <c r="J10" i="51"/>
  <c r="I10" i="51" s="1"/>
  <c r="L10" i="51"/>
  <c r="N10" i="51" s="1"/>
  <c r="M10" i="51" s="1"/>
  <c r="L12" i="49"/>
  <c r="N12" i="49" s="1"/>
  <c r="M12" i="49" s="1"/>
  <c r="J14" i="51"/>
  <c r="I14" i="51" s="1"/>
  <c r="L14" i="51"/>
  <c r="N14" i="51" s="1"/>
  <c r="M14" i="51" s="1"/>
  <c r="L14" i="49"/>
  <c r="N14" i="49" s="1"/>
  <c r="M14" i="49" s="1"/>
  <c r="J14" i="49"/>
  <c r="I14" i="49" s="1"/>
  <c r="J11" i="51"/>
  <c r="I11" i="51" s="1"/>
  <c r="L11" i="51"/>
  <c r="N11" i="51" s="1"/>
  <c r="M11" i="51" s="1"/>
  <c r="J10" i="49"/>
  <c r="I10" i="49" s="1"/>
  <c r="L10" i="49"/>
  <c r="N10" i="49" s="1"/>
  <c r="M10" i="49" s="1"/>
  <c r="J18" i="51"/>
  <c r="I18" i="51" s="1"/>
  <c r="L18" i="51"/>
  <c r="N18" i="51" s="1"/>
  <c r="M18" i="51" s="1"/>
  <c r="L11" i="49"/>
  <c r="N11" i="49" s="1"/>
  <c r="M11" i="49" s="1"/>
  <c r="J11" i="49"/>
  <c r="I11" i="49" s="1"/>
  <c r="J16" i="51"/>
  <c r="I16" i="51" s="1"/>
  <c r="L16" i="51"/>
  <c r="N16" i="51" s="1"/>
  <c r="M16" i="51" s="1"/>
  <c r="J18" i="52"/>
  <c r="I18" i="52" s="1"/>
  <c r="L18" i="52"/>
  <c r="N18" i="52" s="1"/>
  <c r="M18" i="52" s="1"/>
  <c r="J12" i="52"/>
  <c r="I12" i="52" s="1"/>
  <c r="L12" i="52"/>
  <c r="N12" i="52" s="1"/>
  <c r="M12" i="52" s="1"/>
  <c r="J16" i="52"/>
  <c r="I16" i="52" s="1"/>
  <c r="L16" i="52"/>
  <c r="N16" i="52" s="1"/>
  <c r="M16" i="52" s="1"/>
  <c r="H15" i="38"/>
  <c r="J15" i="38" s="1"/>
  <c r="I15" i="38" s="1"/>
  <c r="J20" i="49"/>
  <c r="I20" i="49" s="1"/>
  <c r="L20" i="49"/>
  <c r="N20" i="49" s="1"/>
  <c r="M20" i="49" s="1"/>
  <c r="L13" i="52"/>
  <c r="N13" i="52" s="1"/>
  <c r="M13" i="52" s="1"/>
  <c r="J13" i="52"/>
  <c r="I13" i="52" s="1"/>
  <c r="L18" i="50"/>
  <c r="N18" i="50" s="1"/>
  <c r="M18" i="50" s="1"/>
  <c r="J18" i="50"/>
  <c r="I18" i="50" s="1"/>
  <c r="J13" i="51"/>
  <c r="I13" i="51" s="1"/>
  <c r="H22" i="51"/>
  <c r="L13" i="51"/>
  <c r="N13" i="51" s="1"/>
  <c r="M13" i="51" s="1"/>
  <c r="H22" i="50"/>
  <c r="J12" i="50"/>
  <c r="I12" i="50" s="1"/>
  <c r="L12" i="50"/>
  <c r="N12" i="50" s="1"/>
  <c r="M12" i="50" s="1"/>
  <c r="L17" i="51"/>
  <c r="N17" i="51" s="1"/>
  <c r="M17" i="51" s="1"/>
  <c r="J17" i="51"/>
  <c r="I17" i="51" s="1"/>
  <c r="J20" i="50"/>
  <c r="I20" i="50" s="1"/>
  <c r="L20" i="50"/>
  <c r="N20" i="50" s="1"/>
  <c r="M20" i="50" s="1"/>
  <c r="H22" i="49"/>
  <c r="J16" i="49"/>
  <c r="I16" i="49" s="1"/>
  <c r="L16" i="49"/>
  <c r="N16" i="49" s="1"/>
  <c r="M16" i="49" s="1"/>
  <c r="F17" i="52"/>
  <c r="E17" i="52" s="1"/>
  <c r="D22" i="52"/>
  <c r="P21" i="52" s="1"/>
  <c r="R21" i="52" s="1"/>
  <c r="Q21" i="52" s="1"/>
  <c r="F12" i="50"/>
  <c r="E12" i="50" s="1"/>
  <c r="L21" i="49"/>
  <c r="N21" i="49" s="1"/>
  <c r="M21" i="49" s="1"/>
  <c r="J21" i="49"/>
  <c r="I21" i="49" s="1"/>
  <c r="F13" i="51"/>
  <c r="E13" i="51" s="1"/>
  <c r="D22" i="51"/>
  <c r="P15" i="51" s="1"/>
  <c r="R15" i="51" s="1"/>
  <c r="Q15" i="51" s="1"/>
  <c r="F16" i="49"/>
  <c r="E16" i="49" s="1"/>
  <c r="D22" i="49"/>
  <c r="F22" i="49" s="1"/>
  <c r="E22" i="49" s="1"/>
  <c r="E25" i="49" s="1"/>
  <c r="L17" i="52"/>
  <c r="N17" i="52" s="1"/>
  <c r="M17" i="52" s="1"/>
  <c r="J17" i="52"/>
  <c r="I17" i="52" s="1"/>
  <c r="H22" i="52"/>
  <c r="J14" i="52"/>
  <c r="I14" i="52" s="1"/>
  <c r="L14" i="52"/>
  <c r="N14" i="52" s="1"/>
  <c r="M14" i="52" s="1"/>
  <c r="D19" i="13"/>
  <c r="F19" i="13" s="1"/>
  <c r="E19" i="13" s="1"/>
  <c r="J36" i="45"/>
  <c r="L17" i="8"/>
  <c r="J47" i="32"/>
  <c r="K47" i="32"/>
  <c r="J25" i="32"/>
  <c r="D32" i="20" s="1"/>
  <c r="M25" i="32"/>
  <c r="D36" i="20" s="1"/>
  <c r="I25" i="32"/>
  <c r="D38" i="20" s="1"/>
  <c r="F25" i="32"/>
  <c r="D34" i="20" s="1"/>
  <c r="N23" i="45"/>
  <c r="O23" i="45" s="1"/>
  <c r="D15" i="23"/>
  <c r="F15" i="23" s="1"/>
  <c r="C39" i="33"/>
  <c r="H27" i="45"/>
  <c r="H29" i="45" s="1"/>
  <c r="C27" i="45"/>
  <c r="C29" i="45" s="1"/>
  <c r="D16" i="38"/>
  <c r="D10" i="38"/>
  <c r="D21" i="38"/>
  <c r="H18" i="38"/>
  <c r="J18" i="38" s="1"/>
  <c r="I18" i="38" s="1"/>
  <c r="H13" i="38"/>
  <c r="J13" i="38" s="1"/>
  <c r="I13" i="38" s="1"/>
  <c r="F21" i="40"/>
  <c r="E21" i="40" s="1"/>
  <c r="J12" i="40"/>
  <c r="I12" i="40" s="1"/>
  <c r="J13" i="6"/>
  <c r="I13" i="6" s="1"/>
  <c r="H21" i="13"/>
  <c r="J21" i="13" s="1"/>
  <c r="I21" i="13" s="1"/>
  <c r="H10" i="38"/>
  <c r="F19" i="10"/>
  <c r="E19" i="10" s="1"/>
  <c r="D10" i="13"/>
  <c r="F10" i="13" s="1"/>
  <c r="E10" i="13" s="1"/>
  <c r="D12" i="38"/>
  <c r="L14" i="39"/>
  <c r="L14" i="8"/>
  <c r="J10" i="10"/>
  <c r="I10" i="10" s="1"/>
  <c r="D14" i="38"/>
  <c r="L15" i="9"/>
  <c r="L19" i="10"/>
  <c r="L15" i="40"/>
  <c r="H21" i="38"/>
  <c r="J21" i="38" s="1"/>
  <c r="I21" i="38" s="1"/>
  <c r="C22" i="41"/>
  <c r="C20" i="43"/>
  <c r="C46" i="43" s="1"/>
  <c r="K7" i="43"/>
  <c r="K43" i="43" s="1"/>
  <c r="O33" i="43"/>
  <c r="L7" i="43"/>
  <c r="L9" i="43" s="1"/>
  <c r="N18" i="1"/>
  <c r="L14" i="7"/>
  <c r="J10" i="6"/>
  <c r="I10" i="6" s="1"/>
  <c r="D19" i="17"/>
  <c r="E19" i="17" s="1"/>
  <c r="B20" i="33"/>
  <c r="D21" i="23"/>
  <c r="F21" i="23" s="1"/>
  <c r="D10" i="22"/>
  <c r="E10" i="22" s="1"/>
  <c r="F51" i="45"/>
  <c r="F29" i="45"/>
  <c r="E15" i="22"/>
  <c r="K7" i="45"/>
  <c r="F36" i="45"/>
  <c r="B35" i="33"/>
  <c r="I51" i="45"/>
  <c r="M51" i="45"/>
  <c r="D20" i="17"/>
  <c r="E20" i="17" s="1"/>
  <c r="C7" i="45"/>
  <c r="H7" i="45"/>
  <c r="H45" i="45" s="1"/>
  <c r="C51" i="45"/>
  <c r="B13" i="33"/>
  <c r="O16" i="45"/>
  <c r="J7" i="45"/>
  <c r="J55" i="45" s="1"/>
  <c r="J51" i="45"/>
  <c r="J27" i="32"/>
  <c r="D12" i="25"/>
  <c r="E12" i="25" s="1"/>
  <c r="H20" i="13"/>
  <c r="J20" i="13" s="1"/>
  <c r="I20" i="13" s="1"/>
  <c r="H11" i="13"/>
  <c r="J11" i="13" s="1"/>
  <c r="I11" i="13" s="1"/>
  <c r="D16" i="13"/>
  <c r="J14" i="39"/>
  <c r="I14" i="39" s="1"/>
  <c r="D20" i="13"/>
  <c r="F20" i="13" s="1"/>
  <c r="E20" i="13" s="1"/>
  <c r="H20" i="38"/>
  <c r="J20" i="38" s="1"/>
  <c r="I20" i="38" s="1"/>
  <c r="H10" i="13"/>
  <c r="L20" i="40"/>
  <c r="F49" i="43"/>
  <c r="G7" i="43"/>
  <c r="G56" i="43" s="1"/>
  <c r="C7" i="43"/>
  <c r="C56" i="43" s="1"/>
  <c r="E20" i="43"/>
  <c r="E46" i="43" s="1"/>
  <c r="O10" i="43"/>
  <c r="N7" i="43"/>
  <c r="N53" i="43" s="1"/>
  <c r="J7" i="43"/>
  <c r="J43" i="43" s="1"/>
  <c r="N29" i="43"/>
  <c r="F29" i="43"/>
  <c r="D20" i="43"/>
  <c r="D46" i="43" s="1"/>
  <c r="E7" i="43"/>
  <c r="E43" i="43" s="1"/>
  <c r="M29" i="43"/>
  <c r="H7" i="43"/>
  <c r="H9" i="43" s="1"/>
  <c r="H44" i="43" s="1"/>
  <c r="F20" i="43"/>
  <c r="F46" i="43" s="1"/>
  <c r="E14" i="17"/>
  <c r="H47" i="43"/>
  <c r="M47" i="43"/>
  <c r="I57" i="43"/>
  <c r="O36" i="43"/>
  <c r="O34" i="43"/>
  <c r="O28" i="43"/>
  <c r="H20" i="43"/>
  <c r="H46" i="43" s="1"/>
  <c r="G57" i="43"/>
  <c r="O30" i="43"/>
  <c r="O27" i="43"/>
  <c r="N20" i="43"/>
  <c r="N46" i="43" s="1"/>
  <c r="N57" i="43"/>
  <c r="I47" i="43"/>
  <c r="J21" i="39"/>
  <c r="I21" i="39" s="1"/>
  <c r="K21" i="39"/>
  <c r="K14" i="39"/>
  <c r="J11" i="6"/>
  <c r="I11" i="6" s="1"/>
  <c r="K15" i="11"/>
  <c r="K18" i="8"/>
  <c r="K13" i="39"/>
  <c r="K19" i="40"/>
  <c r="J16" i="1"/>
  <c r="K11" i="11"/>
  <c r="K21" i="38"/>
  <c r="K10" i="5"/>
  <c r="K17" i="5"/>
  <c r="K20" i="40"/>
  <c r="K11" i="9"/>
  <c r="M10" i="17"/>
  <c r="K21" i="40"/>
  <c r="K18" i="7"/>
  <c r="K16" i="8"/>
  <c r="K13" i="40"/>
  <c r="N16" i="1"/>
  <c r="K11" i="6"/>
  <c r="K17" i="6"/>
  <c r="F16" i="40"/>
  <c r="E16" i="40" s="1"/>
  <c r="K14" i="8"/>
  <c r="K21" i="9"/>
  <c r="K14" i="9"/>
  <c r="K12" i="39"/>
  <c r="F14" i="9"/>
  <c r="E14" i="9" s="1"/>
  <c r="K19" i="10"/>
  <c r="K19" i="38"/>
  <c r="F16" i="22"/>
  <c r="C22" i="22"/>
  <c r="C22" i="21"/>
  <c r="C22" i="20"/>
  <c r="E15" i="19"/>
  <c r="E15" i="29"/>
  <c r="E17" i="17"/>
  <c r="K16" i="13"/>
  <c r="K13" i="13"/>
  <c r="M11" i="20"/>
  <c r="M10" i="29"/>
  <c r="G10" i="29" s="1"/>
  <c r="K18" i="11"/>
  <c r="L16" i="22"/>
  <c r="L15" i="19"/>
  <c r="M16" i="20"/>
  <c r="L19" i="19"/>
  <c r="L12" i="19"/>
  <c r="K17" i="11"/>
  <c r="F10" i="10"/>
  <c r="E10" i="10" s="1"/>
  <c r="K10" i="40"/>
  <c r="J16" i="39"/>
  <c r="I16" i="39" s="1"/>
  <c r="K15" i="39"/>
  <c r="K11" i="38"/>
  <c r="J10" i="9"/>
  <c r="I10" i="9" s="1"/>
  <c r="L11" i="9"/>
  <c r="K15" i="9"/>
  <c r="F14" i="8"/>
  <c r="E14" i="8" s="1"/>
  <c r="L18" i="6"/>
  <c r="F18" i="6"/>
  <c r="E18" i="6" s="1"/>
  <c r="L19" i="5"/>
  <c r="L12" i="5"/>
  <c r="B31" i="33"/>
  <c r="O17" i="45"/>
  <c r="J20" i="10"/>
  <c r="I20" i="10" s="1"/>
  <c r="H22" i="10"/>
  <c r="J20" i="39"/>
  <c r="I20" i="39" s="1"/>
  <c r="J20" i="7"/>
  <c r="I20" i="7" s="1"/>
  <c r="D20" i="38"/>
  <c r="D20" i="11"/>
  <c r="N41" i="20" s="1"/>
  <c r="H41" i="20" s="1"/>
  <c r="F18" i="22"/>
  <c r="F14" i="22"/>
  <c r="F13" i="20"/>
  <c r="M10" i="20"/>
  <c r="G10" i="20" s="1"/>
  <c r="F11" i="29"/>
  <c r="L13" i="19"/>
  <c r="M12" i="29"/>
  <c r="M19" i="23"/>
  <c r="M11" i="23"/>
  <c r="M14" i="23"/>
  <c r="I13" i="24"/>
  <c r="M13" i="20"/>
  <c r="J20" i="11"/>
  <c r="I20" i="11" s="1"/>
  <c r="M10" i="21"/>
  <c r="M20" i="21"/>
  <c r="L18" i="19"/>
  <c r="H20" i="26"/>
  <c r="L11" i="16"/>
  <c r="M16" i="21"/>
  <c r="J13" i="24"/>
  <c r="I11" i="24"/>
  <c r="M16" i="29"/>
  <c r="M20" i="23"/>
  <c r="M15" i="17"/>
  <c r="L14" i="22"/>
  <c r="K10" i="10"/>
  <c r="L17" i="10"/>
  <c r="K17" i="40"/>
  <c r="F19" i="40"/>
  <c r="E19" i="40" s="1"/>
  <c r="F18" i="39"/>
  <c r="E18" i="39" s="1"/>
  <c r="L18" i="39"/>
  <c r="J13" i="39"/>
  <c r="I13" i="39" s="1"/>
  <c r="K20" i="38"/>
  <c r="K16" i="38"/>
  <c r="L14" i="9"/>
  <c r="F12" i="9"/>
  <c r="E12" i="9" s="1"/>
  <c r="F10" i="9"/>
  <c r="E10" i="9" s="1"/>
  <c r="J14" i="9"/>
  <c r="I14" i="9" s="1"/>
  <c r="F13" i="9"/>
  <c r="E13" i="9" s="1"/>
  <c r="F18" i="9"/>
  <c r="E18" i="9" s="1"/>
  <c r="J13" i="9"/>
  <c r="I13" i="9" s="1"/>
  <c r="L17" i="9"/>
  <c r="L19" i="9"/>
  <c r="K13" i="8"/>
  <c r="J13" i="8"/>
  <c r="I13" i="8" s="1"/>
  <c r="J17" i="8"/>
  <c r="I17" i="8" s="1"/>
  <c r="J16" i="8"/>
  <c r="I16" i="8" s="1"/>
  <c r="F18" i="8"/>
  <c r="E18" i="8" s="1"/>
  <c r="L12" i="8"/>
  <c r="F13" i="8"/>
  <c r="E13" i="8" s="1"/>
  <c r="L18" i="8"/>
  <c r="J17" i="7"/>
  <c r="I17" i="7" s="1"/>
  <c r="L17" i="7"/>
  <c r="F17" i="7"/>
  <c r="E17" i="7" s="1"/>
  <c r="K14" i="7"/>
  <c r="K13" i="7"/>
  <c r="L18" i="7"/>
  <c r="L13" i="7"/>
  <c r="L16" i="7"/>
  <c r="K13" i="6"/>
  <c r="K18" i="6"/>
  <c r="J17" i="6"/>
  <c r="I17" i="6" s="1"/>
  <c r="K10" i="6"/>
  <c r="J21" i="6"/>
  <c r="I21" i="6" s="1"/>
  <c r="G22" i="5"/>
  <c r="J12" i="5"/>
  <c r="I12" i="5" s="1"/>
  <c r="K13" i="5"/>
  <c r="K16" i="5"/>
  <c r="K19" i="5"/>
  <c r="L18" i="5"/>
  <c r="F18" i="5"/>
  <c r="E18" i="5" s="1"/>
  <c r="J18" i="5"/>
  <c r="I18" i="5" s="1"/>
  <c r="J14" i="5"/>
  <c r="I14" i="5" s="1"/>
  <c r="F14" i="5"/>
  <c r="E14" i="5" s="1"/>
  <c r="B32" i="33"/>
  <c r="B16" i="33"/>
  <c r="B49" i="32"/>
  <c r="F12" i="8"/>
  <c r="E12" i="8" s="1"/>
  <c r="L11" i="10"/>
  <c r="L10" i="5"/>
  <c r="D12" i="13"/>
  <c r="C22" i="23"/>
  <c r="F15" i="22"/>
  <c r="E18" i="19"/>
  <c r="F21" i="19"/>
  <c r="E11" i="19"/>
  <c r="E19" i="19"/>
  <c r="E17" i="29"/>
  <c r="E20" i="29"/>
  <c r="E12" i="29"/>
  <c r="M11" i="17"/>
  <c r="J18" i="24"/>
  <c r="I10" i="24"/>
  <c r="L17" i="22"/>
  <c r="M17" i="20"/>
  <c r="M17" i="17"/>
  <c r="M21" i="20"/>
  <c r="J19" i="24"/>
  <c r="J15" i="24"/>
  <c r="M18" i="29"/>
  <c r="I12" i="24"/>
  <c r="M18" i="23"/>
  <c r="L21" i="22"/>
  <c r="M13" i="21"/>
  <c r="L21" i="16"/>
  <c r="M17" i="23"/>
  <c r="L13" i="16"/>
  <c r="M17" i="21"/>
  <c r="L19" i="16"/>
  <c r="M11" i="21"/>
  <c r="M12" i="17"/>
  <c r="M15" i="29"/>
  <c r="L12" i="16"/>
  <c r="M12" i="23"/>
  <c r="J10" i="24"/>
  <c r="M19" i="17"/>
  <c r="L17" i="19"/>
  <c r="L19" i="22"/>
  <c r="M19" i="20"/>
  <c r="M21" i="29"/>
  <c r="M21" i="23"/>
  <c r="M21" i="17"/>
  <c r="L18" i="22"/>
  <c r="J21" i="24"/>
  <c r="J20" i="24"/>
  <c r="H19" i="26"/>
  <c r="J14" i="24"/>
  <c r="M21" i="21"/>
  <c r="H15" i="26"/>
  <c r="L20" i="16"/>
  <c r="M19" i="29"/>
  <c r="I21" i="24"/>
  <c r="I19" i="24"/>
  <c r="H21" i="26"/>
  <c r="L16" i="16"/>
  <c r="L10" i="19"/>
  <c r="H12" i="26"/>
  <c r="H14" i="26"/>
  <c r="J14" i="10"/>
  <c r="I14" i="10" s="1"/>
  <c r="K21" i="10"/>
  <c r="F21" i="10"/>
  <c r="E21" i="10" s="1"/>
  <c r="F18" i="10"/>
  <c r="E18" i="10" s="1"/>
  <c r="F15" i="10"/>
  <c r="E15" i="10" s="1"/>
  <c r="K15" i="10"/>
  <c r="F18" i="40"/>
  <c r="E18" i="40" s="1"/>
  <c r="F11" i="40"/>
  <c r="E11" i="40" s="1"/>
  <c r="K11" i="40"/>
  <c r="F13" i="40"/>
  <c r="E13" i="40" s="1"/>
  <c r="F17" i="40"/>
  <c r="E17" i="40" s="1"/>
  <c r="F14" i="39"/>
  <c r="E14" i="39" s="1"/>
  <c r="K19" i="39"/>
  <c r="K16" i="39"/>
  <c r="F12" i="39"/>
  <c r="E12" i="39" s="1"/>
  <c r="G22" i="38"/>
  <c r="C22" i="38"/>
  <c r="O18" i="38" s="1"/>
  <c r="L13" i="8"/>
  <c r="J18" i="8"/>
  <c r="I18" i="8" s="1"/>
  <c r="L20" i="8"/>
  <c r="G22" i="8"/>
  <c r="J16" i="7"/>
  <c r="I16" i="7" s="1"/>
  <c r="F14" i="7"/>
  <c r="E14" i="7" s="1"/>
  <c r="J15" i="7"/>
  <c r="I15" i="7" s="1"/>
  <c r="K17" i="7"/>
  <c r="J12" i="7"/>
  <c r="I12" i="7" s="1"/>
  <c r="F15" i="7"/>
  <c r="E15" i="7" s="1"/>
  <c r="K12" i="6"/>
  <c r="C22" i="6"/>
  <c r="O21" i="6" s="1"/>
  <c r="F10" i="5"/>
  <c r="E10" i="5" s="1"/>
  <c r="F19" i="5"/>
  <c r="E19" i="5" s="1"/>
  <c r="F13" i="5"/>
  <c r="E13" i="5" s="1"/>
  <c r="J10" i="5"/>
  <c r="I10" i="5" s="1"/>
  <c r="O19" i="45"/>
  <c r="I8" i="45"/>
  <c r="I59" i="45" s="1"/>
  <c r="D11" i="22"/>
  <c r="K14" i="45"/>
  <c r="D11" i="23"/>
  <c r="E11" i="23" s="1"/>
  <c r="D12" i="22"/>
  <c r="E12" i="22" s="1"/>
  <c r="N8" i="45"/>
  <c r="N59" i="45" s="1"/>
  <c r="F20" i="45"/>
  <c r="F48" i="45" s="1"/>
  <c r="J29" i="45"/>
  <c r="O10" i="45"/>
  <c r="J8" i="45"/>
  <c r="O28" i="45"/>
  <c r="I39" i="33"/>
  <c r="I36" i="45"/>
  <c r="E18" i="22"/>
  <c r="G7" i="45"/>
  <c r="G9" i="45" s="1"/>
  <c r="G56" i="45" s="1"/>
  <c r="K20" i="45"/>
  <c r="K48" i="45" s="1"/>
  <c r="F11" i="17"/>
  <c r="E11" i="17"/>
  <c r="D16" i="17"/>
  <c r="E16" i="17" s="1"/>
  <c r="F14" i="17"/>
  <c r="F59" i="45"/>
  <c r="H51" i="45"/>
  <c r="B17" i="33"/>
  <c r="D10" i="17"/>
  <c r="G27" i="45"/>
  <c r="G29" i="45" s="1"/>
  <c r="O30" i="45"/>
  <c r="N7" i="45"/>
  <c r="L51" i="45"/>
  <c r="M20" i="45"/>
  <c r="M48" i="45" s="1"/>
  <c r="C20" i="45"/>
  <c r="C48" i="45" s="1"/>
  <c r="E7" i="45"/>
  <c r="E9" i="45" s="1"/>
  <c r="L7" i="45"/>
  <c r="L9" i="45" s="1"/>
  <c r="E51" i="45"/>
  <c r="G14" i="45"/>
  <c r="G49" i="45" s="1"/>
  <c r="D12" i="23"/>
  <c r="E14" i="22"/>
  <c r="M8" i="45"/>
  <c r="M59" i="45" s="1"/>
  <c r="D13" i="22"/>
  <c r="O31" i="45"/>
  <c r="B27" i="33"/>
  <c r="B28" i="33"/>
  <c r="B25" i="33"/>
  <c r="B26" i="33"/>
  <c r="D17" i="22"/>
  <c r="F17" i="22" s="1"/>
  <c r="N20" i="45"/>
  <c r="N48" i="45" s="1"/>
  <c r="I20" i="45"/>
  <c r="I48" i="45" s="1"/>
  <c r="D14" i="45"/>
  <c r="D13" i="23"/>
  <c r="E13" i="23" s="1"/>
  <c r="M39" i="33"/>
  <c r="L36" i="45"/>
  <c r="D19" i="22"/>
  <c r="F19" i="22" s="1"/>
  <c r="D16" i="23"/>
  <c r="O25" i="45"/>
  <c r="O50" i="45" s="1"/>
  <c r="H8" i="45"/>
  <c r="H59" i="45" s="1"/>
  <c r="D10" i="23"/>
  <c r="E10" i="23" s="1"/>
  <c r="D17" i="23"/>
  <c r="E17" i="23" s="1"/>
  <c r="F7" i="45"/>
  <c r="F9" i="45" s="1"/>
  <c r="F12" i="45" s="1"/>
  <c r="M7" i="45"/>
  <c r="D59" i="45"/>
  <c r="G51" i="45"/>
  <c r="L29" i="45"/>
  <c r="B24" i="33"/>
  <c r="E18" i="45"/>
  <c r="G20" i="45"/>
  <c r="G48" i="45" s="1"/>
  <c r="L20" i="45"/>
  <c r="L48" i="45" s="1"/>
  <c r="D18" i="23"/>
  <c r="I14" i="45"/>
  <c r="I49" i="45" s="1"/>
  <c r="B30" i="33"/>
  <c r="C34" i="45"/>
  <c r="O34" i="45" s="1"/>
  <c r="B33" i="33"/>
  <c r="B34" i="33"/>
  <c r="D39" i="33"/>
  <c r="K29" i="45"/>
  <c r="D29" i="45"/>
  <c r="E16" i="22"/>
  <c r="I7" i="45"/>
  <c r="I45" i="45" s="1"/>
  <c r="H20" i="45"/>
  <c r="H48" i="45" s="1"/>
  <c r="J20" i="45"/>
  <c r="J48" i="45" s="1"/>
  <c r="D51" i="45"/>
  <c r="K51" i="45"/>
  <c r="D20" i="45"/>
  <c r="O13" i="45"/>
  <c r="E59" i="45"/>
  <c r="G59" i="45"/>
  <c r="B14" i="33"/>
  <c r="B15" i="33"/>
  <c r="O22" i="45"/>
  <c r="C33" i="45"/>
  <c r="B19" i="33"/>
  <c r="D5" i="45"/>
  <c r="B12" i="33"/>
  <c r="L59" i="45"/>
  <c r="O11" i="45"/>
  <c r="D13" i="17"/>
  <c r="E27" i="45"/>
  <c r="E29" i="45" s="1"/>
  <c r="B18" i="33"/>
  <c r="F17" i="17"/>
  <c r="E18" i="17"/>
  <c r="F12" i="17"/>
  <c r="B35" i="32"/>
  <c r="D20" i="21"/>
  <c r="E20" i="21" s="1"/>
  <c r="B44" i="32"/>
  <c r="D12" i="21"/>
  <c r="E12" i="21" s="1"/>
  <c r="F19" i="21"/>
  <c r="E19" i="21"/>
  <c r="D15" i="21"/>
  <c r="B41" i="32"/>
  <c r="B42" i="32"/>
  <c r="D20" i="25"/>
  <c r="F20" i="25" s="1"/>
  <c r="D13" i="25"/>
  <c r="E13" i="25" s="1"/>
  <c r="L51" i="32"/>
  <c r="B45" i="32"/>
  <c r="E51" i="32"/>
  <c r="B43" i="32"/>
  <c r="F21" i="29"/>
  <c r="E21" i="29"/>
  <c r="D22" i="29"/>
  <c r="F12" i="29"/>
  <c r="B29" i="32"/>
  <c r="B34" i="32"/>
  <c r="B36" i="32"/>
  <c r="B37" i="32"/>
  <c r="N51" i="32"/>
  <c r="F19" i="29"/>
  <c r="E18" i="29"/>
  <c r="H47" i="32"/>
  <c r="B33" i="32"/>
  <c r="E13" i="29"/>
  <c r="F10" i="29"/>
  <c r="L27" i="32"/>
  <c r="B31" i="32"/>
  <c r="B32" i="32"/>
  <c r="B23" i="32"/>
  <c r="E21" i="20"/>
  <c r="D14" i="20"/>
  <c r="E14" i="20" s="1"/>
  <c r="D19" i="20"/>
  <c r="F19" i="20" s="1"/>
  <c r="M10" i="32"/>
  <c r="D15" i="25" s="1"/>
  <c r="E15" i="25" s="1"/>
  <c r="I10" i="32"/>
  <c r="D11" i="25" s="1"/>
  <c r="F11" i="25" s="1"/>
  <c r="F19" i="19"/>
  <c r="D13" i="19"/>
  <c r="E13" i="19" s="1"/>
  <c r="D21" i="25"/>
  <c r="E21" i="25" s="1"/>
  <c r="D21" i="21"/>
  <c r="E21" i="21" s="1"/>
  <c r="D19" i="25"/>
  <c r="E19" i="25" s="1"/>
  <c r="B39" i="32"/>
  <c r="D13" i="21"/>
  <c r="E13" i="21" s="1"/>
  <c r="D16" i="21"/>
  <c r="F16" i="21" s="1"/>
  <c r="D10" i="25"/>
  <c r="F10" i="25" s="1"/>
  <c r="D17" i="21"/>
  <c r="E17" i="21" s="1"/>
  <c r="D18" i="21"/>
  <c r="E18" i="21" s="1"/>
  <c r="E14" i="21"/>
  <c r="F10" i="21"/>
  <c r="P47" i="32"/>
  <c r="F15" i="29"/>
  <c r="F14" i="29"/>
  <c r="P27" i="32"/>
  <c r="F20" i="29"/>
  <c r="F17" i="29"/>
  <c r="F16" i="29"/>
  <c r="D17" i="25"/>
  <c r="E17" i="25" s="1"/>
  <c r="D10" i="20"/>
  <c r="F10" i="20" s="1"/>
  <c r="D15" i="20"/>
  <c r="E15" i="20" s="1"/>
  <c r="D18" i="25"/>
  <c r="F18" i="25" s="1"/>
  <c r="F17" i="19"/>
  <c r="E17" i="19"/>
  <c r="F11" i="19"/>
  <c r="E11" i="20"/>
  <c r="F15" i="19"/>
  <c r="F20" i="20"/>
  <c r="J10" i="32"/>
  <c r="D14" i="25"/>
  <c r="E14" i="25" s="1"/>
  <c r="E14" i="19"/>
  <c r="F12" i="19"/>
  <c r="E13" i="20"/>
  <c r="E21" i="19"/>
  <c r="F10" i="19"/>
  <c r="F18" i="19"/>
  <c r="D11" i="38"/>
  <c r="H17" i="13"/>
  <c r="J17" i="13" s="1"/>
  <c r="I17" i="13" s="1"/>
  <c r="D17" i="13"/>
  <c r="L15" i="10"/>
  <c r="J10" i="7"/>
  <c r="I10" i="7" s="1"/>
  <c r="L14" i="40"/>
  <c r="L11" i="5"/>
  <c r="B44" i="31"/>
  <c r="B54" i="31"/>
  <c r="G12" i="1" s="1"/>
  <c r="J18" i="7"/>
  <c r="I18" i="7" s="1"/>
  <c r="J14" i="40"/>
  <c r="I14" i="40" s="1"/>
  <c r="B15" i="31"/>
  <c r="G15" i="1" s="1"/>
  <c r="F18" i="7"/>
  <c r="E18" i="7" s="1"/>
  <c r="J17" i="9"/>
  <c r="I17" i="9" s="1"/>
  <c r="B23" i="30"/>
  <c r="B38" i="30"/>
  <c r="D21" i="13"/>
  <c r="B57" i="30"/>
  <c r="C16" i="1" s="1"/>
  <c r="D19" i="38"/>
  <c r="D15" i="38"/>
  <c r="J15" i="9"/>
  <c r="I15" i="9" s="1"/>
  <c r="B28" i="31"/>
  <c r="B53" i="31"/>
  <c r="L16" i="9"/>
  <c r="H16" i="38"/>
  <c r="J16" i="38" s="1"/>
  <c r="I16" i="38" s="1"/>
  <c r="L17" i="40"/>
  <c r="B25" i="30"/>
  <c r="L14" i="6"/>
  <c r="J14" i="6"/>
  <c r="I14" i="6" s="1"/>
  <c r="B52" i="31"/>
  <c r="H12" i="38"/>
  <c r="L12" i="10"/>
  <c r="J12" i="10"/>
  <c r="I12" i="10" s="1"/>
  <c r="L18" i="10"/>
  <c r="L21" i="40"/>
  <c r="H17" i="11"/>
  <c r="H15" i="13"/>
  <c r="J15" i="13" s="1"/>
  <c r="I15" i="13" s="1"/>
  <c r="D18" i="13"/>
  <c r="D18" i="11"/>
  <c r="B55" i="30"/>
  <c r="C11" i="1" s="1"/>
  <c r="L17" i="5"/>
  <c r="H14" i="13"/>
  <c r="J14" i="13" s="1"/>
  <c r="I14" i="13" s="1"/>
  <c r="F21" i="7"/>
  <c r="E21" i="7" s="1"/>
  <c r="F21" i="8"/>
  <c r="F17" i="8"/>
  <c r="E17" i="8" s="1"/>
  <c r="J14" i="8"/>
  <c r="I14" i="8" s="1"/>
  <c r="J11" i="10"/>
  <c r="I11" i="10" s="1"/>
  <c r="B40" i="31"/>
  <c r="B40" i="30"/>
  <c r="H19" i="38"/>
  <c r="J19" i="38" s="1"/>
  <c r="I19" i="38" s="1"/>
  <c r="B55" i="31"/>
  <c r="G11" i="1" s="1"/>
  <c r="G34" i="1" s="1"/>
  <c r="I34" i="1" s="1"/>
  <c r="H34" i="1" s="1"/>
  <c r="L17" i="39"/>
  <c r="H18" i="13"/>
  <c r="J18" i="13" s="1"/>
  <c r="I18" i="13" s="1"/>
  <c r="L12" i="9"/>
  <c r="L13" i="39"/>
  <c r="J14" i="7"/>
  <c r="I14" i="7" s="1"/>
  <c r="L13" i="9"/>
  <c r="J11" i="11"/>
  <c r="I11" i="11" s="1"/>
  <c r="F13" i="39"/>
  <c r="E13" i="39" s="1"/>
  <c r="B51" i="31"/>
  <c r="G10" i="1" s="1"/>
  <c r="D15" i="13"/>
  <c r="J17" i="10"/>
  <c r="I17" i="10" s="1"/>
  <c r="B39" i="30"/>
  <c r="L10" i="40"/>
  <c r="L18" i="40"/>
  <c r="H14" i="38"/>
  <c r="J14" i="38" s="1"/>
  <c r="I14" i="38" s="1"/>
  <c r="B20" i="30"/>
  <c r="B29" i="30"/>
  <c r="D18" i="38"/>
  <c r="L14" i="5"/>
  <c r="D14" i="13"/>
  <c r="F14" i="13" s="1"/>
  <c r="E14" i="13" s="1"/>
  <c r="J15" i="11"/>
  <c r="I15" i="11" s="1"/>
  <c r="L21" i="10"/>
  <c r="J15" i="6"/>
  <c r="I15" i="6" s="1"/>
  <c r="L20" i="39"/>
  <c r="B59" i="30"/>
  <c r="C18" i="1" s="1"/>
  <c r="D15" i="8"/>
  <c r="B34" i="30"/>
  <c r="D21" i="39"/>
  <c r="D21" i="9"/>
  <c r="H11" i="38"/>
  <c r="L20" i="10"/>
  <c r="B43" i="30"/>
  <c r="L14" i="10"/>
  <c r="L10" i="9"/>
  <c r="B33" i="30"/>
  <c r="L20" i="9"/>
  <c r="J21" i="7"/>
  <c r="F13" i="7"/>
  <c r="E13" i="7" s="1"/>
  <c r="J21" i="8"/>
  <c r="F10" i="8"/>
  <c r="E10" i="8" s="1"/>
  <c r="J19" i="9"/>
  <c r="I19" i="9" s="1"/>
  <c r="F11" i="9"/>
  <c r="E11" i="9" s="1"/>
  <c r="J19" i="10"/>
  <c r="I19" i="10" s="1"/>
  <c r="B27" i="30"/>
  <c r="B32" i="31"/>
  <c r="B14" i="30"/>
  <c r="C14" i="1" s="1"/>
  <c r="C37" i="1" s="1"/>
  <c r="E37" i="1" s="1"/>
  <c r="D37" i="1" s="1"/>
  <c r="B18" i="30"/>
  <c r="B52" i="30"/>
  <c r="D13" i="38"/>
  <c r="H13" i="13"/>
  <c r="J13" i="13" s="1"/>
  <c r="I13" i="13" s="1"/>
  <c r="B13" i="31"/>
  <c r="D11" i="11"/>
  <c r="N31" i="20" s="1"/>
  <c r="L19" i="39"/>
  <c r="F19" i="39"/>
  <c r="E19" i="39" s="1"/>
  <c r="L19" i="7"/>
  <c r="J19" i="7"/>
  <c r="I19" i="7" s="1"/>
  <c r="L11" i="39"/>
  <c r="J11" i="39"/>
  <c r="I11" i="39" s="1"/>
  <c r="J20" i="8"/>
  <c r="I20" i="8" s="1"/>
  <c r="L19" i="11"/>
  <c r="B32" i="30"/>
  <c r="B36" i="30"/>
  <c r="B44" i="30"/>
  <c r="B22" i="31"/>
  <c r="G19" i="1" s="1"/>
  <c r="B26" i="31"/>
  <c r="B30" i="31"/>
  <c r="B42" i="31"/>
  <c r="F19" i="9"/>
  <c r="E19" i="9" s="1"/>
  <c r="L10" i="8"/>
  <c r="B17" i="30"/>
  <c r="C20" i="1" s="1"/>
  <c r="F14" i="10"/>
  <c r="E14" i="10" s="1"/>
  <c r="B26" i="30"/>
  <c r="B30" i="30"/>
  <c r="B41" i="30"/>
  <c r="B20" i="31"/>
  <c r="J11" i="5"/>
  <c r="I11" i="5" s="1"/>
  <c r="B25" i="31"/>
  <c r="B29" i="31"/>
  <c r="L10" i="7"/>
  <c r="B13" i="30"/>
  <c r="L19" i="40"/>
  <c r="L21" i="5"/>
  <c r="J21" i="5"/>
  <c r="I21" i="5" s="1"/>
  <c r="L15" i="5"/>
  <c r="L16" i="8"/>
  <c r="F16" i="8"/>
  <c r="E16" i="8" s="1"/>
  <c r="B59" i="31"/>
  <c r="G18" i="1" s="1"/>
  <c r="G41" i="1" s="1"/>
  <c r="I41" i="1" s="1"/>
  <c r="H41" i="1" s="1"/>
  <c r="D13" i="13"/>
  <c r="F13" i="13" s="1"/>
  <c r="E13" i="13" s="1"/>
  <c r="H18" i="11"/>
  <c r="L12" i="24" s="1"/>
  <c r="J16" i="9"/>
  <c r="I16" i="9" s="1"/>
  <c r="J17" i="39"/>
  <c r="I17" i="39" s="1"/>
  <c r="J17" i="40"/>
  <c r="I17" i="40" s="1"/>
  <c r="B24" i="30"/>
  <c r="B35" i="30"/>
  <c r="H22" i="6"/>
  <c r="H18" i="9"/>
  <c r="L18" i="9" s="1"/>
  <c r="B38" i="31"/>
  <c r="J15" i="5"/>
  <c r="I15" i="5" s="1"/>
  <c r="J19" i="40"/>
  <c r="I19" i="40" s="1"/>
  <c r="B31" i="30"/>
  <c r="H17" i="38"/>
  <c r="J17" i="38" s="1"/>
  <c r="I17" i="38" s="1"/>
  <c r="B19" i="30"/>
  <c r="B14" i="31"/>
  <c r="G14" i="1" s="1"/>
  <c r="B23" i="31"/>
  <c r="B27" i="31"/>
  <c r="B34" i="31"/>
  <c r="B37" i="31"/>
  <c r="B39" i="31"/>
  <c r="B41" i="31"/>
  <c r="F21" i="5"/>
  <c r="E21" i="5" s="1"/>
  <c r="D17" i="38"/>
  <c r="L10" i="10"/>
  <c r="J13" i="11"/>
  <c r="I13" i="11" s="1"/>
  <c r="B22" i="30"/>
  <c r="C19" i="1" s="1"/>
  <c r="J15" i="8"/>
  <c r="I15" i="8" s="1"/>
  <c r="B15" i="30"/>
  <c r="C15" i="1" s="1"/>
  <c r="B42" i="30"/>
  <c r="B53" i="30"/>
  <c r="B18" i="31"/>
  <c r="D22" i="5"/>
  <c r="P21" i="5" s="1"/>
  <c r="F12" i="5"/>
  <c r="E12" i="5" s="1"/>
  <c r="L13" i="5"/>
  <c r="F12" i="7"/>
  <c r="E12" i="7" s="1"/>
  <c r="L12" i="7"/>
  <c r="H22" i="8"/>
  <c r="L19" i="8"/>
  <c r="B43" i="31"/>
  <c r="B31" i="31"/>
  <c r="B37" i="30"/>
  <c r="D11" i="13"/>
  <c r="F11" i="13" s="1"/>
  <c r="E11" i="13" s="1"/>
  <c r="B58" i="30"/>
  <c r="C17" i="1" s="1"/>
  <c r="C40" i="1" s="1"/>
  <c r="E40" i="1" s="1"/>
  <c r="D40" i="1" s="1"/>
  <c r="B17" i="31"/>
  <c r="G20" i="1" s="1"/>
  <c r="G43" i="1" s="1"/>
  <c r="I43" i="1" s="1"/>
  <c r="H43" i="1" s="1"/>
  <c r="J19" i="8"/>
  <c r="I19" i="8" s="1"/>
  <c r="L10" i="39"/>
  <c r="D22" i="7"/>
  <c r="P11" i="7" s="1"/>
  <c r="B36" i="31"/>
  <c r="B12" i="30"/>
  <c r="C13" i="1" s="1"/>
  <c r="B12" i="31"/>
  <c r="G13" i="1" s="1"/>
  <c r="B51" i="30"/>
  <c r="C10" i="1" s="1"/>
  <c r="F19" i="8"/>
  <c r="E19" i="8" s="1"/>
  <c r="F13" i="10"/>
  <c r="E13" i="10" s="1"/>
  <c r="L20" i="5"/>
  <c r="B19" i="31"/>
  <c r="B24" i="31"/>
  <c r="B33" i="31"/>
  <c r="B35" i="31"/>
  <c r="B57" i="31"/>
  <c r="G16" i="1" s="1"/>
  <c r="G39" i="1" s="1"/>
  <c r="I39" i="1" s="1"/>
  <c r="H39" i="1" s="1"/>
  <c r="L13" i="10"/>
  <c r="B58" i="31"/>
  <c r="G17" i="1" s="1"/>
  <c r="B28" i="30"/>
  <c r="L11" i="8"/>
  <c r="F11" i="8"/>
  <c r="E11" i="8" s="1"/>
  <c r="F20" i="7"/>
  <c r="E20" i="7" s="1"/>
  <c r="L20" i="7"/>
  <c r="L16" i="40"/>
  <c r="D22" i="40"/>
  <c r="P20" i="40" s="1"/>
  <c r="J18" i="40"/>
  <c r="I18" i="40" s="1"/>
  <c r="J18" i="10"/>
  <c r="I18" i="10" s="1"/>
  <c r="J12" i="11"/>
  <c r="I12" i="11" s="1"/>
  <c r="F15" i="5"/>
  <c r="E15" i="5" s="1"/>
  <c r="J17" i="5"/>
  <c r="I17" i="5" s="1"/>
  <c r="J20" i="5"/>
  <c r="I20" i="5" s="1"/>
  <c r="F14" i="6"/>
  <c r="E14" i="6" s="1"/>
  <c r="F20" i="5"/>
  <c r="E20" i="5" s="1"/>
  <c r="F20" i="8"/>
  <c r="E20" i="8" s="1"/>
  <c r="J12" i="8"/>
  <c r="I12" i="8" s="1"/>
  <c r="F10" i="39"/>
  <c r="E10" i="39" s="1"/>
  <c r="J20" i="40"/>
  <c r="I20" i="40" s="1"/>
  <c r="H11" i="7"/>
  <c r="J11" i="7" s="1"/>
  <c r="I11" i="7" s="1"/>
  <c r="F17" i="5"/>
  <c r="E17" i="5" s="1"/>
  <c r="F11" i="7"/>
  <c r="E11" i="7" s="1"/>
  <c r="J20" i="9"/>
  <c r="I20" i="9" s="1"/>
  <c r="F20" i="39"/>
  <c r="E20" i="39" s="1"/>
  <c r="F17" i="39"/>
  <c r="E17" i="39" s="1"/>
  <c r="J21" i="40"/>
  <c r="I21" i="40" s="1"/>
  <c r="H12" i="39"/>
  <c r="J12" i="39" s="1"/>
  <c r="I12" i="39" s="1"/>
  <c r="F20" i="9"/>
  <c r="E20" i="9" s="1"/>
  <c r="J15" i="40"/>
  <c r="I15" i="40" s="1"/>
  <c r="J13" i="10"/>
  <c r="I13" i="10" s="1"/>
  <c r="J12" i="9"/>
  <c r="I12" i="9" s="1"/>
  <c r="J20" i="43"/>
  <c r="J46" i="43" s="1"/>
  <c r="O6" i="43"/>
  <c r="L29" i="43"/>
  <c r="H29" i="43"/>
  <c r="M49" i="43"/>
  <c r="I49" i="43"/>
  <c r="M20" i="43"/>
  <c r="M46" i="43" s="1"/>
  <c r="I20" i="43"/>
  <c r="I46" i="43" s="1"/>
  <c r="N47" i="43"/>
  <c r="K29" i="43"/>
  <c r="G29" i="43"/>
  <c r="L20" i="43"/>
  <c r="L46" i="43" s="1"/>
  <c r="M57" i="43"/>
  <c r="G47" i="43"/>
  <c r="E29" i="43"/>
  <c r="J29" i="43"/>
  <c r="G49" i="43"/>
  <c r="G20" i="43"/>
  <c r="G46" i="43" s="1"/>
  <c r="E12" i="17"/>
  <c r="K20" i="43"/>
  <c r="K46" i="43" s="1"/>
  <c r="F18" i="17"/>
  <c r="K57" i="43"/>
  <c r="E57" i="43"/>
  <c r="E47" i="43"/>
  <c r="O13" i="43"/>
  <c r="O5" i="43"/>
  <c r="F7" i="43"/>
  <c r="C22" i="16"/>
  <c r="E21" i="17"/>
  <c r="F21" i="17"/>
  <c r="F15" i="17"/>
  <c r="E15" i="17"/>
  <c r="C22" i="17"/>
  <c r="C48" i="43"/>
  <c r="O25" i="43"/>
  <c r="O48" i="43" s="1"/>
  <c r="O23" i="43"/>
  <c r="C49" i="43"/>
  <c r="O22" i="43"/>
  <c r="O19" i="43"/>
  <c r="O18" i="43"/>
  <c r="O17" i="43"/>
  <c r="O16" i="43"/>
  <c r="J47" i="43"/>
  <c r="F47" i="43"/>
  <c r="O14" i="43"/>
  <c r="M53" i="43"/>
  <c r="O31" i="43"/>
  <c r="D29" i="43"/>
  <c r="O8" i="43"/>
  <c r="E20" i="22"/>
  <c r="F20" i="22"/>
  <c r="O11" i="43"/>
  <c r="C22" i="42"/>
  <c r="F14" i="21"/>
  <c r="E11" i="21"/>
  <c r="F11" i="21"/>
  <c r="F13" i="29"/>
  <c r="E16" i="29"/>
  <c r="E10" i="29"/>
  <c r="C22" i="29"/>
  <c r="E12" i="19"/>
  <c r="E16" i="19"/>
  <c r="F16" i="19"/>
  <c r="F11" i="20"/>
  <c r="C22" i="19"/>
  <c r="F20" i="19"/>
  <c r="E10" i="19"/>
  <c r="E20" i="19"/>
  <c r="C22" i="25"/>
  <c r="F14" i="19"/>
  <c r="E11" i="29"/>
  <c r="E10" i="21"/>
  <c r="E19" i="29"/>
  <c r="F18" i="29"/>
  <c r="E14" i="29"/>
  <c r="G22" i="11"/>
  <c r="J10" i="11"/>
  <c r="I10" i="11" s="1"/>
  <c r="K12" i="11"/>
  <c r="K19" i="8"/>
  <c r="K12" i="7"/>
  <c r="K10" i="7"/>
  <c r="K20" i="7"/>
  <c r="K12" i="5"/>
  <c r="J13" i="5"/>
  <c r="I13" i="5" s="1"/>
  <c r="J19" i="5"/>
  <c r="I19" i="5" s="1"/>
  <c r="K11" i="5"/>
  <c r="K13" i="38"/>
  <c r="J19" i="39"/>
  <c r="I19" i="39" s="1"/>
  <c r="K19" i="9"/>
  <c r="K17" i="9"/>
  <c r="K16" i="9"/>
  <c r="K13" i="9"/>
  <c r="K11" i="39"/>
  <c r="K15" i="40"/>
  <c r="K12" i="38"/>
  <c r="J15" i="10"/>
  <c r="I15" i="10" s="1"/>
  <c r="G22" i="10"/>
  <c r="J21" i="10"/>
  <c r="I21" i="10" s="1"/>
  <c r="K15" i="6"/>
  <c r="G22" i="6"/>
  <c r="J12" i="6"/>
  <c r="I12" i="6" s="1"/>
  <c r="J18" i="6"/>
  <c r="I18" i="6" s="1"/>
  <c r="J14" i="1"/>
  <c r="K16" i="7"/>
  <c r="K10" i="39"/>
  <c r="J10" i="39"/>
  <c r="I10" i="39" s="1"/>
  <c r="G22" i="39"/>
  <c r="K21" i="11"/>
  <c r="J12" i="24"/>
  <c r="J21" i="11"/>
  <c r="I21" i="11" s="1"/>
  <c r="J17" i="24"/>
  <c r="J20" i="6"/>
  <c r="I20" i="6" s="1"/>
  <c r="K20" i="6"/>
  <c r="J19" i="6"/>
  <c r="I19" i="6" s="1"/>
  <c r="K19" i="6"/>
  <c r="K18" i="38"/>
  <c r="K10" i="38"/>
  <c r="G22" i="7"/>
  <c r="J16" i="10"/>
  <c r="I16" i="10" s="1"/>
  <c r="K10" i="11"/>
  <c r="K11" i="7"/>
  <c r="J19" i="11"/>
  <c r="I19" i="11" s="1"/>
  <c r="K10" i="8"/>
  <c r="J10" i="8"/>
  <c r="I10" i="8" s="1"/>
  <c r="K10" i="9"/>
  <c r="K18" i="39"/>
  <c r="J18" i="39"/>
  <c r="I18" i="39" s="1"/>
  <c r="K18" i="40"/>
  <c r="K16" i="40"/>
  <c r="J16" i="40"/>
  <c r="I16" i="40" s="1"/>
  <c r="G22" i="40"/>
  <c r="J10" i="40"/>
  <c r="I10" i="40" s="1"/>
  <c r="J16" i="11"/>
  <c r="I16" i="11" s="1"/>
  <c r="J16" i="24"/>
  <c r="G22" i="13"/>
  <c r="K16" i="6"/>
  <c r="J16" i="6"/>
  <c r="I16" i="6" s="1"/>
  <c r="G22" i="9"/>
  <c r="J11" i="9"/>
  <c r="I11" i="9" s="1"/>
  <c r="K18" i="9"/>
  <c r="K18" i="10"/>
  <c r="K18" i="5"/>
  <c r="J11" i="24"/>
  <c r="J15" i="39"/>
  <c r="I15" i="39" s="1"/>
  <c r="J13" i="7"/>
  <c r="I13" i="7" s="1"/>
  <c r="K11" i="8"/>
  <c r="J11" i="8"/>
  <c r="I11" i="8" s="1"/>
  <c r="K21" i="13"/>
  <c r="K17" i="13"/>
  <c r="K15" i="7"/>
  <c r="K14" i="13"/>
  <c r="J17" i="1"/>
  <c r="K14" i="5"/>
  <c r="K19" i="7"/>
  <c r="K14" i="11"/>
  <c r="M13" i="23"/>
  <c r="M14" i="17"/>
  <c r="M13" i="17"/>
  <c r="H10" i="26"/>
  <c r="L15" i="16"/>
  <c r="I14" i="24"/>
  <c r="M13" i="29"/>
  <c r="M10" i="23"/>
  <c r="K11" i="13"/>
  <c r="K15" i="13"/>
  <c r="K19" i="11"/>
  <c r="M18" i="17"/>
  <c r="L20" i="22"/>
  <c r="F19" i="11"/>
  <c r="E19" i="11" s="1"/>
  <c r="I20" i="24"/>
  <c r="M14" i="29"/>
  <c r="H16" i="26"/>
  <c r="K17" i="8"/>
  <c r="K12" i="8"/>
  <c r="F10" i="7"/>
  <c r="E10" i="7" s="1"/>
  <c r="K20" i="8"/>
  <c r="J18" i="1"/>
  <c r="K15" i="8"/>
  <c r="F16" i="7"/>
  <c r="E16" i="7" s="1"/>
  <c r="C22" i="8"/>
  <c r="O19" i="8" s="1"/>
  <c r="N12" i="1"/>
  <c r="J12" i="1"/>
  <c r="K15" i="5"/>
  <c r="K20" i="5"/>
  <c r="K20" i="13"/>
  <c r="K21" i="5"/>
  <c r="K18" i="13"/>
  <c r="F11" i="5"/>
  <c r="E11" i="5" s="1"/>
  <c r="F16" i="5"/>
  <c r="E16" i="5" s="1"/>
  <c r="C22" i="5"/>
  <c r="O13" i="5" s="1"/>
  <c r="K14" i="38"/>
  <c r="F15" i="9"/>
  <c r="E15" i="9" s="1"/>
  <c r="K20" i="9"/>
  <c r="F17" i="9"/>
  <c r="E17" i="9" s="1"/>
  <c r="F16" i="9"/>
  <c r="E16" i="9" s="1"/>
  <c r="C22" i="9"/>
  <c r="O15" i="9" s="1"/>
  <c r="K17" i="38"/>
  <c r="K15" i="38"/>
  <c r="N20" i="1"/>
  <c r="K14" i="10"/>
  <c r="K13" i="10"/>
  <c r="J15" i="1"/>
  <c r="N13" i="1"/>
  <c r="J13" i="1"/>
  <c r="K14" i="6"/>
  <c r="K21" i="6"/>
  <c r="L12" i="22"/>
  <c r="M17" i="29"/>
  <c r="M16" i="17"/>
  <c r="L20" i="19"/>
  <c r="M15" i="23"/>
  <c r="L17" i="16"/>
  <c r="H13" i="26"/>
  <c r="K13" i="11"/>
  <c r="M18" i="21"/>
  <c r="I15" i="24"/>
  <c r="M18" i="20"/>
  <c r="F11" i="10"/>
  <c r="E11" i="10" s="1"/>
  <c r="K11" i="10"/>
  <c r="N11" i="1"/>
  <c r="J11" i="1"/>
  <c r="N19" i="1"/>
  <c r="J19" i="1"/>
  <c r="K12" i="13"/>
  <c r="K10" i="13"/>
  <c r="C22" i="13"/>
  <c r="F11" i="39"/>
  <c r="E11" i="39" s="1"/>
  <c r="C22" i="39"/>
  <c r="O12" i="39" s="1"/>
  <c r="K20" i="10"/>
  <c r="F20" i="10"/>
  <c r="E20" i="10" s="1"/>
  <c r="K17" i="10"/>
  <c r="F17" i="10"/>
  <c r="E17" i="10" s="1"/>
  <c r="K12" i="10"/>
  <c r="C22" i="10"/>
  <c r="O15" i="10" s="1"/>
  <c r="F12" i="10"/>
  <c r="E12" i="10" s="1"/>
  <c r="M20" i="20"/>
  <c r="K20" i="11"/>
  <c r="M20" i="17"/>
  <c r="M15" i="20"/>
  <c r="M16" i="23"/>
  <c r="M14" i="21"/>
  <c r="H11" i="26"/>
  <c r="L14" i="19"/>
  <c r="I16" i="24"/>
  <c r="L13" i="22"/>
  <c r="K16" i="11"/>
  <c r="K12" i="40"/>
  <c r="L21" i="19"/>
  <c r="L14" i="16"/>
  <c r="M19" i="21"/>
  <c r="K19" i="13"/>
  <c r="F15" i="40"/>
  <c r="E15" i="40" s="1"/>
  <c r="N10" i="1"/>
  <c r="J10" i="1"/>
  <c r="F19" i="7"/>
  <c r="E19" i="7" s="1"/>
  <c r="C22" i="7"/>
  <c r="O15" i="7" s="1"/>
  <c r="K20" i="39"/>
  <c r="K16" i="10"/>
  <c r="I18" i="24"/>
  <c r="M20" i="29"/>
  <c r="L18" i="16"/>
  <c r="C22" i="11"/>
  <c r="O13" i="11" s="1"/>
  <c r="H18" i="26"/>
  <c r="C22" i="40"/>
  <c r="K17" i="39"/>
  <c r="K14" i="40"/>
  <c r="F14" i="40"/>
  <c r="E14" i="40" s="1"/>
  <c r="H17" i="26"/>
  <c r="L15" i="22"/>
  <c r="M11" i="29"/>
  <c r="L16" i="19"/>
  <c r="M12" i="21"/>
  <c r="I17" i="24"/>
  <c r="M14" i="20"/>
  <c r="N21" i="1"/>
  <c r="N14" i="1"/>
  <c r="J21" i="1"/>
  <c r="N17" i="1"/>
  <c r="M12" i="20"/>
  <c r="M15" i="21"/>
  <c r="L10" i="22"/>
  <c r="L11" i="19"/>
  <c r="N15" i="1"/>
  <c r="E15" i="1" l="1"/>
  <c r="D15" i="1" s="1"/>
  <c r="C38" i="1"/>
  <c r="E38" i="1" s="1"/>
  <c r="D38" i="1" s="1"/>
  <c r="E10" i="1"/>
  <c r="D10" i="1" s="1"/>
  <c r="C33" i="1"/>
  <c r="E33" i="1" s="1"/>
  <c r="D33" i="1" s="1"/>
  <c r="G22" i="1"/>
  <c r="G44" i="1"/>
  <c r="E11" i="1"/>
  <c r="D11" i="1" s="1"/>
  <c r="C34" i="1"/>
  <c r="E34" i="1" s="1"/>
  <c r="D34" i="1" s="1"/>
  <c r="I13" i="1"/>
  <c r="H13" i="1" s="1"/>
  <c r="G36" i="1"/>
  <c r="I36" i="1" s="1"/>
  <c r="H36" i="1" s="1"/>
  <c r="E19" i="1"/>
  <c r="D19" i="1" s="1"/>
  <c r="C42" i="1"/>
  <c r="E42" i="1" s="1"/>
  <c r="D42" i="1" s="1"/>
  <c r="E13" i="1"/>
  <c r="D13" i="1" s="1"/>
  <c r="C36" i="1"/>
  <c r="E36" i="1" s="1"/>
  <c r="D36" i="1" s="1"/>
  <c r="E18" i="1"/>
  <c r="D18" i="1" s="1"/>
  <c r="C41" i="1"/>
  <c r="E41" i="1" s="1"/>
  <c r="D41" i="1" s="1"/>
  <c r="I10" i="1"/>
  <c r="H10" i="1" s="1"/>
  <c r="G33" i="1"/>
  <c r="I33" i="1" s="1"/>
  <c r="H33" i="1" s="1"/>
  <c r="I15" i="1"/>
  <c r="H15" i="1" s="1"/>
  <c r="G38" i="1"/>
  <c r="I38" i="1" s="1"/>
  <c r="H38" i="1" s="1"/>
  <c r="I19" i="1"/>
  <c r="H19" i="1" s="1"/>
  <c r="G42" i="1"/>
  <c r="I42" i="1" s="1"/>
  <c r="H42" i="1" s="1"/>
  <c r="C22" i="1"/>
  <c r="D22" i="1" s="1"/>
  <c r="C44" i="1"/>
  <c r="I17" i="1"/>
  <c r="H17" i="1" s="1"/>
  <c r="G40" i="1"/>
  <c r="I40" i="1" s="1"/>
  <c r="H40" i="1" s="1"/>
  <c r="I14" i="1"/>
  <c r="H14" i="1" s="1"/>
  <c r="G37" i="1"/>
  <c r="I37" i="1" s="1"/>
  <c r="H37" i="1" s="1"/>
  <c r="E16" i="1"/>
  <c r="D16" i="1" s="1"/>
  <c r="C39" i="1"/>
  <c r="E39" i="1" s="1"/>
  <c r="D39" i="1" s="1"/>
  <c r="E12" i="1"/>
  <c r="D12" i="1" s="1"/>
  <c r="C35" i="1"/>
  <c r="E35" i="1" s="1"/>
  <c r="D35" i="1" s="1"/>
  <c r="E20" i="1"/>
  <c r="D20" i="1" s="1"/>
  <c r="C43" i="1"/>
  <c r="E43" i="1" s="1"/>
  <c r="D43" i="1" s="1"/>
  <c r="I12" i="1"/>
  <c r="H12" i="1" s="1"/>
  <c r="G35" i="1"/>
  <c r="I35" i="1" s="1"/>
  <c r="H35" i="1" s="1"/>
  <c r="I22" i="1"/>
  <c r="H22" i="1"/>
  <c r="M56" i="43"/>
  <c r="M43" i="43"/>
  <c r="N37" i="33"/>
  <c r="D21" i="16" s="1"/>
  <c r="F21" i="16" s="1"/>
  <c r="E21" i="16" s="1"/>
  <c r="N32" i="48"/>
  <c r="H36" i="20"/>
  <c r="I36" i="20" s="1"/>
  <c r="N39" i="20"/>
  <c r="H34" i="20"/>
  <c r="I34" i="20" s="1"/>
  <c r="H32" i="20"/>
  <c r="J32" i="20" s="1"/>
  <c r="F34" i="20"/>
  <c r="E34" i="20"/>
  <c r="E38" i="20"/>
  <c r="F38" i="20"/>
  <c r="F36" i="20"/>
  <c r="E36" i="20"/>
  <c r="F32" i="20"/>
  <c r="E32" i="20"/>
  <c r="I41" i="20"/>
  <c r="J41" i="20"/>
  <c r="M42" i="20"/>
  <c r="G42" i="20" s="1"/>
  <c r="F19" i="6"/>
  <c r="E19" i="6" s="1"/>
  <c r="L14" i="11"/>
  <c r="N14" i="11" s="1"/>
  <c r="M14" i="11" s="1"/>
  <c r="N37" i="20"/>
  <c r="N18" i="20"/>
  <c r="N38" i="20"/>
  <c r="H38" i="20" s="1"/>
  <c r="L16" i="10"/>
  <c r="N16" i="10" s="1"/>
  <c r="M16" i="10" s="1"/>
  <c r="F16" i="10"/>
  <c r="E16" i="10" s="1"/>
  <c r="P17" i="7"/>
  <c r="L13" i="40"/>
  <c r="N13" i="40" s="1"/>
  <c r="M13" i="40" s="1"/>
  <c r="P13" i="52"/>
  <c r="R13" i="52" s="1"/>
  <c r="Q13" i="52" s="1"/>
  <c r="P16" i="52"/>
  <c r="R16" i="52" s="1"/>
  <c r="Q16" i="52" s="1"/>
  <c r="L20" i="6"/>
  <c r="N20" i="6" s="1"/>
  <c r="M20" i="6" s="1"/>
  <c r="P20" i="52"/>
  <c r="R20" i="52" s="1"/>
  <c r="Q20" i="52" s="1"/>
  <c r="P10" i="10"/>
  <c r="P20" i="10"/>
  <c r="P16" i="49"/>
  <c r="R16" i="49" s="1"/>
  <c r="Q16" i="49" s="1"/>
  <c r="P13" i="49"/>
  <c r="R13" i="49" s="1"/>
  <c r="Q13" i="49" s="1"/>
  <c r="P21" i="10"/>
  <c r="P14" i="49"/>
  <c r="R14" i="49" s="1"/>
  <c r="Q14" i="49" s="1"/>
  <c r="P11" i="52"/>
  <c r="R11" i="52" s="1"/>
  <c r="Q11" i="52" s="1"/>
  <c r="P11" i="49"/>
  <c r="R11" i="49" s="1"/>
  <c r="Q11" i="49" s="1"/>
  <c r="P12" i="49"/>
  <c r="R12" i="49" s="1"/>
  <c r="Q12" i="49" s="1"/>
  <c r="P21" i="49"/>
  <c r="R21" i="49" s="1"/>
  <c r="Q21" i="49" s="1"/>
  <c r="P10" i="49"/>
  <c r="R10" i="49" s="1"/>
  <c r="Q10" i="49" s="1"/>
  <c r="P17" i="49"/>
  <c r="R17" i="49" s="1"/>
  <c r="Q17" i="49" s="1"/>
  <c r="P16" i="5"/>
  <c r="P10" i="5"/>
  <c r="P11" i="51"/>
  <c r="R11" i="51" s="1"/>
  <c r="Q11" i="51" s="1"/>
  <c r="P11" i="10"/>
  <c r="P19" i="5"/>
  <c r="P18" i="40"/>
  <c r="F12" i="38"/>
  <c r="E12" i="38" s="1"/>
  <c r="F16" i="38"/>
  <c r="E16" i="38" s="1"/>
  <c r="F16" i="39"/>
  <c r="E16" i="39" s="1"/>
  <c r="P20" i="7"/>
  <c r="P17" i="5"/>
  <c r="P12" i="5"/>
  <c r="P10" i="7"/>
  <c r="P19" i="40"/>
  <c r="P16" i="7"/>
  <c r="P16" i="40"/>
  <c r="P18" i="5"/>
  <c r="F10" i="38"/>
  <c r="E10" i="38" s="1"/>
  <c r="F19" i="38"/>
  <c r="E19" i="38" s="1"/>
  <c r="F17" i="38"/>
  <c r="E17" i="38" s="1"/>
  <c r="F20" i="38"/>
  <c r="E20" i="38" s="1"/>
  <c r="F10" i="50"/>
  <c r="E10" i="50" s="1"/>
  <c r="H22" i="40"/>
  <c r="L22" i="40" s="1"/>
  <c r="P13" i="5"/>
  <c r="R13" i="5" s="1"/>
  <c r="Q13" i="5" s="1"/>
  <c r="P14" i="5"/>
  <c r="P19" i="7"/>
  <c r="P12" i="40"/>
  <c r="P20" i="49"/>
  <c r="R20" i="49" s="1"/>
  <c r="Q20" i="49" s="1"/>
  <c r="P11" i="40"/>
  <c r="P10" i="40"/>
  <c r="P15" i="7"/>
  <c r="R15" i="7" s="1"/>
  <c r="Q15" i="7" s="1"/>
  <c r="P19" i="49"/>
  <c r="R19" i="49" s="1"/>
  <c r="Q19" i="49" s="1"/>
  <c r="P20" i="5"/>
  <c r="P21" i="7"/>
  <c r="P14" i="7"/>
  <c r="P15" i="5"/>
  <c r="F13" i="38"/>
  <c r="E13" i="38" s="1"/>
  <c r="D22" i="9"/>
  <c r="P21" i="9" s="1"/>
  <c r="P13" i="40"/>
  <c r="P14" i="40"/>
  <c r="F15" i="8"/>
  <c r="E15" i="8" s="1"/>
  <c r="F18" i="38"/>
  <c r="E18" i="38" s="1"/>
  <c r="F11" i="38"/>
  <c r="E11" i="38" s="1"/>
  <c r="F21" i="38"/>
  <c r="E21" i="38" s="1"/>
  <c r="F13" i="50"/>
  <c r="E13" i="50" s="1"/>
  <c r="P15" i="49"/>
  <c r="R15" i="49" s="1"/>
  <c r="Q15" i="49" s="1"/>
  <c r="P21" i="40"/>
  <c r="P15" i="40"/>
  <c r="P11" i="5"/>
  <c r="P18" i="49"/>
  <c r="R18" i="49" s="1"/>
  <c r="Q18" i="49" s="1"/>
  <c r="P13" i="7"/>
  <c r="P18" i="7"/>
  <c r="P17" i="40"/>
  <c r="P12" i="7"/>
  <c r="L10" i="6"/>
  <c r="N10" i="6" s="1"/>
  <c r="M10" i="6" s="1"/>
  <c r="F11" i="6"/>
  <c r="E11" i="6" s="1"/>
  <c r="F17" i="6"/>
  <c r="E17" i="6" s="1"/>
  <c r="L15" i="6"/>
  <c r="N15" i="6" s="1"/>
  <c r="M15" i="6" s="1"/>
  <c r="F12" i="6"/>
  <c r="E12" i="6" s="1"/>
  <c r="F21" i="6"/>
  <c r="E21" i="6" s="1"/>
  <c r="F13" i="6"/>
  <c r="E13" i="6" s="1"/>
  <c r="L16" i="6"/>
  <c r="N16" i="6" s="1"/>
  <c r="M16" i="6" s="1"/>
  <c r="P16" i="10"/>
  <c r="P17" i="52"/>
  <c r="R17" i="52" s="1"/>
  <c r="Q17" i="52" s="1"/>
  <c r="P14" i="52"/>
  <c r="R14" i="52" s="1"/>
  <c r="Q14" i="52" s="1"/>
  <c r="P19" i="52"/>
  <c r="R19" i="52" s="1"/>
  <c r="Q19" i="52" s="1"/>
  <c r="P14" i="10"/>
  <c r="P17" i="10"/>
  <c r="P14" i="51"/>
  <c r="R14" i="51" s="1"/>
  <c r="Q14" i="51" s="1"/>
  <c r="P21" i="51"/>
  <c r="R21" i="51" s="1"/>
  <c r="Q21" i="51" s="1"/>
  <c r="P12" i="51"/>
  <c r="R12" i="51" s="1"/>
  <c r="Q12" i="51" s="1"/>
  <c r="P18" i="51"/>
  <c r="R18" i="51" s="1"/>
  <c r="Q18" i="51" s="1"/>
  <c r="P10" i="52"/>
  <c r="R10" i="52" s="1"/>
  <c r="Q10" i="52" s="1"/>
  <c r="P18" i="52"/>
  <c r="R18" i="52" s="1"/>
  <c r="Q18" i="52" s="1"/>
  <c r="P12" i="52"/>
  <c r="R12" i="52" s="1"/>
  <c r="Q12" i="52" s="1"/>
  <c r="P20" i="51"/>
  <c r="R20" i="51" s="1"/>
  <c r="Q20" i="51" s="1"/>
  <c r="P17" i="51"/>
  <c r="R17" i="51" s="1"/>
  <c r="Q17" i="51" s="1"/>
  <c r="P19" i="51"/>
  <c r="R19" i="51" s="1"/>
  <c r="Q19" i="51" s="1"/>
  <c r="P15" i="10"/>
  <c r="R15" i="10" s="1"/>
  <c r="Q15" i="10" s="1"/>
  <c r="P13" i="51"/>
  <c r="R13" i="51" s="1"/>
  <c r="Q13" i="51" s="1"/>
  <c r="P12" i="10"/>
  <c r="P16" i="51"/>
  <c r="R16" i="51" s="1"/>
  <c r="Q16" i="51" s="1"/>
  <c r="P15" i="52"/>
  <c r="R15" i="52" s="1"/>
  <c r="Q15" i="52" s="1"/>
  <c r="P18" i="10"/>
  <c r="P19" i="10"/>
  <c r="P10" i="51"/>
  <c r="R10" i="51" s="1"/>
  <c r="Q10" i="51" s="1"/>
  <c r="O11" i="40"/>
  <c r="O13" i="40"/>
  <c r="O13" i="38"/>
  <c r="O12" i="5"/>
  <c r="O20" i="10"/>
  <c r="O21" i="39"/>
  <c r="O20" i="8"/>
  <c r="O12" i="9"/>
  <c r="O17" i="40"/>
  <c r="O13" i="7"/>
  <c r="O18" i="10"/>
  <c r="O10" i="9"/>
  <c r="O18" i="7"/>
  <c r="O15" i="38"/>
  <c r="O17" i="5"/>
  <c r="O15" i="40"/>
  <c r="O14" i="9"/>
  <c r="O21" i="8"/>
  <c r="O17" i="10"/>
  <c r="O20" i="9"/>
  <c r="O16" i="10"/>
  <c r="O18" i="39"/>
  <c r="O16" i="7"/>
  <c r="O14" i="38"/>
  <c r="O15" i="5"/>
  <c r="O20" i="5"/>
  <c r="O17" i="6"/>
  <c r="O16" i="5"/>
  <c r="O20" i="6"/>
  <c r="O18" i="9"/>
  <c r="O14" i="40"/>
  <c r="O13" i="9"/>
  <c r="O10" i="7"/>
  <c r="O18" i="6"/>
  <c r="O10" i="39"/>
  <c r="O20" i="7"/>
  <c r="O16" i="40"/>
  <c r="O17" i="9"/>
  <c r="O19" i="9"/>
  <c r="O10" i="38"/>
  <c r="O14" i="5"/>
  <c r="O20" i="40"/>
  <c r="R20" i="40" s="1"/>
  <c r="Q20" i="40" s="1"/>
  <c r="O21" i="9"/>
  <c r="O14" i="7"/>
  <c r="O12" i="40"/>
  <c r="O12" i="8"/>
  <c r="O21" i="10"/>
  <c r="O16" i="9"/>
  <c r="O19" i="10"/>
  <c r="O19" i="6"/>
  <c r="O11" i="5"/>
  <c r="O21" i="38"/>
  <c r="O10" i="6"/>
  <c r="O20" i="38"/>
  <c r="O12" i="6"/>
  <c r="O14" i="10"/>
  <c r="O21" i="40"/>
  <c r="O10" i="8"/>
  <c r="O12" i="7"/>
  <c r="O12" i="10"/>
  <c r="O11" i="9"/>
  <c r="O13" i="6"/>
  <c r="O11" i="39"/>
  <c r="O16" i="8"/>
  <c r="O10" i="5"/>
  <c r="O15" i="6"/>
  <c r="O10" i="10"/>
  <c r="O13" i="8"/>
  <c r="O17" i="7"/>
  <c r="O18" i="40"/>
  <c r="O18" i="8"/>
  <c r="O19" i="40"/>
  <c r="O11" i="8"/>
  <c r="O16" i="6"/>
  <c r="O14" i="6"/>
  <c r="O16" i="38"/>
  <c r="O19" i="5"/>
  <c r="O15" i="39"/>
  <c r="O16" i="39"/>
  <c r="O12" i="38"/>
  <c r="O18" i="5"/>
  <c r="O13" i="10"/>
  <c r="R13" i="10" s="1"/>
  <c r="Q13" i="10" s="1"/>
  <c r="O14" i="39"/>
  <c r="O14" i="8"/>
  <c r="O19" i="7"/>
  <c r="O10" i="40"/>
  <c r="O15" i="8"/>
  <c r="O11" i="10"/>
  <c r="O17" i="39"/>
  <c r="O11" i="7"/>
  <c r="R11" i="7" s="1"/>
  <c r="Q11" i="7" s="1"/>
  <c r="O19" i="38"/>
  <c r="O11" i="6"/>
  <c r="O20" i="39"/>
  <c r="O17" i="8"/>
  <c r="O21" i="7"/>
  <c r="O19" i="39"/>
  <c r="O13" i="39"/>
  <c r="O17" i="38"/>
  <c r="O21" i="5"/>
  <c r="R21" i="5" s="1"/>
  <c r="Q21" i="5" s="1"/>
  <c r="O11" i="38"/>
  <c r="E21" i="1"/>
  <c r="D21" i="1"/>
  <c r="D25" i="1" s="1"/>
  <c r="L16" i="5"/>
  <c r="N16" i="5" s="1"/>
  <c r="M16" i="5" s="1"/>
  <c r="L12" i="6"/>
  <c r="N12" i="6" s="1"/>
  <c r="M12" i="6" s="1"/>
  <c r="M13" i="16"/>
  <c r="L11" i="40"/>
  <c r="N11" i="40" s="1"/>
  <c r="M11" i="40" s="1"/>
  <c r="F15" i="6"/>
  <c r="E15" i="6" s="1"/>
  <c r="J11" i="40"/>
  <c r="I11" i="40" s="1"/>
  <c r="L11" i="6"/>
  <c r="N11" i="6" s="1"/>
  <c r="M11" i="6" s="1"/>
  <c r="L13" i="6"/>
  <c r="N13" i="6" s="1"/>
  <c r="M13" i="6" s="1"/>
  <c r="L21" i="6"/>
  <c r="N21" i="6" s="1"/>
  <c r="M21" i="6" s="1"/>
  <c r="J16" i="5"/>
  <c r="I16" i="5" s="1"/>
  <c r="N12" i="54"/>
  <c r="F16" i="6"/>
  <c r="E16" i="6" s="1"/>
  <c r="F10" i="6"/>
  <c r="E10" i="6" s="1"/>
  <c r="D22" i="6"/>
  <c r="P20" i="6" s="1"/>
  <c r="L17" i="6"/>
  <c r="N17" i="6" s="1"/>
  <c r="M17" i="6" s="1"/>
  <c r="N18" i="29"/>
  <c r="N10" i="21"/>
  <c r="N14" i="53"/>
  <c r="G11" i="20"/>
  <c r="G10" i="19"/>
  <c r="K19" i="24"/>
  <c r="N11" i="53"/>
  <c r="G13" i="54"/>
  <c r="N16" i="23"/>
  <c r="L16" i="24"/>
  <c r="L20" i="24"/>
  <c r="I37" i="33"/>
  <c r="D17" i="16" s="1"/>
  <c r="F17" i="16" s="1"/>
  <c r="E17" i="16" s="1"/>
  <c r="J37" i="33"/>
  <c r="D16" i="16" s="1"/>
  <c r="F16" i="16" s="1"/>
  <c r="E16" i="16" s="1"/>
  <c r="C37" i="33"/>
  <c r="D12" i="16" s="1"/>
  <c r="F12" i="16" s="1"/>
  <c r="E12" i="16" s="1"/>
  <c r="E37" i="33"/>
  <c r="D18" i="41" s="1"/>
  <c r="E18" i="41" s="1"/>
  <c r="K37" i="33"/>
  <c r="D14" i="16" s="1"/>
  <c r="F14" i="16" s="1"/>
  <c r="E14" i="16" s="1"/>
  <c r="L37" i="33"/>
  <c r="D13" i="41" s="1"/>
  <c r="F13" i="41" s="1"/>
  <c r="D37" i="33"/>
  <c r="D13" i="16" s="1"/>
  <c r="F13" i="16" s="1"/>
  <c r="E13" i="16" s="1"/>
  <c r="G37" i="33"/>
  <c r="D20" i="16" s="1"/>
  <c r="F20" i="16" s="1"/>
  <c r="E20" i="16" s="1"/>
  <c r="H37" i="33"/>
  <c r="D12" i="41" s="1"/>
  <c r="F12" i="41" s="1"/>
  <c r="F37" i="33"/>
  <c r="D14" i="41" s="1"/>
  <c r="F14" i="41" s="1"/>
  <c r="F21" i="22"/>
  <c r="E14" i="23"/>
  <c r="N14" i="21"/>
  <c r="M14" i="22"/>
  <c r="L16" i="13"/>
  <c r="N16" i="13" s="1"/>
  <c r="M16" i="13" s="1"/>
  <c r="I13" i="26"/>
  <c r="L18" i="24"/>
  <c r="I16" i="26"/>
  <c r="N15" i="17"/>
  <c r="M16" i="19"/>
  <c r="N17" i="23"/>
  <c r="M14" i="19"/>
  <c r="M14" i="16"/>
  <c r="N16" i="53"/>
  <c r="F16" i="11"/>
  <c r="E16" i="11" s="1"/>
  <c r="L16" i="11"/>
  <c r="N16" i="11" s="1"/>
  <c r="M16" i="11" s="1"/>
  <c r="I53" i="43"/>
  <c r="I56" i="43"/>
  <c r="I9" i="43"/>
  <c r="I12" i="43" s="1"/>
  <c r="L15" i="39"/>
  <c r="N15" i="39" s="1"/>
  <c r="M15" i="39" s="1"/>
  <c r="I20" i="1"/>
  <c r="H20" i="1" s="1"/>
  <c r="K20" i="1"/>
  <c r="M20" i="1" s="1"/>
  <c r="L20" i="1" s="1"/>
  <c r="N19" i="20"/>
  <c r="L16" i="39"/>
  <c r="N16" i="39" s="1"/>
  <c r="M16" i="39" s="1"/>
  <c r="M17" i="22"/>
  <c r="I12" i="26"/>
  <c r="N11" i="20"/>
  <c r="M13" i="19"/>
  <c r="K18" i="24"/>
  <c r="N18" i="23"/>
  <c r="N11" i="29"/>
  <c r="H11" i="29" s="1"/>
  <c r="D22" i="39"/>
  <c r="P21" i="39" s="1"/>
  <c r="L15" i="11"/>
  <c r="N15" i="11" s="1"/>
  <c r="M15" i="11" s="1"/>
  <c r="N17" i="21"/>
  <c r="F15" i="45"/>
  <c r="F21" i="45" s="1"/>
  <c r="F24" i="45" s="1"/>
  <c r="F26" i="45" s="1"/>
  <c r="F32" i="45" s="1"/>
  <c r="F35" i="45" s="1"/>
  <c r="F37" i="45" s="1"/>
  <c r="D18" i="16"/>
  <c r="F18" i="16" s="1"/>
  <c r="E18" i="16" s="1"/>
  <c r="D43" i="43"/>
  <c r="F19" i="54"/>
  <c r="F17" i="54"/>
  <c r="F21" i="11"/>
  <c r="E21" i="11" s="1"/>
  <c r="M15" i="22"/>
  <c r="N14" i="20"/>
  <c r="N19" i="21"/>
  <c r="N13" i="53"/>
  <c r="I14" i="26"/>
  <c r="N14" i="54"/>
  <c r="F14" i="11"/>
  <c r="E14" i="11" s="1"/>
  <c r="F13" i="11"/>
  <c r="E13" i="11" s="1"/>
  <c r="L13" i="11"/>
  <c r="N13" i="11" s="1"/>
  <c r="M13" i="11" s="1"/>
  <c r="N15" i="23"/>
  <c r="M15" i="19"/>
  <c r="M12" i="16"/>
  <c r="N13" i="23"/>
  <c r="N10" i="29"/>
  <c r="H10" i="29" s="1"/>
  <c r="J10" i="29" s="1"/>
  <c r="N15" i="54"/>
  <c r="N12" i="23"/>
  <c r="N14" i="17"/>
  <c r="N19" i="53"/>
  <c r="N18" i="54"/>
  <c r="N10" i="54"/>
  <c r="F15" i="11"/>
  <c r="E15" i="11" s="1"/>
  <c r="N21" i="54"/>
  <c r="G20" i="54"/>
  <c r="G10" i="16"/>
  <c r="N10" i="20"/>
  <c r="F17" i="11"/>
  <c r="E17" i="11" s="1"/>
  <c r="C58" i="45"/>
  <c r="E18" i="54"/>
  <c r="M10" i="19"/>
  <c r="L12" i="11"/>
  <c r="N12" i="11" s="1"/>
  <c r="M12" i="11" s="1"/>
  <c r="N15" i="53"/>
  <c r="H15" i="53" s="1"/>
  <c r="D56" i="43"/>
  <c r="F13" i="54"/>
  <c r="E13" i="54"/>
  <c r="E16" i="54"/>
  <c r="F16" i="54"/>
  <c r="F12" i="11"/>
  <c r="E12" i="11" s="1"/>
  <c r="N14" i="23"/>
  <c r="D22" i="50"/>
  <c r="N11" i="21"/>
  <c r="L10" i="11"/>
  <c r="N10" i="11" s="1"/>
  <c r="M10" i="11" s="1"/>
  <c r="F10" i="11"/>
  <c r="E10" i="11" s="1"/>
  <c r="M10" i="16"/>
  <c r="K21" i="24"/>
  <c r="N12" i="29"/>
  <c r="H12" i="29" s="1"/>
  <c r="M13" i="22"/>
  <c r="L13" i="50"/>
  <c r="N13" i="50" s="1"/>
  <c r="M13" i="50" s="1"/>
  <c r="N12" i="53"/>
  <c r="G19" i="54"/>
  <c r="N11" i="23"/>
  <c r="N10" i="17"/>
  <c r="M11" i="22"/>
  <c r="N17" i="29"/>
  <c r="K15" i="24"/>
  <c r="G18" i="54"/>
  <c r="G11" i="54"/>
  <c r="E11" i="54"/>
  <c r="F11" i="54"/>
  <c r="E10" i="54"/>
  <c r="F10" i="54"/>
  <c r="G10" i="54"/>
  <c r="N13" i="54"/>
  <c r="F12" i="54"/>
  <c r="E12" i="54"/>
  <c r="F20" i="54"/>
  <c r="E20" i="54"/>
  <c r="E21" i="54"/>
  <c r="F21" i="54"/>
  <c r="N16" i="54"/>
  <c r="M16" i="22"/>
  <c r="L12" i="13"/>
  <c r="N12" i="13" s="1"/>
  <c r="M12" i="13" s="1"/>
  <c r="G21" i="54"/>
  <c r="N17" i="54"/>
  <c r="G17" i="54"/>
  <c r="G16" i="54"/>
  <c r="G14" i="54"/>
  <c r="N11" i="54"/>
  <c r="I15" i="26"/>
  <c r="N20" i="54"/>
  <c r="N19" i="54"/>
  <c r="M18" i="19"/>
  <c r="D22" i="54"/>
  <c r="N19" i="27" s="1"/>
  <c r="E15" i="54"/>
  <c r="F15" i="54"/>
  <c r="F14" i="54"/>
  <c r="G12" i="54"/>
  <c r="M22" i="54"/>
  <c r="G22" i="54" s="1"/>
  <c r="G15" i="54"/>
  <c r="L10" i="50"/>
  <c r="N10" i="50" s="1"/>
  <c r="M10" i="50" s="1"/>
  <c r="L19" i="24"/>
  <c r="C12" i="24"/>
  <c r="C13" i="24"/>
  <c r="N19" i="17"/>
  <c r="K17" i="24"/>
  <c r="C9" i="45"/>
  <c r="C56" i="45" s="1"/>
  <c r="M19" i="22"/>
  <c r="M16" i="16"/>
  <c r="N17" i="10"/>
  <c r="M17" i="10" s="1"/>
  <c r="D9" i="43"/>
  <c r="D54" i="43" s="1"/>
  <c r="K56" i="43"/>
  <c r="C18" i="24"/>
  <c r="C10" i="24"/>
  <c r="C20" i="24"/>
  <c r="C11" i="24"/>
  <c r="C16" i="24"/>
  <c r="C21" i="24"/>
  <c r="C19" i="24"/>
  <c r="C15" i="24"/>
  <c r="C17" i="24"/>
  <c r="C14" i="24"/>
  <c r="N17" i="20"/>
  <c r="M11" i="16"/>
  <c r="N16" i="21"/>
  <c r="M12" i="19"/>
  <c r="L20" i="11"/>
  <c r="N20" i="11" s="1"/>
  <c r="M20" i="11" s="1"/>
  <c r="I21" i="26"/>
  <c r="N18" i="21"/>
  <c r="H18" i="21" s="1"/>
  <c r="G14" i="23"/>
  <c r="G11" i="23"/>
  <c r="N21" i="17"/>
  <c r="G17" i="53"/>
  <c r="N21" i="21"/>
  <c r="N21" i="20"/>
  <c r="N19" i="29"/>
  <c r="M21" i="16"/>
  <c r="N21" i="53"/>
  <c r="F20" i="11"/>
  <c r="E20" i="11" s="1"/>
  <c r="N17" i="53"/>
  <c r="G20" i="53"/>
  <c r="G12" i="53"/>
  <c r="G15" i="53"/>
  <c r="G21" i="53"/>
  <c r="G19" i="53"/>
  <c r="G16" i="53"/>
  <c r="E20" i="23"/>
  <c r="G19" i="19"/>
  <c r="N12" i="9"/>
  <c r="M12" i="9" s="1"/>
  <c r="N51" i="45"/>
  <c r="K9" i="45"/>
  <c r="K12" i="45" s="1"/>
  <c r="F19" i="23"/>
  <c r="K45" i="45"/>
  <c r="K58" i="45"/>
  <c r="K55" i="45"/>
  <c r="C45" i="45"/>
  <c r="H58" i="45"/>
  <c r="N12" i="40"/>
  <c r="M12" i="40" s="1"/>
  <c r="N15" i="40"/>
  <c r="M15" i="40" s="1"/>
  <c r="N15" i="7"/>
  <c r="M15" i="7" s="1"/>
  <c r="L15" i="38"/>
  <c r="N15" i="38" s="1"/>
  <c r="M15" i="38" s="1"/>
  <c r="K12" i="24"/>
  <c r="N18" i="17"/>
  <c r="G17" i="17"/>
  <c r="G12" i="16"/>
  <c r="N25" i="32"/>
  <c r="D39" i="20" s="1"/>
  <c r="L19" i="13"/>
  <c r="N19" i="13" s="1"/>
  <c r="M19" i="13" s="1"/>
  <c r="E20" i="53"/>
  <c r="F20" i="53"/>
  <c r="D22" i="53"/>
  <c r="E10" i="53"/>
  <c r="F10" i="53"/>
  <c r="E11" i="53"/>
  <c r="F11" i="53"/>
  <c r="F16" i="53"/>
  <c r="E16" i="53"/>
  <c r="E18" i="53"/>
  <c r="F18" i="53"/>
  <c r="N9" i="45"/>
  <c r="N12" i="45" s="1"/>
  <c r="N15" i="45" s="1"/>
  <c r="N21" i="45" s="1"/>
  <c r="N24" i="45" s="1"/>
  <c r="E17" i="53"/>
  <c r="F17" i="53"/>
  <c r="F14" i="53"/>
  <c r="E14" i="53"/>
  <c r="L43" i="43"/>
  <c r="L56" i="43"/>
  <c r="N17" i="40"/>
  <c r="M17" i="40" s="1"/>
  <c r="G11" i="53"/>
  <c r="G18" i="53"/>
  <c r="M22" i="53"/>
  <c r="G22" i="53" s="1"/>
  <c r="G10" i="53"/>
  <c r="N20" i="53"/>
  <c r="G13" i="53"/>
  <c r="G14" i="53"/>
  <c r="M19" i="19"/>
  <c r="N18" i="53"/>
  <c r="N14" i="39"/>
  <c r="M14" i="39" s="1"/>
  <c r="L11" i="24"/>
  <c r="F11" i="11"/>
  <c r="E11" i="11" s="1"/>
  <c r="N10" i="53"/>
  <c r="L22" i="52"/>
  <c r="N22" i="52" s="1"/>
  <c r="M22" i="52" s="1"/>
  <c r="J22" i="52"/>
  <c r="I22" i="52"/>
  <c r="J22" i="50"/>
  <c r="I22" i="50" s="1"/>
  <c r="L22" i="49"/>
  <c r="N22" i="49" s="1"/>
  <c r="M22" i="49" s="1"/>
  <c r="J22" i="49"/>
  <c r="I22" i="49" s="1"/>
  <c r="L22" i="51"/>
  <c r="N22" i="51" s="1"/>
  <c r="M22" i="51" s="1"/>
  <c r="J22" i="51"/>
  <c r="I22" i="51"/>
  <c r="E22" i="51"/>
  <c r="E25" i="51" s="1"/>
  <c r="F22" i="51"/>
  <c r="F22" i="52"/>
  <c r="E22" i="52"/>
  <c r="E25" i="52" s="1"/>
  <c r="N16" i="7"/>
  <c r="M16" i="7" s="1"/>
  <c r="F10" i="22"/>
  <c r="L13" i="24"/>
  <c r="K13" i="24"/>
  <c r="N20" i="40"/>
  <c r="M20" i="40" s="1"/>
  <c r="N17" i="8"/>
  <c r="M17" i="8" s="1"/>
  <c r="J51" i="32"/>
  <c r="G17" i="23"/>
  <c r="N21" i="23"/>
  <c r="K11" i="24"/>
  <c r="M20" i="22"/>
  <c r="M21" i="19"/>
  <c r="N21" i="29"/>
  <c r="F10" i="23"/>
  <c r="F19" i="17"/>
  <c r="F20" i="17"/>
  <c r="L10" i="13"/>
  <c r="N10" i="13" s="1"/>
  <c r="M10" i="13" s="1"/>
  <c r="G15" i="22"/>
  <c r="G13" i="29"/>
  <c r="I17" i="26"/>
  <c r="N12" i="21"/>
  <c r="G13" i="21"/>
  <c r="C12" i="26"/>
  <c r="G15" i="17"/>
  <c r="N11" i="17"/>
  <c r="N14" i="29"/>
  <c r="G18" i="21"/>
  <c r="G20" i="19"/>
  <c r="G12" i="20"/>
  <c r="G21" i="22"/>
  <c r="G15" i="23"/>
  <c r="G20" i="23"/>
  <c r="F11" i="23"/>
  <c r="G16" i="22"/>
  <c r="F12" i="22"/>
  <c r="G17" i="22"/>
  <c r="G12" i="22"/>
  <c r="G16" i="21"/>
  <c r="G12" i="21"/>
  <c r="G14" i="21"/>
  <c r="G15" i="21"/>
  <c r="G15" i="29"/>
  <c r="G12" i="29"/>
  <c r="G11" i="16"/>
  <c r="K10" i="24"/>
  <c r="L21" i="38"/>
  <c r="N21" i="38" s="1"/>
  <c r="M21" i="38" s="1"/>
  <c r="L12" i="38"/>
  <c r="N12" i="38" s="1"/>
  <c r="M12" i="38" s="1"/>
  <c r="L10" i="38"/>
  <c r="N10" i="38" s="1"/>
  <c r="M10" i="38" s="1"/>
  <c r="K51" i="32"/>
  <c r="H25" i="32"/>
  <c r="D30" i="20" s="1"/>
  <c r="G25" i="32"/>
  <c r="D31" i="20" s="1"/>
  <c r="H31" i="20" s="1"/>
  <c r="E17" i="20"/>
  <c r="K25" i="32"/>
  <c r="D33" i="20" s="1"/>
  <c r="B10" i="32"/>
  <c r="D22" i="25" s="1"/>
  <c r="F22" i="25" s="1"/>
  <c r="P25" i="32"/>
  <c r="D35" i="20" s="1"/>
  <c r="H35" i="20" s="1"/>
  <c r="L25" i="32"/>
  <c r="D40" i="20" s="1"/>
  <c r="E25" i="32"/>
  <c r="D37" i="20" s="1"/>
  <c r="D21" i="42"/>
  <c r="F21" i="42" s="1"/>
  <c r="G45" i="45"/>
  <c r="E21" i="23"/>
  <c r="M9" i="45"/>
  <c r="M56" i="45" s="1"/>
  <c r="E15" i="23"/>
  <c r="G55" i="45"/>
  <c r="E58" i="45"/>
  <c r="J45" i="45"/>
  <c r="G46" i="45"/>
  <c r="N55" i="45"/>
  <c r="J58" i="45"/>
  <c r="J9" i="45"/>
  <c r="J56" i="45" s="1"/>
  <c r="N19" i="5"/>
  <c r="M19" i="5" s="1"/>
  <c r="N19" i="10"/>
  <c r="M19" i="10" s="1"/>
  <c r="N14" i="8"/>
  <c r="M14" i="8" s="1"/>
  <c r="N11" i="39"/>
  <c r="M11" i="39" s="1"/>
  <c r="N20" i="39"/>
  <c r="M20" i="39" s="1"/>
  <c r="M21" i="22"/>
  <c r="K20" i="24"/>
  <c r="M18" i="16"/>
  <c r="N11" i="10"/>
  <c r="M11" i="10" s="1"/>
  <c r="N16" i="9"/>
  <c r="M16" i="9" s="1"/>
  <c r="L21" i="13"/>
  <c r="N21" i="13" s="1"/>
  <c r="M21" i="13" s="1"/>
  <c r="N15" i="9"/>
  <c r="M15" i="9" s="1"/>
  <c r="G13" i="19"/>
  <c r="J10" i="38"/>
  <c r="I10" i="38" s="1"/>
  <c r="N12" i="5"/>
  <c r="M12" i="5" s="1"/>
  <c r="L17" i="24"/>
  <c r="N17" i="39"/>
  <c r="M17" i="39" s="1"/>
  <c r="N18" i="10"/>
  <c r="M18" i="10" s="1"/>
  <c r="N19" i="8"/>
  <c r="M19" i="8" s="1"/>
  <c r="H22" i="11"/>
  <c r="J22" i="11" s="1"/>
  <c r="I22" i="11" s="1"/>
  <c r="N13" i="8"/>
  <c r="M13" i="8" s="1"/>
  <c r="G43" i="43"/>
  <c r="G9" i="43"/>
  <c r="G54" i="43" s="1"/>
  <c r="N56" i="43"/>
  <c r="K53" i="43"/>
  <c r="K9" i="43"/>
  <c r="K44" i="43" s="1"/>
  <c r="L54" i="43"/>
  <c r="L12" i="43"/>
  <c r="L45" i="43" s="1"/>
  <c r="L53" i="43"/>
  <c r="C53" i="43"/>
  <c r="J53" i="43"/>
  <c r="N9" i="43"/>
  <c r="N54" i="43" s="1"/>
  <c r="N43" i="43"/>
  <c r="H43" i="43"/>
  <c r="C43" i="43"/>
  <c r="G53" i="43"/>
  <c r="E53" i="43"/>
  <c r="E9" i="43"/>
  <c r="E12" i="43" s="1"/>
  <c r="H56" i="43"/>
  <c r="G14" i="19"/>
  <c r="G15" i="20"/>
  <c r="N17" i="5"/>
  <c r="M17" i="5" s="1"/>
  <c r="N18" i="8"/>
  <c r="M18" i="8" s="1"/>
  <c r="G10" i="17"/>
  <c r="G14" i="16"/>
  <c r="N10" i="5"/>
  <c r="M10" i="5" s="1"/>
  <c r="E10" i="25"/>
  <c r="G19" i="20"/>
  <c r="G16" i="19"/>
  <c r="G16" i="16"/>
  <c r="F16" i="13"/>
  <c r="E16" i="13" s="1"/>
  <c r="L17" i="13"/>
  <c r="N17" i="13" s="1"/>
  <c r="M17" i="13" s="1"/>
  <c r="L20" i="13"/>
  <c r="N20" i="13" s="1"/>
  <c r="M20" i="13" s="1"/>
  <c r="J10" i="13"/>
  <c r="I10" i="13" s="1"/>
  <c r="N14" i="7"/>
  <c r="M14" i="7" s="1"/>
  <c r="J59" i="45"/>
  <c r="H55" i="45"/>
  <c r="L55" i="45"/>
  <c r="E45" i="45"/>
  <c r="G12" i="45"/>
  <c r="G15" i="45" s="1"/>
  <c r="G21" i="45" s="1"/>
  <c r="G24" i="45" s="1"/>
  <c r="O36" i="45"/>
  <c r="M58" i="45"/>
  <c r="N47" i="32"/>
  <c r="L47" i="32"/>
  <c r="N18" i="6"/>
  <c r="M18" i="6" s="1"/>
  <c r="N12" i="8"/>
  <c r="M12" i="8" s="1"/>
  <c r="L18" i="13"/>
  <c r="N18" i="13" s="1"/>
  <c r="M18" i="13" s="1"/>
  <c r="N21" i="40"/>
  <c r="M21" i="40" s="1"/>
  <c r="L14" i="24"/>
  <c r="I20" i="26"/>
  <c r="N10" i="40"/>
  <c r="M10" i="40" s="1"/>
  <c r="N11" i="9"/>
  <c r="M11" i="9" s="1"/>
  <c r="A15" i="11"/>
  <c r="N14" i="6"/>
  <c r="M14" i="6" s="1"/>
  <c r="M18" i="22"/>
  <c r="N16" i="29"/>
  <c r="L15" i="13"/>
  <c r="N15" i="13" s="1"/>
  <c r="M15" i="13" s="1"/>
  <c r="N16" i="8"/>
  <c r="M16" i="8" s="1"/>
  <c r="J9" i="43"/>
  <c r="J12" i="43" s="1"/>
  <c r="J56" i="43"/>
  <c r="H54" i="43"/>
  <c r="H12" i="43"/>
  <c r="H15" i="43" s="1"/>
  <c r="H21" i="43" s="1"/>
  <c r="H24" i="43" s="1"/>
  <c r="H26" i="43" s="1"/>
  <c r="C9" i="43"/>
  <c r="C12" i="43" s="1"/>
  <c r="C55" i="43" s="1"/>
  <c r="H53" i="43"/>
  <c r="E56" i="43"/>
  <c r="L44" i="43"/>
  <c r="O57" i="43"/>
  <c r="N19" i="40"/>
  <c r="M19" i="40" s="1"/>
  <c r="N13" i="39"/>
  <c r="M13" i="39" s="1"/>
  <c r="N18" i="7"/>
  <c r="M18" i="7" s="1"/>
  <c r="N13" i="5"/>
  <c r="M13" i="5" s="1"/>
  <c r="N19" i="39"/>
  <c r="M19" i="39" s="1"/>
  <c r="G21" i="17"/>
  <c r="N14" i="9"/>
  <c r="M14" i="9" s="1"/>
  <c r="G11" i="19"/>
  <c r="N21" i="10"/>
  <c r="M21" i="10" s="1"/>
  <c r="N15" i="10"/>
  <c r="M15" i="10" s="1"/>
  <c r="G17" i="20"/>
  <c r="C13" i="26"/>
  <c r="F18" i="21"/>
  <c r="G20" i="20"/>
  <c r="E19" i="20"/>
  <c r="F21" i="13"/>
  <c r="E21" i="13" s="1"/>
  <c r="F15" i="13"/>
  <c r="E15" i="13" s="1"/>
  <c r="H22" i="13"/>
  <c r="J22" i="13" s="1"/>
  <c r="I22" i="13" s="1"/>
  <c r="L15" i="24"/>
  <c r="A16" i="11"/>
  <c r="N12" i="17"/>
  <c r="A12" i="11"/>
  <c r="I11" i="26"/>
  <c r="K16" i="24"/>
  <c r="G12" i="17"/>
  <c r="G19" i="22"/>
  <c r="D22" i="11"/>
  <c r="P18" i="11" s="1"/>
  <c r="N13" i="20"/>
  <c r="N17" i="17"/>
  <c r="G15" i="19"/>
  <c r="N19" i="23"/>
  <c r="F18" i="11"/>
  <c r="E18" i="11" s="1"/>
  <c r="M20" i="19"/>
  <c r="N14" i="10"/>
  <c r="M14" i="10" s="1"/>
  <c r="N10" i="10"/>
  <c r="M10" i="10" s="1"/>
  <c r="N12" i="10"/>
  <c r="M12" i="10" s="1"/>
  <c r="N18" i="39"/>
  <c r="M18" i="39" s="1"/>
  <c r="K22" i="38"/>
  <c r="J12" i="38"/>
  <c r="I12" i="38" s="1"/>
  <c r="L20" i="38"/>
  <c r="N20" i="38" s="1"/>
  <c r="M20" i="38" s="1"/>
  <c r="N19" i="9"/>
  <c r="M19" i="9" s="1"/>
  <c r="N20" i="8"/>
  <c r="M20" i="8" s="1"/>
  <c r="K22" i="6"/>
  <c r="N14" i="5"/>
  <c r="M14" i="5" s="1"/>
  <c r="K12" i="1"/>
  <c r="M12" i="1" s="1"/>
  <c r="L12" i="1" s="1"/>
  <c r="C18" i="26"/>
  <c r="G20" i="16"/>
  <c r="C17" i="26"/>
  <c r="F13" i="23"/>
  <c r="G10" i="21"/>
  <c r="G17" i="19"/>
  <c r="G18" i="19"/>
  <c r="G20" i="29"/>
  <c r="F22" i="29"/>
  <c r="G16" i="29"/>
  <c r="G13" i="16"/>
  <c r="N15" i="29"/>
  <c r="G18" i="16"/>
  <c r="I18" i="26"/>
  <c r="G13" i="20"/>
  <c r="G19" i="21"/>
  <c r="G19" i="17"/>
  <c r="M17" i="16"/>
  <c r="M12" i="22"/>
  <c r="G21" i="29"/>
  <c r="G13" i="23"/>
  <c r="N16" i="17"/>
  <c r="N15" i="20"/>
  <c r="N18" i="40"/>
  <c r="M18" i="40" s="1"/>
  <c r="L13" i="38"/>
  <c r="N13" i="38" s="1"/>
  <c r="M13" i="38" s="1"/>
  <c r="F15" i="38"/>
  <c r="E15" i="38" s="1"/>
  <c r="D22" i="38"/>
  <c r="F22" i="38" s="1"/>
  <c r="E22" i="38" s="1"/>
  <c r="E25" i="38" s="1"/>
  <c r="N20" i="9"/>
  <c r="M20" i="9" s="1"/>
  <c r="N17" i="9"/>
  <c r="M17" i="9" s="1"/>
  <c r="H22" i="9"/>
  <c r="N18" i="9"/>
  <c r="M18" i="9" s="1"/>
  <c r="N17" i="7"/>
  <c r="M17" i="7" s="1"/>
  <c r="N19" i="7"/>
  <c r="M19" i="7" s="1"/>
  <c r="N13" i="7"/>
  <c r="M13" i="7" s="1"/>
  <c r="N12" i="7"/>
  <c r="M12" i="7" s="1"/>
  <c r="J22" i="6"/>
  <c r="N18" i="5"/>
  <c r="M18" i="5" s="1"/>
  <c r="E16" i="21"/>
  <c r="F17" i="21"/>
  <c r="F21" i="20"/>
  <c r="A18" i="11"/>
  <c r="N20" i="20"/>
  <c r="N20" i="23"/>
  <c r="N20" i="21"/>
  <c r="M20" i="16"/>
  <c r="N20" i="17"/>
  <c r="G17" i="29"/>
  <c r="G17" i="21"/>
  <c r="G10" i="23"/>
  <c r="G16" i="23"/>
  <c r="G19" i="16"/>
  <c r="N20" i="29"/>
  <c r="G14" i="17"/>
  <c r="F12" i="13"/>
  <c r="E12" i="13" s="1"/>
  <c r="C10" i="26"/>
  <c r="C20" i="26"/>
  <c r="C15" i="26"/>
  <c r="C14" i="26"/>
  <c r="C16" i="26"/>
  <c r="C21" i="26"/>
  <c r="C19" i="26"/>
  <c r="G19" i="23"/>
  <c r="G21" i="23"/>
  <c r="G18" i="23"/>
  <c r="G12" i="23"/>
  <c r="G10" i="22"/>
  <c r="G14" i="22"/>
  <c r="E17" i="22"/>
  <c r="G11" i="22"/>
  <c r="G13" i="22"/>
  <c r="G18" i="22"/>
  <c r="G20" i="22"/>
  <c r="F12" i="21"/>
  <c r="G20" i="21"/>
  <c r="G21" i="21"/>
  <c r="F20" i="21"/>
  <c r="G11" i="21"/>
  <c r="G16" i="20"/>
  <c r="F15" i="20"/>
  <c r="F14" i="20"/>
  <c r="G21" i="20"/>
  <c r="G18" i="20"/>
  <c r="G21" i="19"/>
  <c r="G19" i="29"/>
  <c r="G14" i="29"/>
  <c r="G18" i="29"/>
  <c r="G20" i="17"/>
  <c r="G13" i="17"/>
  <c r="G18" i="17"/>
  <c r="G16" i="17"/>
  <c r="F16" i="17"/>
  <c r="G11" i="17"/>
  <c r="G21" i="16"/>
  <c r="G15" i="16"/>
  <c r="G17" i="16"/>
  <c r="A19" i="11"/>
  <c r="A13" i="11"/>
  <c r="A20" i="11"/>
  <c r="A11" i="11"/>
  <c r="A14" i="11"/>
  <c r="A21" i="11"/>
  <c r="N20" i="10"/>
  <c r="M20" i="10" s="1"/>
  <c r="L19" i="38"/>
  <c r="N19" i="38" s="1"/>
  <c r="M19" i="38" s="1"/>
  <c r="L16" i="38"/>
  <c r="N16" i="38" s="1"/>
  <c r="M16" i="38" s="1"/>
  <c r="D22" i="8"/>
  <c r="P15" i="8" s="1"/>
  <c r="L15" i="8"/>
  <c r="N15" i="8" s="1"/>
  <c r="M15" i="8" s="1"/>
  <c r="N20" i="5"/>
  <c r="M20" i="5" s="1"/>
  <c r="F11" i="22"/>
  <c r="E11" i="22"/>
  <c r="N58" i="45"/>
  <c r="F56" i="45"/>
  <c r="K49" i="45"/>
  <c r="G58" i="45"/>
  <c r="I9" i="45"/>
  <c r="I46" i="45" s="1"/>
  <c r="B22" i="33"/>
  <c r="N45" i="45"/>
  <c r="E19" i="22"/>
  <c r="O29" i="45"/>
  <c r="F45" i="45"/>
  <c r="F47" i="45"/>
  <c r="F61" i="45" s="1"/>
  <c r="I58" i="45"/>
  <c r="L58" i="45"/>
  <c r="L45" i="45"/>
  <c r="F55" i="45"/>
  <c r="I55" i="45"/>
  <c r="E10" i="17"/>
  <c r="F10" i="17"/>
  <c r="O27" i="45"/>
  <c r="F46" i="45"/>
  <c r="D49" i="45"/>
  <c r="O14" i="45"/>
  <c r="O49" i="45" s="1"/>
  <c r="F17" i="23"/>
  <c r="H9" i="45"/>
  <c r="H12" i="45" s="1"/>
  <c r="F58" i="45"/>
  <c r="F57" i="45"/>
  <c r="M55" i="45"/>
  <c r="M45" i="45"/>
  <c r="E13" i="22"/>
  <c r="D22" i="22"/>
  <c r="F13" i="22"/>
  <c r="E12" i="23"/>
  <c r="F12" i="23"/>
  <c r="O8" i="45"/>
  <c r="O59" i="45" s="1"/>
  <c r="E18" i="23"/>
  <c r="F18" i="23"/>
  <c r="F16" i="23"/>
  <c r="E16" i="23"/>
  <c r="D22" i="23"/>
  <c r="L56" i="45"/>
  <c r="L46" i="45"/>
  <c r="L12" i="45"/>
  <c r="E20" i="45"/>
  <c r="E48" i="45" s="1"/>
  <c r="O18" i="45"/>
  <c r="E12" i="45"/>
  <c r="E56" i="45"/>
  <c r="E46" i="45"/>
  <c r="O33" i="45"/>
  <c r="C55" i="45"/>
  <c r="D48" i="45"/>
  <c r="D22" i="17"/>
  <c r="F22" i="17" s="1"/>
  <c r="E13" i="17"/>
  <c r="F13" i="17"/>
  <c r="E55" i="45"/>
  <c r="D7" i="45"/>
  <c r="O5" i="45"/>
  <c r="O51" i="45"/>
  <c r="B10" i="33"/>
  <c r="E11" i="25"/>
  <c r="F17" i="25"/>
  <c r="F13" i="25"/>
  <c r="F21" i="25"/>
  <c r="H51" i="32"/>
  <c r="E47" i="32"/>
  <c r="D22" i="21"/>
  <c r="F22" i="21" s="1"/>
  <c r="E20" i="25"/>
  <c r="F21" i="21"/>
  <c r="M47" i="32"/>
  <c r="I47" i="32"/>
  <c r="P51" i="32"/>
  <c r="F13" i="21"/>
  <c r="F15" i="21"/>
  <c r="E15" i="21"/>
  <c r="E22" i="29"/>
  <c r="B27" i="32"/>
  <c r="D16" i="20"/>
  <c r="F12" i="25"/>
  <c r="D18" i="20"/>
  <c r="F13" i="19"/>
  <c r="F15" i="25"/>
  <c r="D22" i="19"/>
  <c r="E22" i="19" s="1"/>
  <c r="G47" i="32"/>
  <c r="G51" i="32"/>
  <c r="F19" i="25"/>
  <c r="F47" i="32"/>
  <c r="E18" i="25"/>
  <c r="E20" i="20"/>
  <c r="E10" i="20"/>
  <c r="F14" i="25"/>
  <c r="D12" i="20"/>
  <c r="D16" i="25"/>
  <c r="N13" i="9"/>
  <c r="M13" i="9" s="1"/>
  <c r="F17" i="13"/>
  <c r="E17" i="13" s="1"/>
  <c r="L14" i="13"/>
  <c r="N14" i="13" s="1"/>
  <c r="M14" i="13" s="1"/>
  <c r="N14" i="40"/>
  <c r="M14" i="40" s="1"/>
  <c r="N11" i="5"/>
  <c r="M11" i="5" s="1"/>
  <c r="K15" i="1"/>
  <c r="M15" i="1" s="1"/>
  <c r="L15" i="1" s="1"/>
  <c r="N10" i="9"/>
  <c r="M10" i="9" s="1"/>
  <c r="L18" i="38"/>
  <c r="N18" i="38" s="1"/>
  <c r="M18" i="38" s="1"/>
  <c r="N10" i="8"/>
  <c r="M10" i="8" s="1"/>
  <c r="L22" i="5"/>
  <c r="K16" i="1"/>
  <c r="M16" i="1" s="1"/>
  <c r="L16" i="1" s="1"/>
  <c r="J22" i="10"/>
  <c r="I22" i="10" s="1"/>
  <c r="J22" i="5"/>
  <c r="I22" i="5" s="1"/>
  <c r="L22" i="10"/>
  <c r="K18" i="1"/>
  <c r="M18" i="1" s="1"/>
  <c r="L18" i="1" s="1"/>
  <c r="K14" i="1"/>
  <c r="M14" i="1" s="1"/>
  <c r="L14" i="1" s="1"/>
  <c r="K11" i="1"/>
  <c r="M11" i="1" s="1"/>
  <c r="L11" i="1" s="1"/>
  <c r="I11" i="1"/>
  <c r="H11" i="1" s="1"/>
  <c r="F18" i="13"/>
  <c r="E18" i="13" s="1"/>
  <c r="E14" i="1"/>
  <c r="D14" i="1" s="1"/>
  <c r="N21" i="5"/>
  <c r="M21" i="5" s="1"/>
  <c r="I22" i="6"/>
  <c r="N10" i="39"/>
  <c r="M10" i="39" s="1"/>
  <c r="L11" i="38"/>
  <c r="N11" i="38" s="1"/>
  <c r="M11" i="38" s="1"/>
  <c r="J11" i="38"/>
  <c r="I11" i="38" s="1"/>
  <c r="N20" i="7"/>
  <c r="M20" i="7" s="1"/>
  <c r="F14" i="38"/>
  <c r="E14" i="38" s="1"/>
  <c r="L17" i="38"/>
  <c r="N17" i="38" s="1"/>
  <c r="M17" i="38" s="1"/>
  <c r="N19" i="6"/>
  <c r="M19" i="6" s="1"/>
  <c r="H22" i="38"/>
  <c r="L21" i="9"/>
  <c r="N21" i="9" s="1"/>
  <c r="M21" i="9" s="1"/>
  <c r="F21" i="9"/>
  <c r="E21" i="9" s="1"/>
  <c r="L21" i="24"/>
  <c r="J17" i="11"/>
  <c r="I17" i="11" s="1"/>
  <c r="L17" i="11"/>
  <c r="N17" i="11" s="1"/>
  <c r="M17" i="11" s="1"/>
  <c r="N13" i="10"/>
  <c r="M13" i="10" s="1"/>
  <c r="N21" i="11"/>
  <c r="M21" i="11" s="1"/>
  <c r="L14" i="38"/>
  <c r="N14" i="38" s="1"/>
  <c r="M14" i="38" s="1"/>
  <c r="L21" i="39"/>
  <c r="N21" i="39" s="1"/>
  <c r="M21" i="39" s="1"/>
  <c r="F21" i="39"/>
  <c r="E21" i="39" s="1"/>
  <c r="I19" i="26"/>
  <c r="N16" i="20"/>
  <c r="M19" i="16"/>
  <c r="M17" i="19"/>
  <c r="N13" i="21"/>
  <c r="A10" i="11"/>
  <c r="A17" i="11"/>
  <c r="M11" i="19"/>
  <c r="N10" i="23"/>
  <c r="M15" i="16"/>
  <c r="N12" i="20"/>
  <c r="K14" i="24"/>
  <c r="M10" i="22"/>
  <c r="H10" i="22" s="1"/>
  <c r="L11" i="11"/>
  <c r="N11" i="11" s="1"/>
  <c r="M11" i="11" s="1"/>
  <c r="N13" i="17"/>
  <c r="N13" i="29"/>
  <c r="N15" i="21"/>
  <c r="I10" i="26"/>
  <c r="N19" i="11"/>
  <c r="M19" i="11" s="1"/>
  <c r="N10" i="7"/>
  <c r="M10" i="7" s="1"/>
  <c r="J22" i="24"/>
  <c r="I18" i="1"/>
  <c r="H18" i="1" s="1"/>
  <c r="O13" i="1"/>
  <c r="Q13" i="1" s="1"/>
  <c r="P13" i="1" s="1"/>
  <c r="O15" i="1"/>
  <c r="Q15" i="1" s="1"/>
  <c r="P15" i="1" s="1"/>
  <c r="J22" i="8"/>
  <c r="I22" i="8" s="1"/>
  <c r="O21" i="1"/>
  <c r="Q21" i="1" s="1"/>
  <c r="P21" i="1" s="1"/>
  <c r="O12" i="1"/>
  <c r="Q12" i="1" s="1"/>
  <c r="P12" i="1" s="1"/>
  <c r="O14" i="1"/>
  <c r="Q14" i="1" s="1"/>
  <c r="P14" i="1" s="1"/>
  <c r="O18" i="1"/>
  <c r="Q18" i="1" s="1"/>
  <c r="P18" i="1" s="1"/>
  <c r="J18" i="9"/>
  <c r="I18" i="9" s="1"/>
  <c r="I16" i="1"/>
  <c r="H16" i="1" s="1"/>
  <c r="O19" i="1"/>
  <c r="Q19" i="1" s="1"/>
  <c r="P19" i="1" s="1"/>
  <c r="L13" i="13"/>
  <c r="N13" i="13" s="1"/>
  <c r="M13" i="13" s="1"/>
  <c r="O20" i="1"/>
  <c r="Q20" i="1" s="1"/>
  <c r="P20" i="1" s="1"/>
  <c r="O11" i="1"/>
  <c r="Q11" i="1" s="1"/>
  <c r="P11" i="1" s="1"/>
  <c r="N15" i="5"/>
  <c r="M15" i="5" s="1"/>
  <c r="O16" i="1"/>
  <c r="Q16" i="1" s="1"/>
  <c r="P16" i="1" s="1"/>
  <c r="D22" i="13"/>
  <c r="L18" i="11"/>
  <c r="N18" i="11" s="1"/>
  <c r="M18" i="11" s="1"/>
  <c r="J18" i="11"/>
  <c r="I18" i="11" s="1"/>
  <c r="L10" i="24"/>
  <c r="K19" i="1"/>
  <c r="M19" i="1" s="1"/>
  <c r="L19" i="1" s="1"/>
  <c r="E17" i="1"/>
  <c r="D17" i="1" s="1"/>
  <c r="O17" i="1"/>
  <c r="Q17" i="1" s="1"/>
  <c r="P17" i="1" s="1"/>
  <c r="K17" i="1"/>
  <c r="M17" i="1" s="1"/>
  <c r="L17" i="1" s="1"/>
  <c r="L11" i="13"/>
  <c r="N11" i="13" s="1"/>
  <c r="M11" i="13" s="1"/>
  <c r="K13" i="1"/>
  <c r="M13" i="1" s="1"/>
  <c r="L13" i="1" s="1"/>
  <c r="K10" i="1"/>
  <c r="M10" i="1" s="1"/>
  <c r="L10" i="1" s="1"/>
  <c r="O10" i="1"/>
  <c r="Q10" i="1" s="1"/>
  <c r="P10" i="1" s="1"/>
  <c r="M22" i="17"/>
  <c r="G22" i="17" s="1"/>
  <c r="H21" i="1"/>
  <c r="I21" i="1"/>
  <c r="K21" i="1"/>
  <c r="M21" i="1" s="1"/>
  <c r="L21" i="1" s="1"/>
  <c r="N16" i="40"/>
  <c r="M16" i="40" s="1"/>
  <c r="H22" i="39"/>
  <c r="L12" i="39"/>
  <c r="N12" i="39" s="1"/>
  <c r="M12" i="39" s="1"/>
  <c r="N11" i="8"/>
  <c r="M11" i="8" s="1"/>
  <c r="H22" i="7"/>
  <c r="L22" i="7" s="1"/>
  <c r="L11" i="7"/>
  <c r="N11" i="7" s="1"/>
  <c r="M11" i="7" s="1"/>
  <c r="O29" i="43"/>
  <c r="O20" i="43"/>
  <c r="O46" i="43" s="1"/>
  <c r="O47" i="43"/>
  <c r="F43" i="43"/>
  <c r="F9" i="43"/>
  <c r="F53" i="43"/>
  <c r="O7" i="43"/>
  <c r="O56" i="43" s="1"/>
  <c r="F56" i="43"/>
  <c r="O49" i="43"/>
  <c r="M44" i="43"/>
  <c r="M12" i="43"/>
  <c r="M54" i="43"/>
  <c r="I22" i="24"/>
  <c r="L22" i="22"/>
  <c r="G22" i="22" s="1"/>
  <c r="K22" i="8"/>
  <c r="F22" i="5"/>
  <c r="E22" i="5" s="1"/>
  <c r="E25" i="5" s="1"/>
  <c r="K22" i="5"/>
  <c r="K22" i="9"/>
  <c r="L22" i="19"/>
  <c r="G22" i="19" s="1"/>
  <c r="G12" i="19"/>
  <c r="F22" i="40"/>
  <c r="E22" i="40" s="1"/>
  <c r="E25" i="40" s="1"/>
  <c r="K22" i="40"/>
  <c r="O16" i="11"/>
  <c r="K22" i="39"/>
  <c r="K22" i="11"/>
  <c r="O19" i="11"/>
  <c r="O17" i="11"/>
  <c r="O15" i="11"/>
  <c r="O11" i="11"/>
  <c r="O14" i="11"/>
  <c r="O18" i="11"/>
  <c r="O12" i="11"/>
  <c r="O21" i="11"/>
  <c r="O10" i="11"/>
  <c r="F22" i="7"/>
  <c r="E22" i="7" s="1"/>
  <c r="E25" i="7" s="1"/>
  <c r="K22" i="7"/>
  <c r="L22" i="16"/>
  <c r="G22" i="16" s="1"/>
  <c r="C11" i="26"/>
  <c r="H22" i="26"/>
  <c r="C22" i="26" s="1"/>
  <c r="M22" i="21"/>
  <c r="G22" i="21" s="1"/>
  <c r="O20" i="11"/>
  <c r="M22" i="23"/>
  <c r="G22" i="23" s="1"/>
  <c r="G11" i="29"/>
  <c r="M22" i="29"/>
  <c r="G22" i="29" s="1"/>
  <c r="G14" i="20"/>
  <c r="M22" i="20"/>
  <c r="G22" i="20" s="1"/>
  <c r="K22" i="10"/>
  <c r="F22" i="10"/>
  <c r="E22" i="10" s="1"/>
  <c r="E25" i="10" s="1"/>
  <c r="K22" i="13"/>
  <c r="I44" i="1" l="1"/>
  <c r="H44" i="1"/>
  <c r="E22" i="1"/>
  <c r="E44" i="1"/>
  <c r="D44" i="1"/>
  <c r="D20" i="41"/>
  <c r="E20" i="41" s="1"/>
  <c r="J36" i="20"/>
  <c r="I32" i="20"/>
  <c r="J34" i="20"/>
  <c r="H11" i="21"/>
  <c r="I11" i="21" s="1"/>
  <c r="H15" i="54"/>
  <c r="I15" i="54" s="1"/>
  <c r="I35" i="20"/>
  <c r="J35" i="20"/>
  <c r="E33" i="20"/>
  <c r="F33" i="20"/>
  <c r="E35" i="20"/>
  <c r="F35" i="20"/>
  <c r="E31" i="20"/>
  <c r="F31" i="20"/>
  <c r="H33" i="20"/>
  <c r="E30" i="20"/>
  <c r="F30" i="20"/>
  <c r="D42" i="20"/>
  <c r="F39" i="20"/>
  <c r="E39" i="20"/>
  <c r="H37" i="20"/>
  <c r="I37" i="20" s="1"/>
  <c r="H30" i="20"/>
  <c r="E37" i="20"/>
  <c r="F37" i="20"/>
  <c r="H39" i="20"/>
  <c r="F40" i="20"/>
  <c r="E40" i="20"/>
  <c r="H40" i="20"/>
  <c r="N42" i="20"/>
  <c r="J38" i="20"/>
  <c r="I38" i="20"/>
  <c r="J31" i="20"/>
  <c r="I31" i="20"/>
  <c r="J22" i="40"/>
  <c r="I22" i="40" s="1"/>
  <c r="R13" i="40"/>
  <c r="Q13" i="40" s="1"/>
  <c r="R17" i="7"/>
  <c r="Q17" i="7" s="1"/>
  <c r="R16" i="10"/>
  <c r="Q16" i="10" s="1"/>
  <c r="R11" i="10"/>
  <c r="Q11" i="10" s="1"/>
  <c r="R14" i="10"/>
  <c r="Q14" i="10" s="1"/>
  <c r="R20" i="5"/>
  <c r="Q20" i="5" s="1"/>
  <c r="R18" i="5"/>
  <c r="Q18" i="5" s="1"/>
  <c r="R19" i="5"/>
  <c r="Q19" i="5" s="1"/>
  <c r="R14" i="5"/>
  <c r="Q14" i="5" s="1"/>
  <c r="R10" i="7"/>
  <c r="Q10" i="7" s="1"/>
  <c r="R10" i="40"/>
  <c r="Q10" i="40" s="1"/>
  <c r="R18" i="40"/>
  <c r="Q18" i="40" s="1"/>
  <c r="R12" i="7"/>
  <c r="Q12" i="7" s="1"/>
  <c r="R16" i="7"/>
  <c r="Q16" i="7" s="1"/>
  <c r="R17" i="5"/>
  <c r="Q17" i="5" s="1"/>
  <c r="R18" i="7"/>
  <c r="Q18" i="7" s="1"/>
  <c r="R19" i="10"/>
  <c r="Q19" i="10" s="1"/>
  <c r="F22" i="9"/>
  <c r="E22" i="9" s="1"/>
  <c r="E25" i="9" s="1"/>
  <c r="L22" i="9"/>
  <c r="N22" i="9" s="1"/>
  <c r="M22" i="9" s="1"/>
  <c r="R13" i="7"/>
  <c r="Q13" i="7" s="1"/>
  <c r="R20" i="10"/>
  <c r="Q20" i="10" s="1"/>
  <c r="R16" i="5"/>
  <c r="Q16" i="5" s="1"/>
  <c r="R15" i="40"/>
  <c r="Q15" i="40" s="1"/>
  <c r="R10" i="10"/>
  <c r="Q10" i="10" s="1"/>
  <c r="R21" i="10"/>
  <c r="Q21" i="10" s="1"/>
  <c r="R14" i="40"/>
  <c r="Q14" i="40" s="1"/>
  <c r="R17" i="10"/>
  <c r="Q17" i="10" s="1"/>
  <c r="R19" i="7"/>
  <c r="Q19" i="7" s="1"/>
  <c r="R10" i="5"/>
  <c r="Q10" i="5" s="1"/>
  <c r="R19" i="40"/>
  <c r="Q19" i="40" s="1"/>
  <c r="R12" i="10"/>
  <c r="Q12" i="10" s="1"/>
  <c r="R20" i="7"/>
  <c r="Q20" i="7" s="1"/>
  <c r="R21" i="7"/>
  <c r="Q21" i="7" s="1"/>
  <c r="R18" i="10"/>
  <c r="Q18" i="10" s="1"/>
  <c r="F22" i="50"/>
  <c r="E22" i="50" s="1"/>
  <c r="E25" i="50" s="1"/>
  <c r="P21" i="50"/>
  <c r="R21" i="50" s="1"/>
  <c r="Q21" i="50" s="1"/>
  <c r="P12" i="50"/>
  <c r="R12" i="50" s="1"/>
  <c r="Q12" i="50" s="1"/>
  <c r="P14" i="50"/>
  <c r="R14" i="50" s="1"/>
  <c r="Q14" i="50" s="1"/>
  <c r="P19" i="50"/>
  <c r="R19" i="50" s="1"/>
  <c r="Q19" i="50" s="1"/>
  <c r="P18" i="50"/>
  <c r="R18" i="50" s="1"/>
  <c r="Q18" i="50" s="1"/>
  <c r="P16" i="50"/>
  <c r="R16" i="50" s="1"/>
  <c r="Q16" i="50" s="1"/>
  <c r="P15" i="50"/>
  <c r="P17" i="50"/>
  <c r="R17" i="50" s="1"/>
  <c r="Q17" i="50" s="1"/>
  <c r="P11" i="50"/>
  <c r="R11" i="50" s="1"/>
  <c r="Q11" i="50" s="1"/>
  <c r="P20" i="50"/>
  <c r="R20" i="50" s="1"/>
  <c r="Q20" i="50" s="1"/>
  <c r="R21" i="39"/>
  <c r="Q21" i="39" s="1"/>
  <c r="P13" i="50"/>
  <c r="R13" i="50" s="1"/>
  <c r="Q13" i="50" s="1"/>
  <c r="P11" i="38"/>
  <c r="R11" i="38" s="1"/>
  <c r="Q11" i="38" s="1"/>
  <c r="P13" i="38"/>
  <c r="R13" i="38" s="1"/>
  <c r="Q13" i="38" s="1"/>
  <c r="L22" i="8"/>
  <c r="N22" i="8" s="1"/>
  <c r="M22" i="8" s="1"/>
  <c r="P19" i="8"/>
  <c r="R19" i="8" s="1"/>
  <c r="Q19" i="8" s="1"/>
  <c r="P13" i="8"/>
  <c r="R13" i="8" s="1"/>
  <c r="Q13" i="8" s="1"/>
  <c r="P18" i="8"/>
  <c r="R18" i="8" s="1"/>
  <c r="Q18" i="8" s="1"/>
  <c r="P11" i="8"/>
  <c r="R11" i="8" s="1"/>
  <c r="Q11" i="8" s="1"/>
  <c r="P17" i="8"/>
  <c r="R17" i="8" s="1"/>
  <c r="Q17" i="8" s="1"/>
  <c r="P12" i="8"/>
  <c r="R12" i="8" s="1"/>
  <c r="Q12" i="8" s="1"/>
  <c r="P14" i="8"/>
  <c r="R14" i="8" s="1"/>
  <c r="Q14" i="8" s="1"/>
  <c r="P21" i="8"/>
  <c r="R21" i="8" s="1"/>
  <c r="Q21" i="8" s="1"/>
  <c r="P20" i="8"/>
  <c r="R20" i="8" s="1"/>
  <c r="Q20" i="8" s="1"/>
  <c r="P16" i="8"/>
  <c r="R16" i="8" s="1"/>
  <c r="Q16" i="8" s="1"/>
  <c r="P10" i="8"/>
  <c r="R10" i="8" s="1"/>
  <c r="Q10" i="8" s="1"/>
  <c r="R21" i="40"/>
  <c r="Q21" i="40" s="1"/>
  <c r="R12" i="40"/>
  <c r="Q12" i="40" s="1"/>
  <c r="R16" i="40"/>
  <c r="Q16" i="40" s="1"/>
  <c r="R15" i="5"/>
  <c r="Q15" i="5" s="1"/>
  <c r="R17" i="40"/>
  <c r="Q17" i="40" s="1"/>
  <c r="R11" i="40"/>
  <c r="Q11" i="40" s="1"/>
  <c r="P15" i="38"/>
  <c r="R15" i="38" s="1"/>
  <c r="Q15" i="38" s="1"/>
  <c r="P10" i="50"/>
  <c r="R10" i="50" s="1"/>
  <c r="Q10" i="50" s="1"/>
  <c r="P17" i="38"/>
  <c r="R17" i="38" s="1"/>
  <c r="Q17" i="38" s="1"/>
  <c r="P10" i="38"/>
  <c r="R10" i="38" s="1"/>
  <c r="Q10" i="38" s="1"/>
  <c r="P16" i="38"/>
  <c r="R16" i="38" s="1"/>
  <c r="Q16" i="38" s="1"/>
  <c r="P14" i="38"/>
  <c r="R14" i="38" s="1"/>
  <c r="Q14" i="38" s="1"/>
  <c r="R14" i="7"/>
  <c r="Q14" i="7" s="1"/>
  <c r="R12" i="5"/>
  <c r="Q12" i="5" s="1"/>
  <c r="P21" i="38"/>
  <c r="R21" i="38" s="1"/>
  <c r="Q21" i="38" s="1"/>
  <c r="P18" i="38"/>
  <c r="R18" i="38" s="1"/>
  <c r="Q18" i="38" s="1"/>
  <c r="F22" i="39"/>
  <c r="E22" i="39" s="1"/>
  <c r="E25" i="39" s="1"/>
  <c r="P14" i="39"/>
  <c r="R14" i="39" s="1"/>
  <c r="Q14" i="39" s="1"/>
  <c r="P10" i="39"/>
  <c r="R10" i="39" s="1"/>
  <c r="Q10" i="39" s="1"/>
  <c r="P15" i="39"/>
  <c r="R15" i="39" s="1"/>
  <c r="Q15" i="39" s="1"/>
  <c r="P18" i="39"/>
  <c r="R18" i="39" s="1"/>
  <c r="Q18" i="39" s="1"/>
  <c r="P12" i="39"/>
  <c r="R12" i="39" s="1"/>
  <c r="Q12" i="39" s="1"/>
  <c r="P11" i="39"/>
  <c r="R11" i="39" s="1"/>
  <c r="Q11" i="39" s="1"/>
  <c r="P13" i="39"/>
  <c r="R13" i="39" s="1"/>
  <c r="Q13" i="39" s="1"/>
  <c r="P20" i="39"/>
  <c r="R20" i="39" s="1"/>
  <c r="Q20" i="39" s="1"/>
  <c r="P19" i="39"/>
  <c r="R19" i="39" s="1"/>
  <c r="Q19" i="39" s="1"/>
  <c r="P17" i="39"/>
  <c r="R17" i="39" s="1"/>
  <c r="Q17" i="39" s="1"/>
  <c r="R15" i="8"/>
  <c r="Q15" i="8" s="1"/>
  <c r="R11" i="5"/>
  <c r="Q11" i="5" s="1"/>
  <c r="R21" i="9"/>
  <c r="Q21" i="9" s="1"/>
  <c r="P14" i="9"/>
  <c r="R14" i="9" s="1"/>
  <c r="Q14" i="9" s="1"/>
  <c r="P15" i="9"/>
  <c r="R15" i="9" s="1"/>
  <c r="Q15" i="9" s="1"/>
  <c r="P19" i="9"/>
  <c r="R19" i="9" s="1"/>
  <c r="Q19" i="9" s="1"/>
  <c r="P13" i="9"/>
  <c r="R13" i="9" s="1"/>
  <c r="Q13" i="9" s="1"/>
  <c r="P12" i="9"/>
  <c r="R12" i="9" s="1"/>
  <c r="Q12" i="9" s="1"/>
  <c r="P20" i="9"/>
  <c r="R20" i="9" s="1"/>
  <c r="Q20" i="9" s="1"/>
  <c r="P16" i="9"/>
  <c r="R16" i="9" s="1"/>
  <c r="Q16" i="9" s="1"/>
  <c r="P18" i="9"/>
  <c r="R18" i="9" s="1"/>
  <c r="Q18" i="9" s="1"/>
  <c r="P17" i="9"/>
  <c r="R17" i="9" s="1"/>
  <c r="Q17" i="9" s="1"/>
  <c r="P11" i="9"/>
  <c r="R11" i="9" s="1"/>
  <c r="Q11" i="9" s="1"/>
  <c r="P10" i="9"/>
  <c r="R10" i="9" s="1"/>
  <c r="Q10" i="9" s="1"/>
  <c r="P20" i="38"/>
  <c r="R20" i="38" s="1"/>
  <c r="Q20" i="38" s="1"/>
  <c r="P19" i="38"/>
  <c r="R19" i="38" s="1"/>
  <c r="Q19" i="38" s="1"/>
  <c r="P16" i="39"/>
  <c r="R16" i="39" s="1"/>
  <c r="Q16" i="39" s="1"/>
  <c r="P12" i="38"/>
  <c r="R12" i="38" s="1"/>
  <c r="Q12" i="38" s="1"/>
  <c r="P19" i="6"/>
  <c r="R19" i="6" s="1"/>
  <c r="Q19" i="6" s="1"/>
  <c r="L22" i="6"/>
  <c r="N22" i="6" s="1"/>
  <c r="M22" i="6" s="1"/>
  <c r="P16" i="6"/>
  <c r="R16" i="6" s="1"/>
  <c r="Q16" i="6" s="1"/>
  <c r="P21" i="6"/>
  <c r="R21" i="6" s="1"/>
  <c r="Q21" i="6" s="1"/>
  <c r="P15" i="6"/>
  <c r="R15" i="6" s="1"/>
  <c r="Q15" i="6" s="1"/>
  <c r="F22" i="6"/>
  <c r="P14" i="6"/>
  <c r="R14" i="6" s="1"/>
  <c r="Q14" i="6" s="1"/>
  <c r="P18" i="6"/>
  <c r="R18" i="6" s="1"/>
  <c r="Q18" i="6" s="1"/>
  <c r="P11" i="6"/>
  <c r="R11" i="6" s="1"/>
  <c r="Q11" i="6" s="1"/>
  <c r="P10" i="6"/>
  <c r="R10" i="6" s="1"/>
  <c r="Q10" i="6" s="1"/>
  <c r="R20" i="6"/>
  <c r="Q20" i="6" s="1"/>
  <c r="P13" i="6"/>
  <c r="R13" i="6" s="1"/>
  <c r="Q13" i="6" s="1"/>
  <c r="P12" i="6"/>
  <c r="R12" i="6" s="1"/>
  <c r="Q12" i="6" s="1"/>
  <c r="P17" i="6"/>
  <c r="R17" i="6" s="1"/>
  <c r="Q17" i="6" s="1"/>
  <c r="E22" i="6"/>
  <c r="E25" i="6" s="1"/>
  <c r="H17" i="29"/>
  <c r="I17" i="29" s="1"/>
  <c r="I54" i="43"/>
  <c r="H14" i="53"/>
  <c r="J14" i="53" s="1"/>
  <c r="H16" i="53"/>
  <c r="I16" i="53" s="1"/>
  <c r="H12" i="21"/>
  <c r="J12" i="21" s="1"/>
  <c r="H10" i="20"/>
  <c r="I10" i="20" s="1"/>
  <c r="H18" i="23"/>
  <c r="J18" i="23" s="1"/>
  <c r="H12" i="23"/>
  <c r="I12" i="23" s="1"/>
  <c r="H15" i="21"/>
  <c r="I15" i="21" s="1"/>
  <c r="H11" i="20"/>
  <c r="J11" i="20" s="1"/>
  <c r="H10" i="19"/>
  <c r="I10" i="19" s="1"/>
  <c r="H16" i="19"/>
  <c r="I16" i="19" s="1"/>
  <c r="D16" i="41"/>
  <c r="F16" i="41" s="1"/>
  <c r="H12" i="53"/>
  <c r="I12" i="53" s="1"/>
  <c r="H10" i="54"/>
  <c r="J10" i="54" s="1"/>
  <c r="H21" i="20"/>
  <c r="J21" i="20" s="1"/>
  <c r="D14" i="42"/>
  <c r="E14" i="42" s="1"/>
  <c r="D12" i="42"/>
  <c r="E12" i="42" s="1"/>
  <c r="D13" i="42"/>
  <c r="F13" i="42" s="1"/>
  <c r="D17" i="42"/>
  <c r="F17" i="42" s="1"/>
  <c r="D10" i="41"/>
  <c r="F10" i="41" s="1"/>
  <c r="D17" i="41"/>
  <c r="E17" i="41" s="1"/>
  <c r="E12" i="41"/>
  <c r="H17" i="21"/>
  <c r="I17" i="21" s="1"/>
  <c r="H14" i="23"/>
  <c r="I14" i="23" s="1"/>
  <c r="H17" i="54"/>
  <c r="I17" i="54" s="1"/>
  <c r="H18" i="53"/>
  <c r="I18" i="53" s="1"/>
  <c r="H17" i="22"/>
  <c r="J17" i="22" s="1"/>
  <c r="H13" i="53"/>
  <c r="J13" i="53" s="1"/>
  <c r="H15" i="23"/>
  <c r="J15" i="23" s="1"/>
  <c r="H13" i="23"/>
  <c r="J13" i="23" s="1"/>
  <c r="H13" i="19"/>
  <c r="J13" i="19" s="1"/>
  <c r="H16" i="21"/>
  <c r="I16" i="21" s="1"/>
  <c r="H16" i="22"/>
  <c r="J16" i="22" s="1"/>
  <c r="D11" i="42"/>
  <c r="E11" i="42" s="1"/>
  <c r="D11" i="41"/>
  <c r="F11" i="41" s="1"/>
  <c r="D18" i="42"/>
  <c r="F18" i="42" s="1"/>
  <c r="D15" i="41"/>
  <c r="F15" i="41" s="1"/>
  <c r="D19" i="42"/>
  <c r="F19" i="42" s="1"/>
  <c r="D21" i="41"/>
  <c r="E21" i="41" s="1"/>
  <c r="H12" i="16"/>
  <c r="J12" i="16" s="1"/>
  <c r="I12" i="16" s="1"/>
  <c r="D15" i="42"/>
  <c r="F15" i="42" s="1"/>
  <c r="D10" i="42"/>
  <c r="F10" i="42" s="1"/>
  <c r="D19" i="16"/>
  <c r="F19" i="16" s="1"/>
  <c r="E19" i="16" s="1"/>
  <c r="D20" i="42"/>
  <c r="F20" i="42" s="1"/>
  <c r="H16" i="16"/>
  <c r="J16" i="16" s="1"/>
  <c r="I16" i="16" s="1"/>
  <c r="D10" i="16"/>
  <c r="F10" i="16" s="1"/>
  <c r="E10" i="16" s="1"/>
  <c r="D15" i="16"/>
  <c r="F15" i="16" s="1"/>
  <c r="E15" i="16" s="1"/>
  <c r="D11" i="16"/>
  <c r="F11" i="16" s="1"/>
  <c r="E11" i="16" s="1"/>
  <c r="I44" i="43"/>
  <c r="D18" i="26"/>
  <c r="E18" i="26" s="1"/>
  <c r="H16" i="17"/>
  <c r="I16" i="17" s="1"/>
  <c r="D16" i="42"/>
  <c r="E16" i="42" s="1"/>
  <c r="B37" i="33"/>
  <c r="D22" i="42" s="1"/>
  <c r="F22" i="42" s="1"/>
  <c r="D19" i="41"/>
  <c r="F19" i="41" s="1"/>
  <c r="C46" i="45"/>
  <c r="L22" i="39"/>
  <c r="N22" i="39" s="1"/>
  <c r="M22" i="39" s="1"/>
  <c r="H10" i="21"/>
  <c r="I10" i="21" s="1"/>
  <c r="H19" i="20"/>
  <c r="I19" i="20" s="1"/>
  <c r="H13" i="20"/>
  <c r="J13" i="20" s="1"/>
  <c r="H17" i="19"/>
  <c r="I17" i="19" s="1"/>
  <c r="H13" i="54"/>
  <c r="J13" i="54" s="1"/>
  <c r="D15" i="26"/>
  <c r="E15" i="26" s="1"/>
  <c r="D16" i="26"/>
  <c r="E16" i="26" s="1"/>
  <c r="H12" i="54"/>
  <c r="I12" i="54" s="1"/>
  <c r="H20" i="54"/>
  <c r="J20" i="54" s="1"/>
  <c r="C12" i="45"/>
  <c r="C15" i="45" s="1"/>
  <c r="C21" i="45" s="1"/>
  <c r="I10" i="29"/>
  <c r="H11" i="23"/>
  <c r="J11" i="23" s="1"/>
  <c r="H15" i="19"/>
  <c r="I15" i="19" s="1"/>
  <c r="D15" i="24"/>
  <c r="E15" i="24" s="1"/>
  <c r="H16" i="54"/>
  <c r="J16" i="54" s="1"/>
  <c r="H20" i="53"/>
  <c r="J20" i="53" s="1"/>
  <c r="H19" i="23"/>
  <c r="I19" i="23" s="1"/>
  <c r="H13" i="22"/>
  <c r="J13" i="22" s="1"/>
  <c r="H15" i="20"/>
  <c r="I15" i="20" s="1"/>
  <c r="H19" i="54"/>
  <c r="J19" i="54" s="1"/>
  <c r="H18" i="17"/>
  <c r="I18" i="17" s="1"/>
  <c r="H18" i="54"/>
  <c r="I18" i="54" s="1"/>
  <c r="H14" i="19"/>
  <c r="J14" i="19" s="1"/>
  <c r="L22" i="50"/>
  <c r="N22" i="50" s="1"/>
  <c r="M22" i="50" s="1"/>
  <c r="D12" i="43"/>
  <c r="D45" i="43" s="1"/>
  <c r="D44" i="43"/>
  <c r="D19" i="24"/>
  <c r="F19" i="24" s="1"/>
  <c r="H11" i="53"/>
  <c r="I11" i="53" s="1"/>
  <c r="J46" i="45"/>
  <c r="D14" i="26"/>
  <c r="E14" i="26" s="1"/>
  <c r="H11" i="17"/>
  <c r="I11" i="17" s="1"/>
  <c r="H14" i="54"/>
  <c r="J14" i="54" s="1"/>
  <c r="F18" i="41"/>
  <c r="H21" i="54"/>
  <c r="H11" i="54"/>
  <c r="N22" i="54"/>
  <c r="H22" i="54" s="1"/>
  <c r="I22" i="54" s="1"/>
  <c r="F22" i="54"/>
  <c r="E22" i="54"/>
  <c r="H10" i="17"/>
  <c r="J10" i="17" s="1"/>
  <c r="H17" i="53"/>
  <c r="J17" i="53" s="1"/>
  <c r="K57" i="45"/>
  <c r="K47" i="45"/>
  <c r="H21" i="17"/>
  <c r="I21" i="17" s="1"/>
  <c r="J44" i="43"/>
  <c r="K54" i="43"/>
  <c r="H21" i="21"/>
  <c r="I21" i="21" s="1"/>
  <c r="H12" i="19"/>
  <c r="J12" i="19" s="1"/>
  <c r="C22" i="24"/>
  <c r="H18" i="22"/>
  <c r="J18" i="22" s="1"/>
  <c r="H20" i="20"/>
  <c r="I20" i="20" s="1"/>
  <c r="H19" i="53"/>
  <c r="J19" i="53" s="1"/>
  <c r="H11" i="22"/>
  <c r="I11" i="22" s="1"/>
  <c r="J15" i="53"/>
  <c r="I15" i="53"/>
  <c r="H21" i="53"/>
  <c r="H21" i="22"/>
  <c r="J21" i="22" s="1"/>
  <c r="H12" i="22"/>
  <c r="J12" i="22" s="1"/>
  <c r="H19" i="19"/>
  <c r="J19" i="19" s="1"/>
  <c r="K15" i="45"/>
  <c r="K21" i="45" s="1"/>
  <c r="K24" i="45" s="1"/>
  <c r="K26" i="45" s="1"/>
  <c r="F52" i="45"/>
  <c r="F53" i="45"/>
  <c r="K56" i="45"/>
  <c r="K46" i="45"/>
  <c r="N56" i="45"/>
  <c r="N46" i="45"/>
  <c r="M46" i="45"/>
  <c r="P14" i="11"/>
  <c r="R14" i="11" s="1"/>
  <c r="Q14" i="11" s="1"/>
  <c r="K12" i="43"/>
  <c r="K55" i="43" s="1"/>
  <c r="H15" i="22"/>
  <c r="I15" i="22" s="1"/>
  <c r="D10" i="26"/>
  <c r="E10" i="26" s="1"/>
  <c r="H15" i="17"/>
  <c r="I15" i="17" s="1"/>
  <c r="E22" i="53"/>
  <c r="F22" i="53"/>
  <c r="G57" i="45"/>
  <c r="C45" i="43"/>
  <c r="C60" i="43" s="1"/>
  <c r="G12" i="43"/>
  <c r="G55" i="43" s="1"/>
  <c r="G44" i="43"/>
  <c r="C15" i="43"/>
  <c r="C21" i="43" s="1"/>
  <c r="C24" i="43" s="1"/>
  <c r="E44" i="43"/>
  <c r="B25" i="32"/>
  <c r="H10" i="53"/>
  <c r="N22" i="53"/>
  <c r="H22" i="53" s="1"/>
  <c r="H18" i="16"/>
  <c r="J18" i="16" s="1"/>
  <c r="I18" i="16" s="1"/>
  <c r="E21" i="42"/>
  <c r="D16" i="24"/>
  <c r="F16" i="24" s="1"/>
  <c r="H21" i="29"/>
  <c r="J21" i="29" s="1"/>
  <c r="F17" i="20"/>
  <c r="H20" i="16"/>
  <c r="J20" i="16" s="1"/>
  <c r="I20" i="16" s="1"/>
  <c r="D11" i="24"/>
  <c r="F11" i="24" s="1"/>
  <c r="H16" i="29"/>
  <c r="I16" i="29" s="1"/>
  <c r="J12" i="29"/>
  <c r="H17" i="23"/>
  <c r="J17" i="23" s="1"/>
  <c r="H21" i="19"/>
  <c r="I21" i="19" s="1"/>
  <c r="H18" i="29"/>
  <c r="I18" i="29" s="1"/>
  <c r="P16" i="11"/>
  <c r="R16" i="11" s="1"/>
  <c r="Q16" i="11" s="1"/>
  <c r="J18" i="21"/>
  <c r="I12" i="29"/>
  <c r="D10" i="24"/>
  <c r="F10" i="24" s="1"/>
  <c r="L22" i="38"/>
  <c r="N22" i="38" s="1"/>
  <c r="M22" i="38" s="1"/>
  <c r="H19" i="17"/>
  <c r="J19" i="17" s="1"/>
  <c r="H14" i="16"/>
  <c r="J14" i="16" s="1"/>
  <c r="I14" i="16" s="1"/>
  <c r="H13" i="16"/>
  <c r="J13" i="16" s="1"/>
  <c r="I13" i="16" s="1"/>
  <c r="D12" i="24"/>
  <c r="E12" i="24" s="1"/>
  <c r="H15" i="29"/>
  <c r="J15" i="29" s="1"/>
  <c r="D17" i="24"/>
  <c r="E17" i="24" s="1"/>
  <c r="H20" i="23"/>
  <c r="J20" i="23" s="1"/>
  <c r="H16" i="23"/>
  <c r="I16" i="23" s="1"/>
  <c r="J10" i="22"/>
  <c r="H19" i="21"/>
  <c r="J19" i="21" s="1"/>
  <c r="H14" i="21"/>
  <c r="J14" i="21" s="1"/>
  <c r="H19" i="29"/>
  <c r="J19" i="29" s="1"/>
  <c r="H17" i="17"/>
  <c r="I17" i="17" s="1"/>
  <c r="I51" i="32"/>
  <c r="F51" i="32"/>
  <c r="M51" i="32"/>
  <c r="M12" i="45"/>
  <c r="M47" i="45" s="1"/>
  <c r="M61" i="45" s="1"/>
  <c r="E13" i="41"/>
  <c r="I56" i="45"/>
  <c r="F60" i="45"/>
  <c r="G47" i="45"/>
  <c r="G62" i="45" s="1"/>
  <c r="F62" i="45"/>
  <c r="J12" i="45"/>
  <c r="J47" i="45" s="1"/>
  <c r="J62" i="45" s="1"/>
  <c r="P12" i="11"/>
  <c r="R12" i="11" s="1"/>
  <c r="Q12" i="11" s="1"/>
  <c r="P10" i="11"/>
  <c r="R10" i="11" s="1"/>
  <c r="P13" i="11"/>
  <c r="R13" i="11" s="1"/>
  <c r="Q13" i="11" s="1"/>
  <c r="P17" i="11"/>
  <c r="R17" i="11" s="1"/>
  <c r="Q17" i="11" s="1"/>
  <c r="F22" i="11"/>
  <c r="E22" i="11" s="1"/>
  <c r="E25" i="11" s="1"/>
  <c r="P15" i="11"/>
  <c r="R15" i="11" s="1"/>
  <c r="Q15" i="11" s="1"/>
  <c r="P21" i="11"/>
  <c r="R21" i="11" s="1"/>
  <c r="Q21" i="11" s="1"/>
  <c r="P19" i="11"/>
  <c r="R19" i="11" s="1"/>
  <c r="Q19" i="11" s="1"/>
  <c r="A7" i="27"/>
  <c r="L22" i="11"/>
  <c r="N22" i="11" s="1"/>
  <c r="M22" i="11" s="1"/>
  <c r="P11" i="11"/>
  <c r="R11" i="11" s="1"/>
  <c r="Q11" i="11" s="1"/>
  <c r="P20" i="11"/>
  <c r="R20" i="11" s="1"/>
  <c r="Q20" i="11" s="1"/>
  <c r="L55" i="43"/>
  <c r="N44" i="43"/>
  <c r="J54" i="43"/>
  <c r="C44" i="43"/>
  <c r="N12" i="43"/>
  <c r="N15" i="43" s="1"/>
  <c r="N21" i="43" s="1"/>
  <c r="N24" i="43" s="1"/>
  <c r="L15" i="43"/>
  <c r="L21" i="43" s="1"/>
  <c r="L24" i="43" s="1"/>
  <c r="L26" i="43" s="1"/>
  <c r="E54" i="43"/>
  <c r="C54" i="43"/>
  <c r="D21" i="26"/>
  <c r="F21" i="26" s="1"/>
  <c r="H21" i="23"/>
  <c r="J21" i="23" s="1"/>
  <c r="N57" i="45"/>
  <c r="H56" i="45"/>
  <c r="H46" i="45"/>
  <c r="H20" i="21"/>
  <c r="I20" i="21" s="1"/>
  <c r="H20" i="22"/>
  <c r="I20" i="22" s="1"/>
  <c r="H32" i="43"/>
  <c r="H35" i="43" s="1"/>
  <c r="H37" i="43" s="1"/>
  <c r="H39" i="43" s="1"/>
  <c r="H51" i="43"/>
  <c r="H55" i="43"/>
  <c r="H45" i="43"/>
  <c r="H50" i="43"/>
  <c r="H20" i="29"/>
  <c r="I20" i="29" s="1"/>
  <c r="H17" i="20"/>
  <c r="J17" i="20" s="1"/>
  <c r="H14" i="20"/>
  <c r="I14" i="20" s="1"/>
  <c r="D13" i="26"/>
  <c r="E13" i="26" s="1"/>
  <c r="D19" i="26"/>
  <c r="F19" i="26" s="1"/>
  <c r="D17" i="26"/>
  <c r="F17" i="26" s="1"/>
  <c r="H20" i="17"/>
  <c r="J20" i="17" s="1"/>
  <c r="L22" i="13"/>
  <c r="N22" i="13" s="1"/>
  <c r="M22" i="13" s="1"/>
  <c r="H16" i="20"/>
  <c r="I16" i="20" s="1"/>
  <c r="H13" i="17"/>
  <c r="I13" i="17" s="1"/>
  <c r="E22" i="17"/>
  <c r="E22" i="25"/>
  <c r="J22" i="9"/>
  <c r="I22" i="9" s="1"/>
  <c r="I18" i="21"/>
  <c r="I10" i="22"/>
  <c r="H14" i="22"/>
  <c r="N22" i="29"/>
  <c r="H22" i="29" s="1"/>
  <c r="J22" i="29" s="1"/>
  <c r="H12" i="17"/>
  <c r="N22" i="17"/>
  <c r="H22" i="17" s="1"/>
  <c r="H17" i="16"/>
  <c r="J17" i="16" s="1"/>
  <c r="I17" i="16" s="1"/>
  <c r="B11" i="27"/>
  <c r="D14" i="24"/>
  <c r="E14" i="24" s="1"/>
  <c r="F22" i="8"/>
  <c r="E22" i="8" s="1"/>
  <c r="E25" i="8" s="1"/>
  <c r="H19" i="22"/>
  <c r="J19" i="22" s="1"/>
  <c r="D20" i="26"/>
  <c r="D11" i="26"/>
  <c r="E11" i="26" s="1"/>
  <c r="E14" i="41"/>
  <c r="D12" i="26"/>
  <c r="D18" i="24"/>
  <c r="E18" i="24" s="1"/>
  <c r="D21" i="24"/>
  <c r="F21" i="24" s="1"/>
  <c r="D20" i="24"/>
  <c r="H10" i="23"/>
  <c r="N22" i="20"/>
  <c r="H18" i="19"/>
  <c r="I18" i="19" s="1"/>
  <c r="H20" i="19"/>
  <c r="H11" i="19"/>
  <c r="H14" i="29"/>
  <c r="I14" i="29" s="1"/>
  <c r="H13" i="29"/>
  <c r="H14" i="17"/>
  <c r="H21" i="16"/>
  <c r="J21" i="16" s="1"/>
  <c r="I21" i="16" s="1"/>
  <c r="A17" i="27"/>
  <c r="I12" i="45"/>
  <c r="I47" i="45" s="1"/>
  <c r="N47" i="45"/>
  <c r="N62" i="45" s="1"/>
  <c r="L47" i="45"/>
  <c r="L15" i="45"/>
  <c r="L21" i="45" s="1"/>
  <c r="L24" i="45" s="1"/>
  <c r="L57" i="45"/>
  <c r="O20" i="45"/>
  <c r="O48" i="45" s="1"/>
  <c r="E47" i="45"/>
  <c r="E60" i="45" s="1"/>
  <c r="E57" i="45"/>
  <c r="E15" i="45"/>
  <c r="E21" i="45" s="1"/>
  <c r="E24" i="45" s="1"/>
  <c r="F22" i="23"/>
  <c r="E22" i="23"/>
  <c r="F22" i="22"/>
  <c r="E22" i="22"/>
  <c r="D58" i="45"/>
  <c r="D9" i="45"/>
  <c r="D55" i="45"/>
  <c r="D45" i="45"/>
  <c r="O7" i="45"/>
  <c r="H47" i="45"/>
  <c r="H57" i="45"/>
  <c r="H15" i="45"/>
  <c r="H21" i="45" s="1"/>
  <c r="H24" i="45" s="1"/>
  <c r="N26" i="45"/>
  <c r="N52" i="45"/>
  <c r="G26" i="45"/>
  <c r="G52" i="45"/>
  <c r="F40" i="45"/>
  <c r="F39" i="45"/>
  <c r="E22" i="21"/>
  <c r="B47" i="32"/>
  <c r="E18" i="20"/>
  <c r="F18" i="20"/>
  <c r="H18" i="20"/>
  <c r="J18" i="20" s="1"/>
  <c r="F22" i="19"/>
  <c r="E16" i="20"/>
  <c r="F16" i="20"/>
  <c r="F12" i="20"/>
  <c r="E12" i="20"/>
  <c r="H12" i="20"/>
  <c r="F16" i="25"/>
  <c r="E16" i="25"/>
  <c r="D22" i="20"/>
  <c r="N22" i="40"/>
  <c r="M22" i="40" s="1"/>
  <c r="B12" i="27"/>
  <c r="B16" i="27"/>
  <c r="A8" i="27"/>
  <c r="B13" i="27"/>
  <c r="N22" i="5"/>
  <c r="M22" i="5" s="1"/>
  <c r="A12" i="27"/>
  <c r="B17" i="27"/>
  <c r="A16" i="27"/>
  <c r="A9" i="27"/>
  <c r="B8" i="27"/>
  <c r="N22" i="10"/>
  <c r="M22" i="10" s="1"/>
  <c r="A18" i="27"/>
  <c r="B18" i="27"/>
  <c r="A14" i="27"/>
  <c r="A15" i="27"/>
  <c r="B7" i="27"/>
  <c r="B14" i="27"/>
  <c r="B10" i="27"/>
  <c r="B9" i="27"/>
  <c r="B15" i="27"/>
  <c r="A10" i="27"/>
  <c r="A11" i="27"/>
  <c r="J22" i="38"/>
  <c r="I22" i="38" s="1"/>
  <c r="A13" i="27"/>
  <c r="M22" i="22"/>
  <c r="H22" i="22" s="1"/>
  <c r="J22" i="22" s="1"/>
  <c r="K22" i="24"/>
  <c r="F22" i="13"/>
  <c r="E22" i="13" s="1"/>
  <c r="E26" i="13" s="1"/>
  <c r="R18" i="11"/>
  <c r="Q18" i="11" s="1"/>
  <c r="M22" i="16"/>
  <c r="I22" i="26"/>
  <c r="H13" i="21"/>
  <c r="N22" i="21"/>
  <c r="H22" i="21" s="1"/>
  <c r="J22" i="21" s="1"/>
  <c r="N22" i="23"/>
  <c r="H22" i="23" s="1"/>
  <c r="J22" i="23" s="1"/>
  <c r="M22" i="19"/>
  <c r="H22" i="19" s="1"/>
  <c r="I22" i="19" s="1"/>
  <c r="D13" i="24"/>
  <c r="L22" i="24"/>
  <c r="N22" i="7"/>
  <c r="M22" i="7" s="1"/>
  <c r="J22" i="7"/>
  <c r="I22" i="7" s="1"/>
  <c r="J22" i="39"/>
  <c r="I22" i="39" s="1"/>
  <c r="E45" i="43"/>
  <c r="E55" i="43"/>
  <c r="E15" i="43"/>
  <c r="E21" i="43" s="1"/>
  <c r="E24" i="43" s="1"/>
  <c r="L59" i="43"/>
  <c r="L60" i="43"/>
  <c r="L58" i="43"/>
  <c r="M15" i="43"/>
  <c r="M21" i="43" s="1"/>
  <c r="M24" i="43" s="1"/>
  <c r="M55" i="43"/>
  <c r="M45" i="43"/>
  <c r="F12" i="43"/>
  <c r="F54" i="43"/>
  <c r="F44" i="43"/>
  <c r="O9" i="43"/>
  <c r="O53" i="43"/>
  <c r="O43" i="43"/>
  <c r="F52" i="43" s="1"/>
  <c r="I45" i="43"/>
  <c r="I55" i="43"/>
  <c r="I15" i="43"/>
  <c r="I21" i="43" s="1"/>
  <c r="I24" i="43" s="1"/>
  <c r="J45" i="43"/>
  <c r="J55" i="43"/>
  <c r="J15" i="43"/>
  <c r="J21" i="43" s="1"/>
  <c r="J24" i="43" s="1"/>
  <c r="O22" i="11"/>
  <c r="I11" i="29"/>
  <c r="J11" i="29"/>
  <c r="F20" i="41" l="1"/>
  <c r="J11" i="21"/>
  <c r="R15" i="50"/>
  <c r="Q15" i="50" s="1"/>
  <c r="J15" i="54"/>
  <c r="F42" i="20"/>
  <c r="E42" i="20"/>
  <c r="H42" i="20"/>
  <c r="I42" i="20" s="1"/>
  <c r="J33" i="20"/>
  <c r="I33" i="20"/>
  <c r="I40" i="20"/>
  <c r="J40" i="20"/>
  <c r="J39" i="20"/>
  <c r="I39" i="20"/>
  <c r="I30" i="20"/>
  <c r="J30" i="20"/>
  <c r="J37" i="20"/>
  <c r="P12" i="27"/>
  <c r="Q12" i="27"/>
  <c r="P11" i="27"/>
  <c r="Q11" i="27"/>
  <c r="Q16" i="27"/>
  <c r="P16" i="27"/>
  <c r="P17" i="27"/>
  <c r="Q17" i="27"/>
  <c r="P15" i="27"/>
  <c r="Q15" i="27"/>
  <c r="P8" i="27"/>
  <c r="Q8" i="27"/>
  <c r="P10" i="27"/>
  <c r="Q10" i="27"/>
  <c r="P14" i="27"/>
  <c r="Q14" i="27"/>
  <c r="P9" i="27"/>
  <c r="Q9" i="27"/>
  <c r="P13" i="27"/>
  <c r="Q13" i="27"/>
  <c r="Q18" i="27"/>
  <c r="P18" i="27"/>
  <c r="Q7" i="27"/>
  <c r="P7" i="27"/>
  <c r="J17" i="29"/>
  <c r="K62" i="45"/>
  <c r="K61" i="45"/>
  <c r="J16" i="19"/>
  <c r="J12" i="23"/>
  <c r="J16" i="53"/>
  <c r="I12" i="21"/>
  <c r="J15" i="21"/>
  <c r="E10" i="41"/>
  <c r="I14" i="53"/>
  <c r="F14" i="42"/>
  <c r="I11" i="20"/>
  <c r="I18" i="23"/>
  <c r="I10" i="54"/>
  <c r="J10" i="20"/>
  <c r="J10" i="19"/>
  <c r="E16" i="41"/>
  <c r="J12" i="53"/>
  <c r="J14" i="23"/>
  <c r="I21" i="20"/>
  <c r="I13" i="53"/>
  <c r="J18" i="53"/>
  <c r="E13" i="42"/>
  <c r="I17" i="22"/>
  <c r="E17" i="42"/>
  <c r="F12" i="42"/>
  <c r="F17" i="41"/>
  <c r="J17" i="21"/>
  <c r="J16" i="21"/>
  <c r="I15" i="23"/>
  <c r="J17" i="54"/>
  <c r="D22" i="26"/>
  <c r="E22" i="26" s="1"/>
  <c r="H11" i="16"/>
  <c r="J11" i="16" s="1"/>
  <c r="I11" i="16" s="1"/>
  <c r="I13" i="19"/>
  <c r="I13" i="23"/>
  <c r="E18" i="42"/>
  <c r="E19" i="42"/>
  <c r="F21" i="41"/>
  <c r="H10" i="16"/>
  <c r="J10" i="16" s="1"/>
  <c r="I10" i="16" s="1"/>
  <c r="J16" i="17"/>
  <c r="I16" i="22"/>
  <c r="F11" i="42"/>
  <c r="E11" i="41"/>
  <c r="D55" i="43"/>
  <c r="D15" i="43"/>
  <c r="D21" i="43" s="1"/>
  <c r="E20" i="42"/>
  <c r="E15" i="42"/>
  <c r="D22" i="41"/>
  <c r="L19" i="27" s="1"/>
  <c r="E15" i="41"/>
  <c r="E10" i="42"/>
  <c r="D22" i="16"/>
  <c r="F22" i="16" s="1"/>
  <c r="E22" i="16" s="1"/>
  <c r="E19" i="41"/>
  <c r="F18" i="26"/>
  <c r="H19" i="16"/>
  <c r="J19" i="16" s="1"/>
  <c r="I19" i="16" s="1"/>
  <c r="H15" i="16"/>
  <c r="J15" i="16" s="1"/>
  <c r="I15" i="16" s="1"/>
  <c r="J17" i="19"/>
  <c r="J10" i="21"/>
  <c r="J19" i="20"/>
  <c r="F16" i="42"/>
  <c r="I13" i="20"/>
  <c r="C47" i="45"/>
  <c r="C61" i="45" s="1"/>
  <c r="I13" i="54"/>
  <c r="F16" i="26"/>
  <c r="F15" i="26"/>
  <c r="H16" i="27"/>
  <c r="O16" i="27"/>
  <c r="N16" i="27"/>
  <c r="F15" i="27"/>
  <c r="O15" i="27"/>
  <c r="N15" i="27"/>
  <c r="J11" i="27"/>
  <c r="N11" i="27"/>
  <c r="O11" i="27"/>
  <c r="M14" i="27"/>
  <c r="N14" i="27"/>
  <c r="O14" i="27"/>
  <c r="E12" i="27"/>
  <c r="N12" i="27"/>
  <c r="O12" i="27"/>
  <c r="F10" i="27"/>
  <c r="N10" i="27"/>
  <c r="O10" i="27"/>
  <c r="M17" i="27"/>
  <c r="O17" i="27"/>
  <c r="N17" i="27"/>
  <c r="I18" i="27"/>
  <c r="O18" i="27"/>
  <c r="N18" i="27"/>
  <c r="K8" i="27"/>
  <c r="O8" i="27"/>
  <c r="N8" i="27"/>
  <c r="I7" i="27"/>
  <c r="J7" i="27"/>
  <c r="N7" i="27"/>
  <c r="O7" i="27"/>
  <c r="L7" i="27"/>
  <c r="N13" i="27"/>
  <c r="O13" i="27"/>
  <c r="M9" i="27"/>
  <c r="N9" i="27"/>
  <c r="O9" i="27"/>
  <c r="J12" i="54"/>
  <c r="I20" i="54"/>
  <c r="C57" i="45"/>
  <c r="I11" i="23"/>
  <c r="J15" i="19"/>
  <c r="I16" i="54"/>
  <c r="I13" i="22"/>
  <c r="J15" i="20"/>
  <c r="J19" i="23"/>
  <c r="F15" i="24"/>
  <c r="I19" i="54"/>
  <c r="I20" i="53"/>
  <c r="J18" i="17"/>
  <c r="K60" i="45"/>
  <c r="J18" i="54"/>
  <c r="I14" i="19"/>
  <c r="J11" i="53"/>
  <c r="I12" i="19"/>
  <c r="I10" i="17"/>
  <c r="F14" i="26"/>
  <c r="E19" i="24"/>
  <c r="J11" i="17"/>
  <c r="I14" i="54"/>
  <c r="J11" i="54"/>
  <c r="I11" i="54"/>
  <c r="I21" i="54"/>
  <c r="J21" i="54"/>
  <c r="J22" i="54"/>
  <c r="J21" i="17"/>
  <c r="I17" i="53"/>
  <c r="D22" i="24"/>
  <c r="E22" i="24" s="1"/>
  <c r="J21" i="21"/>
  <c r="K52" i="45"/>
  <c r="I18" i="22"/>
  <c r="J20" i="20"/>
  <c r="J11" i="22"/>
  <c r="I21" i="22"/>
  <c r="I19" i="53"/>
  <c r="J15" i="22"/>
  <c r="I12" i="22"/>
  <c r="I19" i="19"/>
  <c r="F10" i="26"/>
  <c r="I21" i="53"/>
  <c r="J21" i="53"/>
  <c r="G45" i="43"/>
  <c r="G60" i="43" s="1"/>
  <c r="L50" i="43"/>
  <c r="N55" i="43"/>
  <c r="G15" i="43"/>
  <c r="G21" i="43" s="1"/>
  <c r="G24" i="43" s="1"/>
  <c r="G50" i="43" s="1"/>
  <c r="C59" i="43"/>
  <c r="K45" i="43"/>
  <c r="K15" i="43"/>
  <c r="K21" i="43" s="1"/>
  <c r="K24" i="43" s="1"/>
  <c r="C58" i="43"/>
  <c r="J15" i="17"/>
  <c r="I19" i="29"/>
  <c r="F63" i="45"/>
  <c r="D16" i="44" s="1"/>
  <c r="G61" i="45"/>
  <c r="M15" i="45"/>
  <c r="M21" i="45" s="1"/>
  <c r="M24" i="45" s="1"/>
  <c r="M52" i="45" s="1"/>
  <c r="M57" i="45"/>
  <c r="J18" i="29"/>
  <c r="I21" i="29"/>
  <c r="E16" i="24"/>
  <c r="I22" i="53"/>
  <c r="J22" i="53"/>
  <c r="I10" i="53"/>
  <c r="J10" i="53"/>
  <c r="I17" i="23"/>
  <c r="E11" i="24"/>
  <c r="J16" i="29"/>
  <c r="F17" i="24"/>
  <c r="M7" i="27"/>
  <c r="J21" i="19"/>
  <c r="I19" i="21"/>
  <c r="I21" i="23"/>
  <c r="E10" i="24"/>
  <c r="J17" i="17"/>
  <c r="I20" i="23"/>
  <c r="I19" i="17"/>
  <c r="F12" i="24"/>
  <c r="K7" i="27"/>
  <c r="F7" i="27"/>
  <c r="E22" i="42"/>
  <c r="J60" i="45"/>
  <c r="B51" i="32"/>
  <c r="J16" i="23"/>
  <c r="I15" i="29"/>
  <c r="I14" i="21"/>
  <c r="G7" i="27"/>
  <c r="D7" i="27"/>
  <c r="H7" i="27"/>
  <c r="E7" i="27"/>
  <c r="J61" i="45"/>
  <c r="G60" i="45"/>
  <c r="I57" i="45"/>
  <c r="J57" i="45"/>
  <c r="J15" i="45"/>
  <c r="J21" i="45" s="1"/>
  <c r="J24" i="45" s="1"/>
  <c r="E21" i="26"/>
  <c r="J12" i="27"/>
  <c r="K15" i="27"/>
  <c r="P22" i="11"/>
  <c r="F13" i="26"/>
  <c r="N45" i="43"/>
  <c r="N58" i="43" s="1"/>
  <c r="O12" i="43"/>
  <c r="O45" i="43" s="1"/>
  <c r="H40" i="43"/>
  <c r="J20" i="21"/>
  <c r="J20" i="22"/>
  <c r="G9" i="27"/>
  <c r="N60" i="45"/>
  <c r="N61" i="45"/>
  <c r="J20" i="29"/>
  <c r="H59" i="43"/>
  <c r="H60" i="43"/>
  <c r="H58" i="43"/>
  <c r="E17" i="26"/>
  <c r="K12" i="27"/>
  <c r="I17" i="20"/>
  <c r="M10" i="27"/>
  <c r="H22" i="20"/>
  <c r="J22" i="20" s="1"/>
  <c r="J14" i="20"/>
  <c r="J13" i="17"/>
  <c r="J16" i="20"/>
  <c r="E19" i="26"/>
  <c r="L14" i="27"/>
  <c r="H9" i="27"/>
  <c r="F14" i="27"/>
  <c r="I20" i="17"/>
  <c r="F11" i="26"/>
  <c r="L10" i="27"/>
  <c r="E21" i="24"/>
  <c r="I22" i="29"/>
  <c r="D10" i="27"/>
  <c r="E10" i="27"/>
  <c r="G10" i="27"/>
  <c r="G16" i="27"/>
  <c r="I19" i="22"/>
  <c r="F18" i="24"/>
  <c r="J14" i="29"/>
  <c r="F14" i="24"/>
  <c r="J14" i="22"/>
  <c r="I14" i="22"/>
  <c r="J22" i="17"/>
  <c r="I22" i="17"/>
  <c r="I12" i="17"/>
  <c r="J12" i="17"/>
  <c r="F8" i="27"/>
  <c r="M15" i="27"/>
  <c r="F12" i="27"/>
  <c r="D17" i="27"/>
  <c r="J17" i="27"/>
  <c r="J18" i="19"/>
  <c r="F17" i="27"/>
  <c r="L12" i="27"/>
  <c r="I12" i="27"/>
  <c r="G17" i="27"/>
  <c r="F20" i="26"/>
  <c r="E20" i="26"/>
  <c r="E12" i="26"/>
  <c r="F12" i="26"/>
  <c r="E20" i="24"/>
  <c r="F20" i="24"/>
  <c r="J10" i="23"/>
  <c r="I10" i="23"/>
  <c r="I18" i="20"/>
  <c r="I11" i="19"/>
  <c r="J11" i="19"/>
  <c r="J20" i="19"/>
  <c r="I20" i="19"/>
  <c r="J13" i="29"/>
  <c r="I13" i="29"/>
  <c r="J14" i="17"/>
  <c r="I14" i="17"/>
  <c r="D18" i="27"/>
  <c r="M12" i="27"/>
  <c r="D12" i="27"/>
  <c r="I17" i="27"/>
  <c r="K17" i="27"/>
  <c r="L17" i="27"/>
  <c r="H12" i="27"/>
  <c r="G12" i="27"/>
  <c r="E17" i="27"/>
  <c r="H17" i="27"/>
  <c r="F16" i="27"/>
  <c r="I15" i="45"/>
  <c r="I21" i="45" s="1"/>
  <c r="I24" i="45" s="1"/>
  <c r="I26" i="45" s="1"/>
  <c r="E52" i="45"/>
  <c r="E26" i="45"/>
  <c r="L26" i="45"/>
  <c r="L52" i="45"/>
  <c r="E62" i="45"/>
  <c r="E61" i="45"/>
  <c r="L61" i="45"/>
  <c r="L62" i="45"/>
  <c r="L60" i="45"/>
  <c r="K32" i="45"/>
  <c r="K35" i="45" s="1"/>
  <c r="K37" i="45" s="1"/>
  <c r="K53" i="45"/>
  <c r="H26" i="45"/>
  <c r="H52" i="45"/>
  <c r="C24" i="45"/>
  <c r="G53" i="45"/>
  <c r="G32" i="45"/>
  <c r="G35" i="45" s="1"/>
  <c r="G37" i="45" s="1"/>
  <c r="I62" i="45"/>
  <c r="I60" i="45"/>
  <c r="I61" i="45"/>
  <c r="D12" i="45"/>
  <c r="D56" i="45"/>
  <c r="O9" i="45"/>
  <c r="D46" i="45"/>
  <c r="N53" i="45"/>
  <c r="N32" i="45"/>
  <c r="N35" i="45" s="1"/>
  <c r="N37" i="45" s="1"/>
  <c r="H62" i="45"/>
  <c r="H61" i="45"/>
  <c r="H60" i="45"/>
  <c r="M62" i="45"/>
  <c r="M60" i="45"/>
  <c r="O45" i="45"/>
  <c r="O55" i="45"/>
  <c r="O58" i="45"/>
  <c r="F22" i="20"/>
  <c r="E22" i="20"/>
  <c r="J12" i="20"/>
  <c r="I12" i="20"/>
  <c r="H15" i="27"/>
  <c r="E8" i="27"/>
  <c r="D8" i="27"/>
  <c r="E15" i="27"/>
  <c r="L8" i="27"/>
  <c r="I8" i="27"/>
  <c r="J15" i="27"/>
  <c r="G15" i="27"/>
  <c r="K16" i="27"/>
  <c r="L18" i="27"/>
  <c r="I15" i="27"/>
  <c r="M18" i="27"/>
  <c r="H8" i="27"/>
  <c r="J8" i="27"/>
  <c r="E18" i="27"/>
  <c r="B19" i="27"/>
  <c r="H18" i="27"/>
  <c r="D16" i="27"/>
  <c r="L15" i="27"/>
  <c r="D15" i="27"/>
  <c r="M16" i="27"/>
  <c r="L16" i="27"/>
  <c r="G8" i="27"/>
  <c r="M8" i="27"/>
  <c r="I16" i="27"/>
  <c r="J18" i="27"/>
  <c r="G18" i="27"/>
  <c r="D11" i="27"/>
  <c r="J14" i="27"/>
  <c r="H11" i="27"/>
  <c r="I11" i="27"/>
  <c r="L11" i="27"/>
  <c r="F11" i="27"/>
  <c r="E11" i="27"/>
  <c r="K14" i="27"/>
  <c r="E14" i="27"/>
  <c r="G11" i="27"/>
  <c r="M11" i="27"/>
  <c r="I9" i="27"/>
  <c r="L9" i="27"/>
  <c r="F9" i="27"/>
  <c r="D14" i="27"/>
  <c r="H10" i="27"/>
  <c r="J10" i="27"/>
  <c r="I10" i="27"/>
  <c r="K9" i="27"/>
  <c r="I14" i="27"/>
  <c r="J9" i="27"/>
  <c r="G14" i="27"/>
  <c r="I22" i="22"/>
  <c r="H14" i="27"/>
  <c r="J16" i="27"/>
  <c r="K10" i="27"/>
  <c r="K18" i="27"/>
  <c r="E9" i="27"/>
  <c r="D9" i="27"/>
  <c r="F18" i="27"/>
  <c r="K11" i="27"/>
  <c r="E16" i="27"/>
  <c r="L13" i="27"/>
  <c r="E13" i="27"/>
  <c r="H13" i="27"/>
  <c r="D13" i="27"/>
  <c r="G13" i="27"/>
  <c r="I13" i="27"/>
  <c r="K13" i="27"/>
  <c r="J13" i="27"/>
  <c r="F13" i="27"/>
  <c r="M13" i="27"/>
  <c r="I22" i="23"/>
  <c r="J22" i="19"/>
  <c r="I22" i="21"/>
  <c r="I13" i="21"/>
  <c r="J13" i="21"/>
  <c r="F13" i="24"/>
  <c r="E13" i="24"/>
  <c r="E50" i="43"/>
  <c r="E26" i="43"/>
  <c r="E60" i="43"/>
  <c r="E58" i="43"/>
  <c r="E59" i="43"/>
  <c r="L51" i="43"/>
  <c r="L32" i="43"/>
  <c r="L35" i="43" s="1"/>
  <c r="L37" i="43" s="1"/>
  <c r="L61" i="43"/>
  <c r="C19" i="44" s="1"/>
  <c r="N50" i="43"/>
  <c r="N26" i="43"/>
  <c r="I50" i="43"/>
  <c r="I26" i="43"/>
  <c r="C26" i="43"/>
  <c r="C50" i="43"/>
  <c r="M59" i="43"/>
  <c r="M60" i="43"/>
  <c r="M58" i="43"/>
  <c r="O44" i="43"/>
  <c r="O54" i="43"/>
  <c r="F55" i="43"/>
  <c r="F45" i="43"/>
  <c r="F15" i="43"/>
  <c r="F21" i="43" s="1"/>
  <c r="F24" i="43" s="1"/>
  <c r="J26" i="43"/>
  <c r="J50" i="43"/>
  <c r="O52" i="43"/>
  <c r="K52" i="43"/>
  <c r="E52" i="43"/>
  <c r="D52" i="43"/>
  <c r="I52" i="43"/>
  <c r="C52" i="43"/>
  <c r="J52" i="43"/>
  <c r="M52" i="43"/>
  <c r="L52" i="43"/>
  <c r="N52" i="43"/>
  <c r="G52" i="43"/>
  <c r="H52" i="43"/>
  <c r="J58" i="43"/>
  <c r="J60" i="43"/>
  <c r="J59" i="43"/>
  <c r="I60" i="43"/>
  <c r="I58" i="43"/>
  <c r="I59" i="43"/>
  <c r="D58" i="43"/>
  <c r="D59" i="43"/>
  <c r="D60" i="43"/>
  <c r="M26" i="43"/>
  <c r="M50" i="43"/>
  <c r="Q10" i="11"/>
  <c r="Q22" i="11" s="1"/>
  <c r="R22" i="11"/>
  <c r="J42" i="20" l="1"/>
  <c r="P19" i="27"/>
  <c r="F22" i="26"/>
  <c r="E22" i="41"/>
  <c r="F22" i="41"/>
  <c r="H22" i="16"/>
  <c r="J22" i="16" s="1"/>
  <c r="I22" i="16" s="1"/>
  <c r="C62" i="45"/>
  <c r="C60" i="45"/>
  <c r="K63" i="45"/>
  <c r="D12" i="44" s="1"/>
  <c r="G63" i="45"/>
  <c r="D14" i="44" s="1"/>
  <c r="G59" i="43"/>
  <c r="G58" i="43"/>
  <c r="M26" i="45"/>
  <c r="M53" i="45" s="1"/>
  <c r="J63" i="45"/>
  <c r="D11" i="44" s="1"/>
  <c r="C61" i="43"/>
  <c r="C10" i="44" s="1"/>
  <c r="N60" i="43"/>
  <c r="N59" i="43"/>
  <c r="G26" i="43"/>
  <c r="G51" i="43" s="1"/>
  <c r="K26" i="43"/>
  <c r="K50" i="43"/>
  <c r="K60" i="43"/>
  <c r="K58" i="43"/>
  <c r="K59" i="43"/>
  <c r="E63" i="45"/>
  <c r="D18" i="44" s="1"/>
  <c r="O55" i="43"/>
  <c r="N63" i="45"/>
  <c r="D21" i="44" s="1"/>
  <c r="I52" i="45"/>
  <c r="J26" i="45"/>
  <c r="J52" i="45"/>
  <c r="H61" i="43"/>
  <c r="C15" i="44" s="1"/>
  <c r="I22" i="20"/>
  <c r="E61" i="43"/>
  <c r="C18" i="44" s="1"/>
  <c r="O15" i="43"/>
  <c r="L63" i="45"/>
  <c r="D19" i="44" s="1"/>
  <c r="E19" i="44" s="1"/>
  <c r="F19" i="27"/>
  <c r="H63" i="45"/>
  <c r="D15" i="44" s="1"/>
  <c r="J19" i="27"/>
  <c r="L32" i="45"/>
  <c r="L35" i="45" s="1"/>
  <c r="L37" i="45" s="1"/>
  <c r="L53" i="45"/>
  <c r="E53" i="45"/>
  <c r="E32" i="45"/>
  <c r="E35" i="45" s="1"/>
  <c r="E37" i="45" s="1"/>
  <c r="J54" i="45"/>
  <c r="L54" i="45"/>
  <c r="E54" i="45"/>
  <c r="O54" i="45"/>
  <c r="M54" i="45"/>
  <c r="C54" i="45"/>
  <c r="N54" i="45"/>
  <c r="H54" i="45"/>
  <c r="I54" i="45"/>
  <c r="K54" i="45"/>
  <c r="F54" i="45"/>
  <c r="G54" i="45"/>
  <c r="I63" i="45"/>
  <c r="D17" i="44" s="1"/>
  <c r="D54" i="45"/>
  <c r="K39" i="45"/>
  <c r="K40" i="45"/>
  <c r="D47" i="45"/>
  <c r="D15" i="45"/>
  <c r="D57" i="45"/>
  <c r="O12" i="45"/>
  <c r="O46" i="45"/>
  <c r="O56" i="45"/>
  <c r="M63" i="45"/>
  <c r="D13" i="44" s="1"/>
  <c r="N39" i="45"/>
  <c r="N40" i="45"/>
  <c r="G40" i="45"/>
  <c r="G39" i="45"/>
  <c r="C26" i="45"/>
  <c r="C52" i="45"/>
  <c r="H53" i="45"/>
  <c r="H32" i="45"/>
  <c r="H35" i="45" s="1"/>
  <c r="H37" i="45" s="1"/>
  <c r="I32" i="45"/>
  <c r="I35" i="45" s="1"/>
  <c r="I37" i="45" s="1"/>
  <c r="I53" i="45"/>
  <c r="D19" i="27"/>
  <c r="H19" i="27"/>
  <c r="F22" i="24"/>
  <c r="M61" i="43"/>
  <c r="C13" i="44" s="1"/>
  <c r="E32" i="43"/>
  <c r="E35" i="43" s="1"/>
  <c r="E37" i="43" s="1"/>
  <c r="E51" i="43"/>
  <c r="D61" i="43"/>
  <c r="C20" i="44" s="1"/>
  <c r="L39" i="43"/>
  <c r="L40" i="43"/>
  <c r="I61" i="43"/>
  <c r="C17" i="44" s="1"/>
  <c r="J61" i="43"/>
  <c r="C11" i="44" s="1"/>
  <c r="J32" i="43"/>
  <c r="J35" i="43" s="1"/>
  <c r="J37" i="43" s="1"/>
  <c r="J51" i="43"/>
  <c r="F26" i="43"/>
  <c r="F50" i="43"/>
  <c r="C32" i="43"/>
  <c r="C51" i="43"/>
  <c r="N32" i="43"/>
  <c r="N35" i="43" s="1"/>
  <c r="N37" i="43" s="1"/>
  <c r="N51" i="43"/>
  <c r="D24" i="43"/>
  <c r="O21" i="43"/>
  <c r="F59" i="43"/>
  <c r="F60" i="43"/>
  <c r="F58" i="43"/>
  <c r="I51" i="43"/>
  <c r="I32" i="43"/>
  <c r="I35" i="43" s="1"/>
  <c r="I37" i="43" s="1"/>
  <c r="M32" i="43"/>
  <c r="M35" i="43" s="1"/>
  <c r="M37" i="43" s="1"/>
  <c r="M40" i="43" s="1"/>
  <c r="M51" i="43"/>
  <c r="O58" i="43"/>
  <c r="O60" i="43"/>
  <c r="O59" i="43"/>
  <c r="G61" i="43" l="1"/>
  <c r="C14" i="44" s="1"/>
  <c r="E14" i="44" s="1"/>
  <c r="C63" i="45"/>
  <c r="D10" i="44" s="1"/>
  <c r="E10" i="44" s="1"/>
  <c r="M32" i="45"/>
  <c r="M35" i="45" s="1"/>
  <c r="M37" i="45" s="1"/>
  <c r="M40" i="45" s="1"/>
  <c r="N61" i="43"/>
  <c r="C21" i="44" s="1"/>
  <c r="F21" i="44" s="1"/>
  <c r="G32" i="43"/>
  <c r="G35" i="43" s="1"/>
  <c r="G37" i="43" s="1"/>
  <c r="G39" i="43" s="1"/>
  <c r="E11" i="44"/>
  <c r="F18" i="44"/>
  <c r="K61" i="43"/>
  <c r="C12" i="44" s="1"/>
  <c r="E12" i="44" s="1"/>
  <c r="K51" i="43"/>
  <c r="K32" i="43"/>
  <c r="K35" i="43" s="1"/>
  <c r="K37" i="43" s="1"/>
  <c r="E18" i="44"/>
  <c r="J32" i="45"/>
  <c r="J35" i="45" s="1"/>
  <c r="J37" i="45" s="1"/>
  <c r="J53" i="45"/>
  <c r="F19" i="44"/>
  <c r="F61" i="43"/>
  <c r="C16" i="44" s="1"/>
  <c r="F16" i="44" s="1"/>
  <c r="E13" i="44"/>
  <c r="F17" i="44"/>
  <c r="F15" i="44"/>
  <c r="E15" i="44"/>
  <c r="L39" i="45"/>
  <c r="L40" i="45"/>
  <c r="E40" i="45"/>
  <c r="E39" i="45"/>
  <c r="F13" i="44"/>
  <c r="E17" i="44"/>
  <c r="H40" i="45"/>
  <c r="H39" i="45"/>
  <c r="C53" i="45"/>
  <c r="C32" i="45"/>
  <c r="O47" i="45"/>
  <c r="O57" i="45"/>
  <c r="D21" i="45"/>
  <c r="O15" i="45"/>
  <c r="I39" i="45"/>
  <c r="I40" i="45"/>
  <c r="D62" i="45"/>
  <c r="D61" i="45"/>
  <c r="D60" i="45"/>
  <c r="E39" i="43"/>
  <c r="E40" i="43"/>
  <c r="F11" i="44"/>
  <c r="O61" i="43"/>
  <c r="C22" i="44" s="1"/>
  <c r="I39" i="43"/>
  <c r="I40" i="43"/>
  <c r="C35" i="43"/>
  <c r="D50" i="43"/>
  <c r="D26" i="43"/>
  <c r="O24" i="43"/>
  <c r="O50" i="43" s="1"/>
  <c r="N39" i="43"/>
  <c r="N40" i="43"/>
  <c r="F51" i="43"/>
  <c r="F32" i="43"/>
  <c r="F35" i="43" s="1"/>
  <c r="F37" i="43" s="1"/>
  <c r="J40" i="43"/>
  <c r="J39" i="43"/>
  <c r="F14" i="44" l="1"/>
  <c r="F10" i="44"/>
  <c r="E21" i="44"/>
  <c r="G40" i="43"/>
  <c r="F12" i="44"/>
  <c r="K40" i="43"/>
  <c r="K39" i="43"/>
  <c r="J40" i="45"/>
  <c r="J39" i="45"/>
  <c r="E16" i="44"/>
  <c r="D63" i="45"/>
  <c r="D20" i="44" s="1"/>
  <c r="E20" i="44" s="1"/>
  <c r="D24" i="45"/>
  <c r="O21" i="45"/>
  <c r="C35" i="45"/>
  <c r="O62" i="45"/>
  <c r="O61" i="45"/>
  <c r="O60" i="45"/>
  <c r="D51" i="43"/>
  <c r="D32" i="43"/>
  <c r="O26" i="43"/>
  <c r="O51" i="43" s="1"/>
  <c r="F39" i="43"/>
  <c r="F40" i="43"/>
  <c r="C37" i="43"/>
  <c r="F20" i="44" l="1"/>
  <c r="C37" i="45"/>
  <c r="O63" i="45"/>
  <c r="D22" i="44" s="1"/>
  <c r="D52" i="45"/>
  <c r="D26" i="45"/>
  <c r="O24" i="45"/>
  <c r="O52" i="45" s="1"/>
  <c r="D35" i="43"/>
  <c r="O32" i="43"/>
  <c r="C39" i="43"/>
  <c r="C40" i="43"/>
  <c r="C39" i="45" l="1"/>
  <c r="C40" i="45"/>
  <c r="F22" i="44"/>
  <c r="E22" i="44"/>
  <c r="D32" i="45"/>
  <c r="D53" i="45"/>
  <c r="O26" i="45"/>
  <c r="O53" i="45" s="1"/>
  <c r="D37" i="43"/>
  <c r="O35" i="43"/>
  <c r="D35" i="45" l="1"/>
  <c r="O32" i="45"/>
  <c r="D39" i="43"/>
  <c r="D40" i="43"/>
  <c r="O37" i="43"/>
  <c r="O40" i="43" s="1"/>
  <c r="D37" i="45" l="1"/>
  <c r="O35" i="45"/>
  <c r="D40" i="45" l="1"/>
  <c r="D39" i="45"/>
  <c r="O37" i="45"/>
  <c r="O40" i="45" s="1"/>
</calcChain>
</file>

<file path=xl/sharedStrings.xml><?xml version="1.0" encoding="utf-8"?>
<sst xmlns="http://schemas.openxmlformats.org/spreadsheetml/2006/main" count="2349" uniqueCount="385">
  <si>
    <t>Sector Asegurador Hondureño</t>
  </si>
  <si>
    <t>Situación de Primas y Siniestros por Ramo</t>
  </si>
  <si>
    <t>(Valores en millones de Lempiras y Porcentajes)</t>
  </si>
  <si>
    <t>1. Ramos Totales</t>
  </si>
  <si>
    <t>Rubro</t>
  </si>
  <si>
    <t>PRIMAS</t>
  </si>
  <si>
    <t>SINIESTROS</t>
  </si>
  <si>
    <t>Siniestros/Primas</t>
  </si>
  <si>
    <t>Participación de mercado</t>
  </si>
  <si>
    <t>Relativa</t>
  </si>
  <si>
    <t>Absoluta</t>
  </si>
  <si>
    <t>Vida</t>
  </si>
  <si>
    <t>Vida Individual</t>
  </si>
  <si>
    <t>Vida Colectivo</t>
  </si>
  <si>
    <t>Accidentes y Enfermedades</t>
  </si>
  <si>
    <t>Accidentes Personales</t>
  </si>
  <si>
    <t>Salud y Hospitalización</t>
  </si>
  <si>
    <t>Seguros Generales</t>
  </si>
  <si>
    <t>Incendio y Líneas Aliadas</t>
  </si>
  <si>
    <t>Vehículos Automotores</t>
  </si>
  <si>
    <t>Otros Seguros Generales</t>
  </si>
  <si>
    <t>Fianzas</t>
  </si>
  <si>
    <t>Totales</t>
  </si>
  <si>
    <t>Crecimiento Real</t>
  </si>
  <si>
    <t>2. Vida</t>
  </si>
  <si>
    <t>No.</t>
  </si>
  <si>
    <t>Compañía</t>
  </si>
  <si>
    <t>Primas</t>
  </si>
  <si>
    <t>Siniestros</t>
  </si>
  <si>
    <t>Total general</t>
  </si>
  <si>
    <t>3. Accidentes y Enfermedades</t>
  </si>
  <si>
    <t>4. Incendio y Líneas Aliadas</t>
  </si>
  <si>
    <t>5. Vehículos Automotores</t>
  </si>
  <si>
    <t>6. Otros Seguros Generales</t>
  </si>
  <si>
    <t>6.1 Transporte (Terrestre, Marítimo y Aéreo)</t>
  </si>
  <si>
    <t>6.2 Responsabilidad Civil</t>
  </si>
  <si>
    <t>6.3 Equipo Electrónico</t>
  </si>
  <si>
    <t>7. Fianzas</t>
  </si>
  <si>
    <t>8. Primas y Siniestros Totales</t>
  </si>
  <si>
    <t>PARTICIPACIÓN DE MERCADO</t>
  </si>
  <si>
    <t>10. Primas y Siniestros Segmentado por Seguros No Vida</t>
  </si>
  <si>
    <t>Seguros No Vida incluye: Accidentes y Enfermedades, Incendio y Lineas Aliadas, Vehiculos Automotores, Otros seguros Generales y Fianzas.</t>
  </si>
  <si>
    <t>Principales Cuentas Contables e Indicadores Financieros</t>
  </si>
  <si>
    <t>1. Utilidad</t>
  </si>
  <si>
    <t>Período</t>
  </si>
  <si>
    <t>Variación</t>
  </si>
  <si>
    <t>Utilidad/Primas</t>
  </si>
  <si>
    <t>2023</t>
  </si>
  <si>
    <t>2. Ingresos Financieros</t>
  </si>
  <si>
    <t>Ingresos Financieros/Primas</t>
  </si>
  <si>
    <t>3. Reserva Técnica y Matemática</t>
  </si>
  <si>
    <t>Reservas Matemáticas/Primas</t>
  </si>
  <si>
    <t>4. Primas Por Cobrar</t>
  </si>
  <si>
    <t>No</t>
  </si>
  <si>
    <t>Primas por Cobrar / Primas</t>
  </si>
  <si>
    <t>5. Activos Totales</t>
  </si>
  <si>
    <t>Primas/Activos Totales</t>
  </si>
  <si>
    <t>NOTA: No incluye Activos Contingentes</t>
  </si>
  <si>
    <t>6. Patrimonio</t>
  </si>
  <si>
    <t>Patrimonio / Primas</t>
  </si>
  <si>
    <t xml:space="preserve">7. Primas Cedidas </t>
  </si>
  <si>
    <t>Primas Cedidas/Primas</t>
  </si>
  <si>
    <t>8. Gastos de Adquisición</t>
  </si>
  <si>
    <t>GAN / Primas</t>
  </si>
  <si>
    <t>9. Siniestralidad Retenida</t>
  </si>
  <si>
    <t>Siniestralidad Retenida: (Siniestros totales - siniestros recuperados )/(Primas Totales - Primas Cedidas)</t>
  </si>
  <si>
    <t>10. Índice de Solidez (Patrimonio/Activos Totales)</t>
  </si>
  <si>
    <t>Variación
Absoluta</t>
  </si>
  <si>
    <t>PATRIMONIO MARZO18</t>
  </si>
  <si>
    <t>ATLANTIDA</t>
  </si>
  <si>
    <t>FICOHSA</t>
  </si>
  <si>
    <t>CONTINENTAL</t>
  </si>
  <si>
    <t>BOLIVAR</t>
  </si>
  <si>
    <t>MAPFRE</t>
  </si>
  <si>
    <t>PALIC</t>
  </si>
  <si>
    <t>DEL PAÍS</t>
  </si>
  <si>
    <t>CREFISA</t>
  </si>
  <si>
    <t>LAFISE</t>
  </si>
  <si>
    <t>EQUIDAD</t>
  </si>
  <si>
    <t>BANRURAL</t>
  </si>
  <si>
    <t>AIG</t>
  </si>
  <si>
    <t>SISTEMA ASEGURADOR DE HONDURAS</t>
  </si>
  <si>
    <t>BALANCE GENERAL CONDENSADO</t>
  </si>
  <si>
    <t>Al 31 de Marzo del 2016</t>
  </si>
  <si>
    <t>(En Miles de lempiras)</t>
  </si>
  <si>
    <t>ACTIVO</t>
  </si>
  <si>
    <t xml:space="preserve">AIG </t>
  </si>
  <si>
    <t xml:space="preserve"> CREFISA</t>
  </si>
  <si>
    <t>DAVIVIENDA</t>
  </si>
  <si>
    <t xml:space="preserve"> DEL PAIS</t>
  </si>
  <si>
    <t>Total Patrimonio</t>
  </si>
  <si>
    <t>Total Activo (neto)</t>
  </si>
  <si>
    <t>CORRECTO 02/06/16</t>
  </si>
  <si>
    <t>INDICE DE SOLIDEZ</t>
  </si>
  <si>
    <t>patr/activos</t>
  </si>
  <si>
    <t>CUSCATLAN</t>
  </si>
  <si>
    <t>CHARTIS</t>
  </si>
  <si>
    <t>11. Índice Eficiencia Administrativa (Gastos de Administración/Primas Totales)</t>
  </si>
  <si>
    <t>Valores en porcentajes</t>
  </si>
  <si>
    <t>12. Rendimiento sobre Inversión (ROE)</t>
  </si>
  <si>
    <t>ROE = Resultado del Ejercicio / Patrimonio</t>
  </si>
  <si>
    <t>13. Rendimiento sobre los Activos (ROA)</t>
  </si>
  <si>
    <t>ROA = Resultado del período / Activos</t>
  </si>
  <si>
    <t>14. Índice Combinado (Siniestralidad Retenida + Gastos de Adquisición + Índice de Eficiencia Administrativa)</t>
  </si>
  <si>
    <t>Ranking del Sistema Asegurador Hondureño</t>
  </si>
  <si>
    <t>COMPAÑIA</t>
  </si>
  <si>
    <t>PRIMAS TOTALES</t>
  </si>
  <si>
    <t>ACTIVOS TOTALES</t>
  </si>
  <si>
    <t>RESERVAS TÉCNICAS Y MATEMÁTICAS</t>
  </si>
  <si>
    <t>PATRIMONIO</t>
  </si>
  <si>
    <t>UTILIDADES</t>
  </si>
  <si>
    <t>ROE</t>
  </si>
  <si>
    <t>SALDO</t>
  </si>
  <si>
    <t>POSICIÓN</t>
  </si>
  <si>
    <t xml:space="preserve">SALDO </t>
  </si>
  <si>
    <t>4</t>
  </si>
  <si>
    <t>Expresado en miles de Lempiras</t>
  </si>
  <si>
    <t>CTA</t>
  </si>
  <si>
    <t>DESCRIPCION</t>
  </si>
  <si>
    <t>SEGUROS DAVIVIENDA</t>
  </si>
  <si>
    <t>MAPFRE SEGUROS</t>
  </si>
  <si>
    <t>FICOHSA SEGUROS</t>
  </si>
  <si>
    <t>SEGUROS ATLÁNTIDA</t>
  </si>
  <si>
    <t>SEGUROS EQUIDAD</t>
  </si>
  <si>
    <t>SEGUROS DEL PAÍS</t>
  </si>
  <si>
    <t>SEGUROS LAFISE</t>
  </si>
  <si>
    <t>ASSA CIA. DE SEGUROS</t>
  </si>
  <si>
    <t>SEGUROS CONTINENTAL</t>
  </si>
  <si>
    <t>TOTAL</t>
  </si>
  <si>
    <t xml:space="preserve">Devoluciones y Cancelaciones de Primas </t>
  </si>
  <si>
    <t>Primas Netas</t>
  </si>
  <si>
    <t>Primas cedidas</t>
  </si>
  <si>
    <t>Primas Netas de Retención</t>
  </si>
  <si>
    <t>Variación en las Reservas Técnicas</t>
  </si>
  <si>
    <t>Primas Netas Devengadas</t>
  </si>
  <si>
    <t>Comisiones y Participaciones por Reaseguro Cedido</t>
  </si>
  <si>
    <t>Gastos de Intermediación</t>
  </si>
  <si>
    <t>Margen de Aseguramiento</t>
  </si>
  <si>
    <t>Siniestros y Gastos de Liquidación Recuperados</t>
  </si>
  <si>
    <t>Salvamentos y Recuperaciones</t>
  </si>
  <si>
    <t>Siniestros y Gastos de Liquidación</t>
  </si>
  <si>
    <t>Participaciones de Reaseguradores y Reafianzadores</t>
  </si>
  <si>
    <t>Siniestros Netos</t>
  </si>
  <si>
    <t>Margen Técnico</t>
  </si>
  <si>
    <t>Ingresos Técnicos Diversos</t>
  </si>
  <si>
    <t>Gastos Técnicos Diversos</t>
  </si>
  <si>
    <t>Resultado Técnico</t>
  </si>
  <si>
    <t>Gastos de Administración</t>
  </si>
  <si>
    <t>Resultado de Operación</t>
  </si>
  <si>
    <t xml:space="preserve">Ingresos Financieros </t>
  </si>
  <si>
    <t>Gastos Financieros</t>
  </si>
  <si>
    <t>Margen Financiero</t>
  </si>
  <si>
    <t>Otros Ingresos</t>
  </si>
  <si>
    <t>Otros Gastos</t>
  </si>
  <si>
    <t>Resultado Financiero</t>
  </si>
  <si>
    <t>Ingresos de Ejercicios Anteriores</t>
  </si>
  <si>
    <t xml:space="preserve">Gastos de Ejercicios Anteriores </t>
  </si>
  <si>
    <t>Utilidad (Pérdida) Antes de Impuesto sobre la Renta</t>
  </si>
  <si>
    <t>Impuesto sobre la Renta</t>
  </si>
  <si>
    <t>Utilidad (Pérdida) Neta</t>
  </si>
  <si>
    <t>Indicadores</t>
  </si>
  <si>
    <t>PRIMAS NETAS</t>
  </si>
  <si>
    <t>PRIMAS RETENIDAS</t>
  </si>
  <si>
    <t>PRIMA NETA DEVENGADA</t>
  </si>
  <si>
    <t>SINIESTROS NETOS</t>
  </si>
  <si>
    <t>COMISIONES (pagadas - ganadas)</t>
  </si>
  <si>
    <t>GASTO ADMINISTRATIVO</t>
  </si>
  <si>
    <t>RESULTADO TECNICO (Gtos. - Ing. Técnicos)</t>
  </si>
  <si>
    <t>RESULTADO TÉCNICO (Margen de Cont.)</t>
  </si>
  <si>
    <t>RESULTADO OPERATIVO</t>
  </si>
  <si>
    <t>Market Share</t>
  </si>
  <si>
    <t>Ingresos Brutos (neto de dev. Y can.)</t>
  </si>
  <si>
    <t>Índice de Retención</t>
  </si>
  <si>
    <t>Devengamiento</t>
  </si>
  <si>
    <t>Comisiones Pagadas Intermediarios</t>
  </si>
  <si>
    <t>Comisiones Recibidas Reaseguro</t>
  </si>
  <si>
    <t>Índice de Siniestralidad</t>
  </si>
  <si>
    <t>Gastos de Suscripción</t>
  </si>
  <si>
    <t>Eficiencia Operativa</t>
  </si>
  <si>
    <t>Tasa Combinada</t>
  </si>
  <si>
    <t>INSTITUCIONES DE SEGUROS */</t>
  </si>
  <si>
    <t>(Miles de Lempiras)</t>
  </si>
  <si>
    <t>Ramos</t>
  </si>
  <si>
    <t>Accidentes Escolares</t>
  </si>
  <si>
    <t>Fidelidad</t>
  </si>
  <si>
    <t>Garantía</t>
  </si>
  <si>
    <t>Otras Fianzas</t>
  </si>
  <si>
    <t>Agrícola</t>
  </si>
  <si>
    <t>Aviación</t>
  </si>
  <si>
    <t>Banqueros</t>
  </si>
  <si>
    <t>Calderas</t>
  </si>
  <si>
    <t>Casco Maritímo</t>
  </si>
  <si>
    <t>Crédito de la Exportación</t>
  </si>
  <si>
    <t>Dinero y Valores</t>
  </si>
  <si>
    <t>Equipo de Contratistas</t>
  </si>
  <si>
    <t>Equipo Electrónico</t>
  </si>
  <si>
    <t>Ganadero</t>
  </si>
  <si>
    <t>Lucro Cesante</t>
  </si>
  <si>
    <t>Montaje</t>
  </si>
  <si>
    <t>Otros Ramos</t>
  </si>
  <si>
    <t>Renta de Alquileres</t>
  </si>
  <si>
    <t>Responsabilidad Civil</t>
  </si>
  <si>
    <t>Riesgos Profesionales</t>
  </si>
  <si>
    <t>Robo y Hurto</t>
  </si>
  <si>
    <t>Rotura de Cristales</t>
  </si>
  <si>
    <t>Rotura de Maquinaria</t>
  </si>
  <si>
    <t>Transporte Aéreo</t>
  </si>
  <si>
    <t>Transporte Marítimo</t>
  </si>
  <si>
    <t>Transporte Terrestre</t>
  </si>
  <si>
    <t>Previsionales, Renta y Pensiones</t>
  </si>
  <si>
    <t>Otras Rentas</t>
  </si>
  <si>
    <t>Rentas de Invalidez y Sobrevivencia</t>
  </si>
  <si>
    <t>Sepelio</t>
  </si>
  <si>
    <t>Seguro de Vida</t>
  </si>
  <si>
    <t>Seguro de Sepelio</t>
  </si>
  <si>
    <t>Seguro Popular</t>
  </si>
  <si>
    <t>Incendio y Línea Aliadas</t>
  </si>
  <si>
    <t>Accidentes y Enfermadedes</t>
  </si>
  <si>
    <t>SINIESTROS TOTALES</t>
  </si>
  <si>
    <t>RAMOS</t>
  </si>
  <si>
    <t>Otras Finanzas</t>
  </si>
  <si>
    <t>Casco Marítimo</t>
  </si>
  <si>
    <t>Crédito a la Exportación</t>
  </si>
  <si>
    <t>Previsionales, Rentas y Pensiones</t>
  </si>
  <si>
    <t>Seguros de Vida</t>
  </si>
  <si>
    <t>**/ No incluye los saldos de la Cuenta 501015 "Siniestros Ocurridos y no Reportados".</t>
  </si>
  <si>
    <t>Periodo:</t>
  </si>
  <si>
    <t>Codigo Empresa</t>
  </si>
  <si>
    <t>01</t>
  </si>
  <si>
    <t>02</t>
  </si>
  <si>
    <t>03</t>
  </si>
  <si>
    <t>05</t>
  </si>
  <si>
    <t>06</t>
  </si>
  <si>
    <t>07</t>
  </si>
  <si>
    <t>08</t>
  </si>
  <si>
    <t>09</t>
  </si>
  <si>
    <t>Nombre Empresa</t>
  </si>
  <si>
    <t>ASSA</t>
  </si>
  <si>
    <t>SEGUROS DEL PAIS</t>
  </si>
  <si>
    <t>Salud y Hospital</t>
  </si>
  <si>
    <t>Crédito de la exportación</t>
  </si>
  <si>
    <t>Equipo de contratistas</t>
  </si>
  <si>
    <t>Equipo electrónico</t>
  </si>
  <si>
    <t>Renta de alquileres</t>
  </si>
  <si>
    <t>Riesgo Profesional</t>
  </si>
  <si>
    <t>Rotura de cristales</t>
  </si>
  <si>
    <t>Rotura de maquinaria</t>
  </si>
  <si>
    <t>Seguro de sepelio</t>
  </si>
  <si>
    <t>Incendio y lineas aliadas</t>
  </si>
  <si>
    <t>Vehículos automotores</t>
  </si>
  <si>
    <t>Primas totales</t>
  </si>
  <si>
    <t>Siniestros Accidentes y Enfermedades</t>
  </si>
  <si>
    <t>Siniestros Accidentes Escolares</t>
  </si>
  <si>
    <t>Siniestros Accidentes Personales</t>
  </si>
  <si>
    <t>Siniestros Salud y Hospital</t>
  </si>
  <si>
    <t>Siniestros Fianzas</t>
  </si>
  <si>
    <t>Siniestros Fidelidad</t>
  </si>
  <si>
    <t>Siniestros Garantía</t>
  </si>
  <si>
    <t>Siniestros Otras Fianzas</t>
  </si>
  <si>
    <t>Siniestros Otros Seguros Generales</t>
  </si>
  <si>
    <t>Siniestros Agrícola</t>
  </si>
  <si>
    <t>Siniestros Aviación</t>
  </si>
  <si>
    <t>Siniestros Banqueros</t>
  </si>
  <si>
    <t>Siniestros Calderas</t>
  </si>
  <si>
    <t>Siniestros Casco Marítimo</t>
  </si>
  <si>
    <t>Siniestros Crédito de la exportación</t>
  </si>
  <si>
    <t>Siniestros Dinero y Valores</t>
  </si>
  <si>
    <t>Siniestros Equipo de contratistas</t>
  </si>
  <si>
    <t>Siniestros Equipo electrónico</t>
  </si>
  <si>
    <t>Siniestros Ganadero</t>
  </si>
  <si>
    <t>Siniestros Lucro Cesante</t>
  </si>
  <si>
    <t>Siniestros Montaje</t>
  </si>
  <si>
    <t>Siniestros Otros Ramos</t>
  </si>
  <si>
    <t>Siniestros Renta de alquileres</t>
  </si>
  <si>
    <t>Siniestros Responsabilidad Civil</t>
  </si>
  <si>
    <t>Siniestros Riesgo Profesional</t>
  </si>
  <si>
    <t>Siniestros Robo y Hurto</t>
  </si>
  <si>
    <t>Siniestros Rotura de cristales</t>
  </si>
  <si>
    <t>Siniestros Rotura de maquinaria</t>
  </si>
  <si>
    <t>Siniestros Transporte Aéreo</t>
  </si>
  <si>
    <t>Siniestros Transporte Marítimo</t>
  </si>
  <si>
    <t>Siniestros Transporte Terrestre</t>
  </si>
  <si>
    <t>Siniestros Seguro de Vida</t>
  </si>
  <si>
    <t>Siniestros Seguro de sepelio</t>
  </si>
  <si>
    <t>Siniestros Seguro Popular</t>
  </si>
  <si>
    <t>Siniestros Vida Colectivo</t>
  </si>
  <si>
    <t>Siniestros Vida Individual</t>
  </si>
  <si>
    <t>Siniestros Seguros Generales</t>
  </si>
  <si>
    <t>Siniestros Incendio y lineas aliadas</t>
  </si>
  <si>
    <t>Siniestros Vehículos automotores</t>
  </si>
  <si>
    <t>Siniestros totales</t>
  </si>
  <si>
    <t>Cifras preliminares publicadas bajo el marco contable para las Instituciones de Seguros, basado en las Normas Internacionales de Información Financiera (NIIF) combinadas con Normas Prudenciales, mismas que tienen como fuente la información recibida de las Instituciones de Seguros y están sujetas a revisión posterior por parte de la CNBS.</t>
  </si>
  <si>
    <t>ESTADO DE SITUACIÓN FINANCIERA CONDENSADO</t>
  </si>
  <si>
    <t>(En Miles de Lempiras)</t>
  </si>
  <si>
    <t>INSTITUCIONES DE SEGURO</t>
  </si>
  <si>
    <t>CUENTAS</t>
  </si>
  <si>
    <t>ACTIVOS</t>
  </si>
  <si>
    <t xml:space="preserve">  </t>
  </si>
  <si>
    <t>Disponibilidades</t>
  </si>
  <si>
    <t>Inversiones Financieras</t>
  </si>
  <si>
    <t>Inversiones en Acciones y Participaciones</t>
  </si>
  <si>
    <t>Préstamos</t>
  </si>
  <si>
    <t>Primas por Cobrar</t>
  </si>
  <si>
    <t>Deudas A Cargo De Reaseguradores Y Reafianzadores</t>
  </si>
  <si>
    <t>Activos Mantenidos para la Venta y Grupo de Activos para su Disposición</t>
  </si>
  <si>
    <t>Propiedades, Planta y Equipo</t>
  </si>
  <si>
    <t>Propiedades de Inversión</t>
  </si>
  <si>
    <t>Otros Activos</t>
  </si>
  <si>
    <t xml:space="preserve">        </t>
  </si>
  <si>
    <t>ACTIVOS CONTINGENTES</t>
  </si>
  <si>
    <t xml:space="preserve">      </t>
  </si>
  <si>
    <t>TOTAL ACTIVOS</t>
  </si>
  <si>
    <t xml:space="preserve">     </t>
  </si>
  <si>
    <t>PASIVOS</t>
  </si>
  <si>
    <t xml:space="preserve">          </t>
  </si>
  <si>
    <t>Obligaciones con Asegurados</t>
  </si>
  <si>
    <t>Reservas para Siniestros</t>
  </si>
  <si>
    <t>Obligaciones con Intermediarios</t>
  </si>
  <si>
    <t>Cuentas por Pagar</t>
  </si>
  <si>
    <t>Obligaciones Financieras</t>
  </si>
  <si>
    <t>Obligaciones con Reaseguradores y Reafianzadores</t>
  </si>
  <si>
    <t>Reservas Técnicas y Matemáticas</t>
  </si>
  <si>
    <t>Créditos Diferidos</t>
  </si>
  <si>
    <t>Otros Pasivos</t>
  </si>
  <si>
    <t xml:space="preserve">           </t>
  </si>
  <si>
    <t xml:space="preserve">       </t>
  </si>
  <si>
    <t>Capital Social</t>
  </si>
  <si>
    <t>Aportes Patrimoniales No Capitalizados</t>
  </si>
  <si>
    <t>Resultados Acumulados</t>
  </si>
  <si>
    <t>Resultado Neto del Ejercicio</t>
  </si>
  <si>
    <t>Patrimonio Restringido No Distribuible</t>
  </si>
  <si>
    <t xml:space="preserve">    </t>
  </si>
  <si>
    <t>SUBTOTAL PASIVOS Y PATRIMONIO</t>
  </si>
  <si>
    <t xml:space="preserve">         </t>
  </si>
  <si>
    <t>PASIVOS CONTINGENTES</t>
  </si>
  <si>
    <t xml:space="preserve"> </t>
  </si>
  <si>
    <t>TOTAL PASIVOS Y PATRIMONIO</t>
  </si>
  <si>
    <t xml:space="preserve">   </t>
  </si>
  <si>
    <t>CUENTAS DE ORDEN Y REGISTRO</t>
  </si>
  <si>
    <t>CONSOLIDADO DE INSTITUCIONES DE SEGURO</t>
  </si>
  <si>
    <t>(Cifras en Miles de Lempiras)</t>
  </si>
  <si>
    <t>CONSOLIDADO</t>
  </si>
  <si>
    <t>ESTADO DE RESULTADOS CONDENSADO</t>
  </si>
  <si>
    <t>INGRESOS</t>
  </si>
  <si>
    <t>Ingresos Financieros</t>
  </si>
  <si>
    <t>EGRESOS</t>
  </si>
  <si>
    <t>Primas Cedidas</t>
  </si>
  <si>
    <t xml:space="preserve">Variación en las Reservas Técnicas </t>
  </si>
  <si>
    <t>Devoluciones y Cancelaciones de Primas</t>
  </si>
  <si>
    <t>Gastos de Ejercicios Anteriores</t>
  </si>
  <si>
    <t>Impuesto Sobre la Renta</t>
  </si>
  <si>
    <t>UTILIDAD O (PÉRDIDA) DEL EJERCICIO</t>
  </si>
  <si>
    <t>Ajustes por Valoración Integral</t>
  </si>
  <si>
    <t>GAN: Gastos de adquisición de negocio = Gastos de intermediación más gastos técnicos diversos</t>
  </si>
  <si>
    <t>Validador</t>
  </si>
  <si>
    <t>3.1 Salud y Hospitalización</t>
  </si>
  <si>
    <t>2. 1 Vida Individual</t>
  </si>
  <si>
    <t>2.2 Vida Colectivo</t>
  </si>
  <si>
    <t>8.1 Gastos de Intermediación</t>
  </si>
  <si>
    <t>Gastos Intermediación / Primas</t>
  </si>
  <si>
    <t>2024</t>
  </si>
  <si>
    <t xml:space="preserve">7.1 Primas Retenidas </t>
  </si>
  <si>
    <t>Primas Retenidas/Primas</t>
  </si>
  <si>
    <t>0</t>
  </si>
  <si>
    <t>3. Accidentes Personales</t>
  </si>
  <si>
    <t>ASEGURADORA RURAL</t>
  </si>
  <si>
    <t>* No incluye Activos Contingentes</t>
  </si>
  <si>
    <t>5.1 - Activos Totales - Incluyendo Activos Contingentes</t>
  </si>
  <si>
    <t>2025</t>
  </si>
  <si>
    <t>ACTIVOS TOTALES **</t>
  </si>
  <si>
    <t>** Incluyendo Contingentes</t>
  </si>
  <si>
    <t>ACTIVOS *</t>
  </si>
  <si>
    <t>Al 31 de diciembre de 2025</t>
  </si>
  <si>
    <t>Inflación Interanual Diciembre 2025</t>
  </si>
  <si>
    <t>Inflación Acumulada Diciembre   2025</t>
  </si>
  <si>
    <t>Estado de Resultados (Diciembre 2024)</t>
  </si>
  <si>
    <t>Estado de Resultados (Diciembre 2025)</t>
  </si>
  <si>
    <t xml:space="preserve">Copiado </t>
  </si>
  <si>
    <t>Al 31 de diciembre de 2024</t>
  </si>
  <si>
    <t xml:space="preserve">copiado </t>
  </si>
  <si>
    <t>2025-12</t>
  </si>
  <si>
    <t>Al 31 de Diciembre de 2025</t>
  </si>
  <si>
    <r>
      <t xml:space="preserve">Tasa de Cambio 
</t>
    </r>
    <r>
      <rPr>
        <sz val="9"/>
        <color theme="1"/>
        <rFont val="Trebuchet MS"/>
        <family val="2"/>
      </rPr>
      <t>(compra, promedio cierre mensual)</t>
    </r>
  </si>
  <si>
    <t>En millones de USD</t>
  </si>
  <si>
    <t>1. Ramos Totales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</si>
</sst>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 #,##0.00_-;_-* &quot;-&quot;??_-;_-@_-"/>
    <numFmt numFmtId="164" formatCode="_-&quot;L&quot;* #,##0.00_-;\-&quot;L&quot;* #,##0.00_-;_-&quot;L&quot;* &quot;-&quot;??_-;_-@_-"/>
    <numFmt numFmtId="165" formatCode="_ * #,##0.00_ ;_ * \-#,##0.00_ ;_ * &quot;-&quot;??_ ;_ @_ "/>
    <numFmt numFmtId="166" formatCode="_ * #,##0.0_ ;_ * \-#,##0.0_ ;_ * &quot;-&quot;??_ ;_ @_ "/>
    <numFmt numFmtId="167" formatCode="0.0%"/>
    <numFmt numFmtId="168" formatCode="0.0"/>
    <numFmt numFmtId="169" formatCode="#,##0.0"/>
    <numFmt numFmtId="170" formatCode="#,##0.0_ ;\-#,##0.0\ "/>
    <numFmt numFmtId="171" formatCode="#,##0.00;\-#,##0.00;&quot;&quot;"/>
    <numFmt numFmtId="172" formatCode="_-* #,##0.0000_-;\-* #,##0.0000_-;_-* &quot;-&quot;??_-;_-@_-"/>
    <numFmt numFmtId="173" formatCode="_ * #,##0_ ;_ * \-#,##0_ ;_ * &quot;-&quot;??_ ;_ @_ "/>
    <numFmt numFmtId="174" formatCode="#,##0.00000"/>
    <numFmt numFmtId="175" formatCode="#,##0.00000000000000"/>
    <numFmt numFmtId="176" formatCode="_ * #,##0.000_ ;_ * \-#,##0.000_ ;_ * &quot;-&quot;??_ ;_ @_ "/>
    <numFmt numFmtId="177" formatCode="_-* #,##0_-;\-* #,##0_-;_-* &quot;-&quot;??_-;_-@_-"/>
    <numFmt numFmtId="178" formatCode="#,##0.0000"/>
    <numFmt numFmtId="179" formatCode="_-* #,##0.00\ _€_-;\-* #,##0.00\ _€_-;_-* &quot;-&quot;??\ _€_-;_-@_-"/>
    <numFmt numFmtId="180" formatCode="0.0000"/>
    <numFmt numFmtId="181" formatCode="_-[$$-409]* #,##0.00_ ;_-[$$-409]* \-#,##0.00\ ;_-[$$-409]* &quot;-&quot;??_ ;_-@_ "/>
    <numFmt numFmtId="182" formatCode="_-[$$-409]* #,##0.0_ ;_-[$$-409]* \-#,##0.0\ ;_-[$$-409]* &quot;-&quot;??_ ;_-@_ "/>
  </numFmts>
  <fonts count="126" x14ac:knownFonts="1">
    <font>
      <sz val="10"/>
      <color theme="1"/>
      <name val="Trebuchet M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Trebuchet MS"/>
      <family val="2"/>
    </font>
    <font>
      <sz val="8"/>
      <name val="Trebuchet MS"/>
      <family val="2"/>
    </font>
    <font>
      <sz val="10"/>
      <name val="Arial"/>
      <family val="2"/>
    </font>
    <font>
      <b/>
      <sz val="11"/>
      <name val="Calibri"/>
      <family val="2"/>
    </font>
    <font>
      <sz val="11"/>
      <name val="Calibri"/>
      <family val="2"/>
    </font>
    <font>
      <sz val="12"/>
      <name val="Book Antiqua"/>
      <family val="1"/>
    </font>
    <font>
      <sz val="10"/>
      <name val="Trebuchet MS"/>
      <family val="2"/>
    </font>
    <font>
      <b/>
      <sz val="10"/>
      <name val="Montserrat"/>
    </font>
    <font>
      <sz val="8"/>
      <name val="Montserrat"/>
    </font>
    <font>
      <b/>
      <sz val="8"/>
      <name val="Montserrat"/>
    </font>
    <font>
      <sz val="10"/>
      <name val="Montserrat"/>
    </font>
    <font>
      <b/>
      <sz val="11"/>
      <color indexed="8"/>
      <name val="Montserrat"/>
    </font>
    <font>
      <sz val="11"/>
      <name val="Montserrat"/>
    </font>
    <font>
      <sz val="10"/>
      <color theme="1"/>
      <name val="Trebuchet MS"/>
      <family val="2"/>
    </font>
    <font>
      <sz val="11"/>
      <color theme="1"/>
      <name val="Calibri"/>
      <family val="2"/>
      <scheme val="minor"/>
    </font>
    <font>
      <b/>
      <sz val="11"/>
      <color theme="0"/>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sz val="8"/>
      <color theme="1"/>
      <name val="Trebuchet MS"/>
      <family val="2"/>
    </font>
    <font>
      <b/>
      <sz val="8"/>
      <color rgb="FF000000"/>
      <name val="Trebuchet MS"/>
      <family val="2"/>
    </font>
    <font>
      <sz val="8"/>
      <color rgb="FF000000"/>
      <name val="Trebuchet MS"/>
      <family val="2"/>
    </font>
    <font>
      <b/>
      <sz val="11"/>
      <name val="Calibri"/>
      <family val="2"/>
      <scheme val="minor"/>
    </font>
    <font>
      <sz val="11"/>
      <name val="Calibri"/>
      <family val="2"/>
      <scheme val="minor"/>
    </font>
    <font>
      <b/>
      <sz val="12"/>
      <name val="Calibri"/>
      <family val="2"/>
      <scheme val="minor"/>
    </font>
    <font>
      <b/>
      <sz val="11"/>
      <color rgb="FFFF0000"/>
      <name val="Calibri"/>
      <family val="2"/>
      <scheme val="minor"/>
    </font>
    <font>
      <b/>
      <sz val="14"/>
      <color rgb="FF000000"/>
      <name val="Arial"/>
      <family val="2"/>
    </font>
    <font>
      <b/>
      <sz val="12"/>
      <color rgb="FF000000"/>
      <name val="Arial"/>
      <family val="2"/>
    </font>
    <font>
      <b/>
      <sz val="11"/>
      <color rgb="FF000000"/>
      <name val="Arial"/>
      <family val="2"/>
    </font>
    <font>
      <i/>
      <sz val="11"/>
      <color theme="1"/>
      <name val="Arial"/>
      <family val="2"/>
    </font>
    <font>
      <sz val="11"/>
      <color rgb="FF000000"/>
      <name val="Arial"/>
      <family val="2"/>
    </font>
    <font>
      <sz val="10"/>
      <color theme="1"/>
      <name val="Calibri"/>
      <family val="2"/>
      <scheme val="minor"/>
    </font>
    <font>
      <b/>
      <sz val="14"/>
      <color theme="0"/>
      <name val="Calibri"/>
      <family val="2"/>
      <scheme val="minor"/>
    </font>
    <font>
      <b/>
      <sz val="14"/>
      <color theme="1"/>
      <name val="Calibri"/>
      <family val="2"/>
      <scheme val="minor"/>
    </font>
    <font>
      <sz val="10"/>
      <color theme="1"/>
      <name val="Montserrat"/>
    </font>
    <font>
      <sz val="8"/>
      <color rgb="FF000000"/>
      <name val="Montserrat"/>
    </font>
    <font>
      <b/>
      <sz val="8"/>
      <color rgb="FF000000"/>
      <name val="Montserrat"/>
    </font>
    <font>
      <sz val="10"/>
      <color rgb="FFFF0000"/>
      <name val="Montserrat"/>
    </font>
    <font>
      <b/>
      <sz val="8"/>
      <color theme="1"/>
      <name val="Montserrat"/>
    </font>
    <font>
      <sz val="8"/>
      <color theme="1"/>
      <name val="Montserrat"/>
    </font>
    <font>
      <sz val="11"/>
      <color theme="1"/>
      <name val="Montserrat"/>
    </font>
    <font>
      <b/>
      <sz val="9"/>
      <color theme="1"/>
      <name val="Montserrat"/>
    </font>
    <font>
      <sz val="11"/>
      <color rgb="FF000000"/>
      <name val="Calibri"/>
      <family val="2"/>
      <scheme val="minor"/>
    </font>
    <font>
      <b/>
      <sz val="11"/>
      <color rgb="FF000000"/>
      <name val="Calibri"/>
      <family val="2"/>
      <scheme val="minor"/>
    </font>
    <font>
      <sz val="11"/>
      <color indexed="8"/>
      <name val="Calibri"/>
      <family val="2"/>
      <scheme val="minor"/>
    </font>
    <font>
      <sz val="11"/>
      <color rgb="FFFF0000"/>
      <name val="Trebuchet MS"/>
      <family val="2"/>
    </font>
    <font>
      <b/>
      <sz val="10"/>
      <color theme="1"/>
      <name val="Calibri"/>
      <family val="2"/>
      <scheme val="minor"/>
    </font>
    <font>
      <b/>
      <sz val="10"/>
      <color theme="0"/>
      <name val="Calibri"/>
      <family val="2"/>
      <scheme val="minor"/>
    </font>
    <font>
      <sz val="10"/>
      <color theme="0"/>
      <name val="Calibri"/>
      <family val="2"/>
      <scheme val="minor"/>
    </font>
    <font>
      <sz val="10"/>
      <name val="Calibri"/>
      <family val="2"/>
      <scheme val="minor"/>
    </font>
    <font>
      <sz val="10"/>
      <color theme="3" tint="0.79998168889431442"/>
      <name val="Calibri"/>
      <family val="2"/>
      <scheme val="minor"/>
    </font>
    <font>
      <b/>
      <sz val="8"/>
      <color rgb="FFFFFFFF"/>
      <name val="Montserrat"/>
    </font>
    <font>
      <sz val="11"/>
      <color rgb="FF202124"/>
      <name val="Arial"/>
      <family val="2"/>
    </font>
    <font>
      <sz val="11"/>
      <color theme="1"/>
      <name val="Trebuchet MS"/>
      <family val="2"/>
    </font>
    <font>
      <sz val="11"/>
      <color theme="3"/>
      <name val="Trebuchet MS"/>
      <family val="2"/>
    </font>
    <font>
      <b/>
      <sz val="11"/>
      <color rgb="FFFFFFFF"/>
      <name val="Montserrat"/>
    </font>
    <font>
      <b/>
      <sz val="10"/>
      <color rgb="FFFF0000"/>
      <name val="Calibri"/>
      <family val="2"/>
      <scheme val="minor"/>
    </font>
    <font>
      <b/>
      <sz val="20"/>
      <color theme="1" tint="0.249977111117893"/>
      <name val="Calibri"/>
      <family val="2"/>
      <scheme val="minor"/>
    </font>
    <font>
      <b/>
      <sz val="16"/>
      <color theme="1" tint="0.249977111117893"/>
      <name val="Calibri"/>
      <family val="2"/>
      <scheme val="minor"/>
    </font>
    <font>
      <sz val="13"/>
      <color theme="1"/>
      <name val="Calibri"/>
      <family val="2"/>
      <scheme val="minor"/>
    </font>
    <font>
      <i/>
      <sz val="11"/>
      <color theme="1" tint="0.249977111117893"/>
      <name val="Calibri"/>
      <family val="2"/>
      <scheme val="minor"/>
    </font>
    <font>
      <b/>
      <sz val="10"/>
      <name val="Calibri"/>
      <family val="2"/>
      <scheme val="minor"/>
    </font>
    <font>
      <b/>
      <sz val="11"/>
      <color theme="1" tint="0.499984740745262"/>
      <name val="Calibri"/>
      <family val="2"/>
      <scheme val="minor"/>
    </font>
    <font>
      <sz val="10"/>
      <color theme="1" tint="0.499984740745262"/>
      <name val="Trebuchet MS"/>
      <family val="2"/>
    </font>
    <font>
      <sz val="11"/>
      <color theme="1" tint="0.499984740745262"/>
      <name val="Calibri"/>
      <family val="2"/>
      <scheme val="minor"/>
    </font>
    <font>
      <b/>
      <sz val="8"/>
      <color theme="1" tint="0.499984740745262"/>
      <name val="Montserrat"/>
    </font>
    <font>
      <sz val="10"/>
      <color theme="1" tint="0.499984740745262"/>
      <name val="Montserrat"/>
    </font>
    <font>
      <sz val="10"/>
      <color theme="0" tint="-0.499984740745262"/>
      <name val="Calibri"/>
      <family val="2"/>
      <scheme val="minor"/>
    </font>
    <font>
      <b/>
      <sz val="10"/>
      <color theme="0" tint="-0.499984740745262"/>
      <name val="Calibri"/>
      <family val="2"/>
      <scheme val="minor"/>
    </font>
    <font>
      <sz val="11"/>
      <color theme="0" tint="-0.499984740745262"/>
      <name val="Calibri"/>
      <family val="2"/>
      <scheme val="minor"/>
    </font>
    <font>
      <b/>
      <sz val="20"/>
      <color theme="0" tint="-0.499984740745262"/>
      <name val="Calibri"/>
      <family val="2"/>
      <scheme val="minor"/>
    </font>
    <font>
      <b/>
      <sz val="16"/>
      <color theme="0" tint="-0.499984740745262"/>
      <name val="Calibri"/>
      <family val="2"/>
      <scheme val="minor"/>
    </font>
    <font>
      <b/>
      <sz val="11"/>
      <color rgb="FFFF0000"/>
      <name val="Calibri"/>
      <family val="2"/>
    </font>
    <font>
      <sz val="10"/>
      <color rgb="FFFF0000"/>
      <name val="Trebuchet MS"/>
      <family val="2"/>
    </font>
    <font>
      <sz val="11"/>
      <color theme="1"/>
      <name val="Calibri"/>
      <family val="2"/>
    </font>
    <font>
      <b/>
      <sz val="10"/>
      <color theme="1"/>
      <name val="Trebuchet MS"/>
      <family val="2"/>
    </font>
    <font>
      <sz val="10"/>
      <color theme="0"/>
      <name val="Trebuchet MS"/>
      <family val="2"/>
    </font>
    <font>
      <sz val="10"/>
      <color rgb="FF0070C0"/>
      <name val="Trebuchet MS"/>
      <family val="2"/>
    </font>
    <font>
      <sz val="11"/>
      <color rgb="FF0070C0"/>
      <name val="Calibri"/>
      <family val="2"/>
      <scheme val="minor"/>
    </font>
    <font>
      <b/>
      <sz val="11"/>
      <color rgb="FF0070C0"/>
      <name val="Calibri"/>
      <family val="2"/>
      <scheme val="minor"/>
    </font>
    <font>
      <b/>
      <sz val="11"/>
      <color rgb="FF0070C0"/>
      <name val="Calibri"/>
      <family val="2"/>
    </font>
    <font>
      <b/>
      <sz val="10"/>
      <color rgb="FF0070C0"/>
      <name val="Trebuchet MS"/>
      <family val="2"/>
    </font>
    <font>
      <b/>
      <sz val="10"/>
      <color theme="1"/>
      <name val="Montserrat"/>
    </font>
    <font>
      <b/>
      <sz val="11"/>
      <name val="Aptos"/>
      <family val="2"/>
    </font>
    <font>
      <b/>
      <sz val="10"/>
      <name val="Aptos"/>
      <family val="2"/>
    </font>
    <font>
      <sz val="10"/>
      <color theme="1"/>
      <name val="Aptos"/>
      <family val="2"/>
    </font>
    <font>
      <sz val="8"/>
      <name val="Aptos"/>
      <family val="2"/>
    </font>
    <font>
      <sz val="11"/>
      <color theme="1"/>
      <name val="Aptos"/>
      <family val="2"/>
    </font>
    <font>
      <sz val="11"/>
      <name val="Aptos"/>
      <family val="2"/>
    </font>
    <font>
      <sz val="10"/>
      <name val="Aptos"/>
      <family val="2"/>
    </font>
    <font>
      <sz val="11"/>
      <color rgb="FFFF0000"/>
      <name val="Aptos"/>
      <family val="2"/>
    </font>
    <font>
      <b/>
      <sz val="11"/>
      <color rgb="FFFF0000"/>
      <name val="Aptos"/>
      <family val="2"/>
    </font>
    <font>
      <b/>
      <sz val="12"/>
      <color rgb="FFFF0000"/>
      <name val="Arial"/>
      <family val="2"/>
    </font>
    <font>
      <i/>
      <sz val="11"/>
      <color rgb="FFFF0000"/>
      <name val="Arial"/>
      <family val="2"/>
    </font>
    <font>
      <b/>
      <sz val="11"/>
      <color theme="3" tint="0.39997558519241921"/>
      <name val="Calibri"/>
      <family val="2"/>
      <scheme val="minor"/>
    </font>
    <font>
      <sz val="11"/>
      <color theme="3" tint="0.39997558519241921"/>
      <name val="Calibri"/>
      <family val="2"/>
      <scheme val="minor"/>
    </font>
    <font>
      <sz val="7"/>
      <color rgb="FF424242"/>
      <name val="Trebuchet MS"/>
      <family val="2"/>
    </font>
    <font>
      <i/>
      <sz val="10"/>
      <color theme="1"/>
      <name val="Trebuchet MS"/>
      <family val="2"/>
    </font>
    <font>
      <i/>
      <sz val="11"/>
      <color theme="1"/>
      <name val="Aptos"/>
      <family val="2"/>
    </font>
    <font>
      <b/>
      <sz val="11"/>
      <color theme="9"/>
      <name val="Calibri"/>
      <family val="2"/>
      <scheme val="minor"/>
    </font>
    <font>
      <sz val="10"/>
      <color theme="9"/>
      <name val="Trebuchet MS"/>
      <family val="2"/>
    </font>
    <font>
      <b/>
      <sz val="14"/>
      <name val="Arial"/>
      <family val="2"/>
    </font>
    <font>
      <b/>
      <sz val="12"/>
      <name val="Arial"/>
      <family val="2"/>
    </font>
    <font>
      <i/>
      <sz val="11"/>
      <name val="Arial"/>
      <family val="2"/>
    </font>
    <font>
      <sz val="11"/>
      <name val="Arial"/>
      <family val="2"/>
    </font>
    <font>
      <b/>
      <sz val="8"/>
      <color theme="9"/>
      <name val="Montserrat"/>
    </font>
    <font>
      <sz val="10"/>
      <color theme="9"/>
      <name val="Montserrat"/>
    </font>
    <font>
      <sz val="8"/>
      <color theme="9"/>
      <name val="Montserrat"/>
    </font>
    <font>
      <b/>
      <sz val="8"/>
      <color theme="0"/>
      <name val="Montserrat"/>
    </font>
    <font>
      <sz val="11"/>
      <color rgb="FFFFC000"/>
      <name val="Calibri"/>
      <family val="2"/>
      <scheme val="minor"/>
    </font>
    <font>
      <sz val="10"/>
      <color rgb="FFFFC000"/>
      <name val="Trebuchet MS"/>
      <family val="2"/>
    </font>
    <font>
      <b/>
      <sz val="11"/>
      <color theme="1"/>
      <name val="Calibri"/>
      <family val="2"/>
    </font>
    <font>
      <b/>
      <sz val="13"/>
      <color theme="1"/>
      <name val="Calibri"/>
      <family val="2"/>
      <scheme val="minor"/>
    </font>
    <font>
      <b/>
      <i/>
      <sz val="11"/>
      <color rgb="FF002060"/>
      <name val="Calibri"/>
      <family val="2"/>
      <scheme val="minor"/>
    </font>
    <font>
      <sz val="9"/>
      <color theme="1"/>
      <name val="Trebuchet MS"/>
      <family val="2"/>
    </font>
    <font>
      <b/>
      <sz val="11"/>
      <color theme="1"/>
      <name val="Aptos"/>
      <family val="2"/>
    </font>
  </fonts>
  <fills count="23">
    <fill>
      <patternFill patternType="none"/>
    </fill>
    <fill>
      <patternFill patternType="gray125"/>
    </fill>
    <fill>
      <patternFill patternType="solid">
        <fgColor indexed="9"/>
        <bgColor indexed="64"/>
      </patternFill>
    </fill>
    <fill>
      <patternFill patternType="solid">
        <fgColor theme="4"/>
      </patternFill>
    </fill>
    <fill>
      <patternFill patternType="solid">
        <fgColor theme="0"/>
        <bgColor indexed="64"/>
      </patternFill>
    </fill>
    <fill>
      <patternFill patternType="solid">
        <fgColor theme="4" tint="0.79998168889431442"/>
        <bgColor indexed="64"/>
      </patternFill>
    </fill>
    <fill>
      <patternFill patternType="solid">
        <fgColor theme="9" tint="-0.249977111117893"/>
        <bgColor theme="9" tint="-0.249977111117893"/>
      </patternFill>
    </fill>
    <fill>
      <patternFill patternType="solid">
        <fgColor theme="0" tint="-0.249977111117893"/>
        <bgColor indexed="64"/>
      </patternFill>
    </fill>
    <fill>
      <patternFill patternType="solid">
        <fgColor rgb="FFDCE6F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24994659260841701"/>
        <bgColor indexed="64"/>
      </patternFill>
    </fill>
    <fill>
      <patternFill patternType="solid">
        <fgColor theme="9"/>
        <bgColor indexed="64"/>
      </patternFill>
    </fill>
    <fill>
      <patternFill patternType="solid">
        <fgColor rgb="FFB8CCE4"/>
        <bgColor indexed="64"/>
      </patternFill>
    </fill>
    <fill>
      <patternFill patternType="solid">
        <fgColor rgb="FFA7BFDE"/>
        <bgColor indexed="64"/>
      </patternFill>
    </fill>
    <fill>
      <patternFill patternType="solid">
        <fgColor rgb="FF0070C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0"/>
        <bgColor theme="9" tint="0.79998168889431442"/>
      </patternFill>
    </fill>
    <fill>
      <patternFill patternType="solid">
        <fgColor theme="7" tint="0.59999389629810485"/>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theme="9" tint="-0.249977111117893"/>
      </top>
      <bottom style="thin">
        <color theme="9" tint="0.79998168889431442"/>
      </bottom>
      <diagonal/>
    </border>
    <border>
      <left/>
      <right style="thick">
        <color theme="9" tint="-0.24994659260841701"/>
      </right>
      <top style="thin">
        <color theme="9" tint="-0.249977111117893"/>
      </top>
      <bottom style="thin">
        <color theme="9" tint="0.79998168889431442"/>
      </bottom>
      <diagonal/>
    </border>
    <border>
      <left style="thin">
        <color theme="9" tint="0.39994506668294322"/>
      </left>
      <right/>
      <top style="thin">
        <color theme="9" tint="-0.249977111117893"/>
      </top>
      <bottom style="thin">
        <color theme="9" tint="0.7999816888943144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right style="thin">
        <color theme="0" tint="-0.499984740745262"/>
      </right>
      <top style="thin">
        <color theme="0" tint="-0.499984740745262"/>
      </top>
      <bottom/>
      <diagonal/>
    </border>
    <border>
      <left/>
      <right/>
      <top style="medium">
        <color theme="9" tint="-0.249977111117893"/>
      </top>
      <bottom style="thin">
        <color theme="9"/>
      </bottom>
      <diagonal/>
    </border>
    <border>
      <left/>
      <right/>
      <top/>
      <bottom style="thin">
        <color theme="9"/>
      </bottom>
      <diagonal/>
    </border>
    <border>
      <left/>
      <right/>
      <top style="medium">
        <color theme="9" tint="-0.249977111117893"/>
      </top>
      <bottom/>
      <diagonal/>
    </border>
    <border>
      <left/>
      <right/>
      <top style="thin">
        <color theme="9" tint="0.39997558519241921"/>
      </top>
      <bottom style="thin">
        <color theme="9" tint="0.39997558519241921"/>
      </bottom>
      <diagonal/>
    </border>
    <border>
      <left/>
      <right/>
      <top style="thin">
        <color theme="9" tint="-0.249977111117893"/>
      </top>
      <bottom style="medium">
        <color theme="9" tint="-0.249977111117893"/>
      </bottom>
      <diagonal/>
    </border>
    <border>
      <left/>
      <right style="thin">
        <color theme="9"/>
      </right>
      <top style="thin">
        <color theme="9"/>
      </top>
      <bottom/>
      <diagonal/>
    </border>
    <border>
      <left/>
      <right/>
      <top style="thin">
        <color theme="9"/>
      </top>
      <bottom style="thin">
        <color theme="9"/>
      </bottom>
      <diagonal/>
    </border>
    <border>
      <left/>
      <right style="thin">
        <color theme="9"/>
      </right>
      <top style="thin">
        <color theme="9"/>
      </top>
      <bottom style="thin">
        <color theme="9"/>
      </bottom>
      <diagonal/>
    </border>
    <border>
      <left/>
      <right style="thin">
        <color theme="9"/>
      </right>
      <top/>
      <bottom style="thin">
        <color theme="9"/>
      </bottom>
      <diagonal/>
    </border>
    <border>
      <left style="medium">
        <color theme="9" tint="-0.24994659260841701"/>
      </left>
      <right/>
      <top style="medium">
        <color theme="9" tint="-0.24994659260841701"/>
      </top>
      <bottom/>
      <diagonal/>
    </border>
    <border>
      <left/>
      <right style="thin">
        <color theme="9" tint="0.39994506668294322"/>
      </right>
      <top style="medium">
        <color theme="9" tint="-0.24994659260841701"/>
      </top>
      <bottom/>
      <diagonal/>
    </border>
    <border>
      <left style="medium">
        <color theme="9" tint="-0.24994659260841701"/>
      </left>
      <right/>
      <top style="medium">
        <color theme="9" tint="-0.24994659260841701"/>
      </top>
      <bottom style="thin">
        <color theme="9" tint="0.79998168889431442"/>
      </bottom>
      <diagonal/>
    </border>
    <border>
      <left style="medium">
        <color theme="9" tint="-0.24994659260841701"/>
      </left>
      <right/>
      <top style="thin">
        <color theme="9" tint="0.79998168889431442"/>
      </top>
      <bottom style="thin">
        <color theme="9" tint="0.79998168889431442"/>
      </bottom>
      <diagonal/>
    </border>
    <border>
      <left style="medium">
        <color theme="9" tint="-0.24994659260841701"/>
      </left>
      <right/>
      <top style="thin">
        <color theme="9" tint="0.79998168889431442"/>
      </top>
      <bottom style="medium">
        <color theme="9" tint="-0.24994659260841701"/>
      </bottom>
      <diagonal/>
    </border>
    <border>
      <left/>
      <right style="thin">
        <color theme="9" tint="0.59996337778862885"/>
      </right>
      <top style="medium">
        <color theme="9" tint="-0.24994659260841701"/>
      </top>
      <bottom/>
      <diagonal/>
    </border>
    <border>
      <left style="medium">
        <color theme="9" tint="-0.24994659260841701"/>
      </left>
      <right style="thin">
        <color theme="9" tint="0.39991454817346722"/>
      </right>
      <top/>
      <bottom/>
      <diagonal/>
    </border>
    <border>
      <left style="thin">
        <color theme="9" tint="0.39991454817346722"/>
      </left>
      <right style="thin">
        <color theme="9" tint="0.39994506668294322"/>
      </right>
      <top/>
      <bottom/>
      <diagonal/>
    </border>
    <border>
      <left style="medium">
        <color theme="9" tint="-0.24994659260841701"/>
      </left>
      <right style="thin">
        <color theme="9" tint="0.59996337778862885"/>
      </right>
      <top/>
      <bottom style="thin">
        <color theme="9" tint="0.79998168889431442"/>
      </bottom>
      <diagonal/>
    </border>
    <border>
      <left style="medium">
        <color theme="9" tint="-0.24994659260841701"/>
      </left>
      <right style="thin">
        <color theme="9" tint="0.59996337778862885"/>
      </right>
      <top style="thin">
        <color theme="9" tint="0.79998168889431442"/>
      </top>
      <bottom style="thin">
        <color theme="9" tint="0.79998168889431442"/>
      </bottom>
      <diagonal/>
    </border>
    <border>
      <left style="medium">
        <color theme="9" tint="-0.24994659260841701"/>
      </left>
      <right style="thin">
        <color theme="9" tint="0.59996337778862885"/>
      </right>
      <top style="thin">
        <color theme="9" tint="0.79998168889431442"/>
      </top>
      <bottom style="medium">
        <color theme="9" tint="-0.24994659260841701"/>
      </bottom>
      <diagonal/>
    </border>
    <border>
      <left style="medium">
        <color theme="9" tint="-0.24994659260841701"/>
      </left>
      <right/>
      <top/>
      <bottom/>
      <diagonal/>
    </border>
    <border>
      <left style="thin">
        <color theme="9" tint="0.39994506668294322"/>
      </left>
      <right style="thin">
        <color theme="9" tint="0.59996337778862885"/>
      </right>
      <top/>
      <bottom/>
      <diagonal/>
    </border>
    <border>
      <left/>
      <right style="thin">
        <color theme="9" tint="0.39994506668294322"/>
      </right>
      <top style="medium">
        <color theme="9" tint="-0.24994659260841701"/>
      </top>
      <bottom style="thin">
        <color theme="9" tint="0.79998168889431442"/>
      </bottom>
      <diagonal/>
    </border>
    <border>
      <left style="thin">
        <color theme="1" tint="0.499984740745262"/>
      </left>
      <right style="thin">
        <color theme="1" tint="0.499984740745262"/>
      </right>
      <top style="medium">
        <color indexed="64"/>
      </top>
      <bottom/>
      <diagonal/>
    </border>
    <border>
      <left style="thin">
        <color theme="1" tint="0.499984740745262"/>
      </left>
      <right style="thin">
        <color theme="1" tint="0.499984740745262"/>
      </right>
      <top/>
      <bottom style="thin">
        <color indexed="64"/>
      </bottom>
      <diagonal/>
    </border>
    <border>
      <left style="thin">
        <color theme="9"/>
      </left>
      <right/>
      <top/>
      <bottom/>
      <diagonal/>
    </border>
    <border>
      <left style="thin">
        <color theme="9"/>
      </left>
      <right/>
      <top/>
      <bottom style="thin">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bottom/>
      <diagonal/>
    </border>
    <border>
      <left/>
      <right style="thin">
        <color theme="8" tint="0.39997558519241921"/>
      </right>
      <top style="thin">
        <color theme="8" tint="0.39997558519241921"/>
      </top>
      <bottom style="thin">
        <color theme="8" tint="0.39997558519241921"/>
      </bottom>
      <diagonal/>
    </border>
    <border>
      <left style="thin">
        <color theme="9" tint="0.39997558519241921"/>
      </left>
      <right style="thin">
        <color theme="9" tint="0.39997558519241921"/>
      </right>
      <top style="thin">
        <color theme="9" tint="-0.249977111117893"/>
      </top>
      <bottom style="medium">
        <color theme="9" tint="-0.249977111117893"/>
      </bottom>
      <diagonal/>
    </border>
    <border>
      <left style="thin">
        <color theme="9" tint="0.39994506668294322"/>
      </left>
      <right/>
      <top/>
      <bottom style="thin">
        <color theme="9" tint="-0.249977111117893"/>
      </bottom>
      <diagonal/>
    </border>
    <border>
      <left/>
      <right/>
      <top/>
      <bottom style="thin">
        <color theme="9" tint="-0.249977111117893"/>
      </bottom>
      <diagonal/>
    </border>
    <border>
      <left/>
      <right/>
      <top style="thin">
        <color theme="9" tint="0.79998168889431442"/>
      </top>
      <bottom style="thin">
        <color theme="9" tint="0.79998168889431442"/>
      </bottom>
      <diagonal/>
    </border>
    <border>
      <left/>
      <right/>
      <top style="thin">
        <color theme="9" tint="0.79998168889431442"/>
      </top>
      <bottom style="medium">
        <color theme="9" tint="-0.24994659260841701"/>
      </bottom>
      <diagonal/>
    </border>
    <border>
      <left/>
      <right/>
      <top style="thin">
        <color theme="9" tint="0.79998168889431442"/>
      </top>
      <bottom style="thick">
        <color theme="9" tint="-0.24994659260841701"/>
      </bottom>
      <diagonal/>
    </border>
    <border>
      <left/>
      <right style="thick">
        <color theme="9" tint="-0.24994659260841701"/>
      </right>
      <top style="thin">
        <color theme="9" tint="0.79998168889431442"/>
      </top>
      <bottom style="thin">
        <color theme="9" tint="0.79998168889431442"/>
      </bottom>
      <diagonal/>
    </border>
    <border>
      <left/>
      <right style="thick">
        <color theme="9" tint="-0.24994659260841701"/>
      </right>
      <top style="thin">
        <color theme="9" tint="0.79998168889431442"/>
      </top>
      <bottom style="thick">
        <color theme="9" tint="-0.24994659260841701"/>
      </bottom>
      <diagonal/>
    </border>
    <border>
      <left/>
      <right/>
      <top style="thin">
        <color indexed="65"/>
      </top>
      <bottom/>
      <diagonal/>
    </border>
    <border>
      <left style="medium">
        <color indexed="64"/>
      </left>
      <right style="thin">
        <color indexed="64"/>
      </right>
      <top style="thin">
        <color indexed="64"/>
      </top>
      <bottom/>
      <diagonal/>
    </border>
  </borders>
  <cellStyleXfs count="24">
    <xf numFmtId="0" fontId="0" fillId="0" borderId="0"/>
    <xf numFmtId="0" fontId="26" fillId="3" borderId="0" applyNumberFormat="0" applyBorder="0" applyAlignment="0" applyProtection="0"/>
    <xf numFmtId="165" fontId="23" fillId="0" borderId="0" applyFont="0" applyFill="0" applyBorder="0" applyAlignment="0" applyProtection="0"/>
    <xf numFmtId="43" fontId="24" fillId="0" borderId="0" applyFont="0" applyFill="0" applyBorder="0" applyAlignment="0" applyProtection="0"/>
    <xf numFmtId="165" fontId="24" fillId="0" borderId="0" applyFont="0" applyFill="0" applyBorder="0" applyAlignment="0" applyProtection="0"/>
    <xf numFmtId="0" fontId="24" fillId="0" borderId="0"/>
    <xf numFmtId="0" fontId="15" fillId="0" borderId="0"/>
    <xf numFmtId="0" fontId="12" fillId="0" borderId="0"/>
    <xf numFmtId="0" fontId="24" fillId="0" borderId="0"/>
    <xf numFmtId="0" fontId="24" fillId="0" borderId="0"/>
    <xf numFmtId="9" fontId="23" fillId="0" borderId="0" applyFont="0" applyFill="0" applyBorder="0" applyAlignment="0" applyProtection="0"/>
    <xf numFmtId="9" fontId="24" fillId="0" borderId="0" applyFont="0" applyFill="0" applyBorder="0" applyAlignment="0" applyProtection="0"/>
    <xf numFmtId="0" fontId="6" fillId="0" borderId="0"/>
    <xf numFmtId="43" fontId="6" fillId="0" borderId="0" applyFont="0" applyFill="0" applyBorder="0" applyAlignment="0" applyProtection="0"/>
    <xf numFmtId="43" fontId="12" fillId="0" borderId="0" applyFont="0" applyFill="0" applyBorder="0" applyAlignment="0" applyProtection="0"/>
    <xf numFmtId="0" fontId="12" fillId="0" borderId="0"/>
    <xf numFmtId="16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cellStyleXfs>
  <cellXfs count="681">
    <xf numFmtId="0" fontId="0" fillId="0" borderId="0" xfId="0"/>
    <xf numFmtId="0" fontId="11" fillId="0" borderId="0" xfId="0" applyFont="1"/>
    <xf numFmtId="0" fontId="0" fillId="0" borderId="0" xfId="0" applyAlignment="1">
      <alignment horizontal="center" wrapText="1"/>
    </xf>
    <xf numFmtId="0" fontId="29" fillId="0" borderId="0" xfId="0" applyFont="1"/>
    <xf numFmtId="0" fontId="0" fillId="4" borderId="0" xfId="0" applyFill="1"/>
    <xf numFmtId="167" fontId="0" fillId="0" borderId="0" xfId="0" applyNumberFormat="1"/>
    <xf numFmtId="0" fontId="30" fillId="4" borderId="0" xfId="0" applyFont="1" applyFill="1" applyAlignment="1">
      <alignment horizontal="center" vertical="center"/>
    </xf>
    <xf numFmtId="166" fontId="0" fillId="0" borderId="0" xfId="0" applyNumberFormat="1"/>
    <xf numFmtId="0" fontId="13" fillId="0" borderId="0" xfId="0" applyFont="1"/>
    <xf numFmtId="0" fontId="14" fillId="2" borderId="0" xfId="0" applyFont="1" applyFill="1"/>
    <xf numFmtId="0" fontId="30" fillId="4" borderId="1" xfId="0" applyFont="1" applyFill="1" applyBorder="1" applyAlignment="1">
      <alignment vertical="center"/>
    </xf>
    <xf numFmtId="0" fontId="30" fillId="5" borderId="1" xfId="0" applyFont="1" applyFill="1" applyBorder="1" applyAlignment="1">
      <alignment vertical="center"/>
    </xf>
    <xf numFmtId="167" fontId="31" fillId="4" borderId="0" xfId="10" applyNumberFormat="1" applyFont="1" applyFill="1" applyBorder="1" applyAlignment="1">
      <alignment horizontal="center" vertical="center"/>
    </xf>
    <xf numFmtId="43" fontId="0" fillId="0" borderId="0" xfId="0" applyNumberFormat="1"/>
    <xf numFmtId="0" fontId="30" fillId="0" borderId="1" xfId="0" applyFont="1" applyBorder="1" applyAlignment="1">
      <alignment vertical="center"/>
    </xf>
    <xf numFmtId="0" fontId="26" fillId="6" borderId="21" xfId="0" applyFont="1" applyFill="1" applyBorder="1" applyAlignment="1">
      <alignment horizontal="center" vertical="center" wrapText="1"/>
    </xf>
    <xf numFmtId="0" fontId="26" fillId="6" borderId="22" xfId="0" applyFont="1" applyFill="1" applyBorder="1" applyAlignment="1">
      <alignment horizontal="center" vertical="center" wrapText="1"/>
    </xf>
    <xf numFmtId="0" fontId="26" fillId="6" borderId="23" xfId="0" applyFont="1" applyFill="1" applyBorder="1" applyAlignment="1">
      <alignment horizontal="center" vertical="center" wrapText="1"/>
    </xf>
    <xf numFmtId="0" fontId="32" fillId="7" borderId="2" xfId="0" applyFont="1" applyFill="1" applyBorder="1"/>
    <xf numFmtId="0" fontId="32" fillId="7" borderId="2" xfId="0" applyFont="1" applyFill="1" applyBorder="1" applyAlignment="1">
      <alignment horizontal="center"/>
    </xf>
    <xf numFmtId="0" fontId="33" fillId="7" borderId="0" xfId="0" applyFont="1" applyFill="1"/>
    <xf numFmtId="0" fontId="33" fillId="0" borderId="0" xfId="0" applyFont="1"/>
    <xf numFmtId="0" fontId="32" fillId="0" borderId="0" xfId="0" applyFont="1"/>
    <xf numFmtId="0" fontId="33" fillId="4" borderId="0" xfId="0" applyFont="1" applyFill="1"/>
    <xf numFmtId="0" fontId="0" fillId="0" borderId="1" xfId="0" applyBorder="1"/>
    <xf numFmtId="169" fontId="0" fillId="0" borderId="0" xfId="0" applyNumberFormat="1"/>
    <xf numFmtId="0" fontId="30" fillId="4" borderId="0" xfId="0" applyFont="1" applyFill="1" applyAlignment="1">
      <alignment vertical="center"/>
    </xf>
    <xf numFmtId="0" fontId="30" fillId="4" borderId="24" xfId="0" applyFont="1" applyFill="1" applyBorder="1" applyAlignment="1">
      <alignment vertical="center"/>
    </xf>
    <xf numFmtId="0" fontId="32" fillId="4" borderId="1" xfId="0" applyFont="1" applyFill="1" applyBorder="1" applyAlignment="1">
      <alignment horizontal="center" vertical="center"/>
    </xf>
    <xf numFmtId="169" fontId="34" fillId="4" borderId="1" xfId="0" applyNumberFormat="1" applyFont="1" applyFill="1" applyBorder="1"/>
    <xf numFmtId="0" fontId="0" fillId="0" borderId="0" xfId="0" applyAlignment="1">
      <alignment horizontal="right"/>
    </xf>
    <xf numFmtId="166" fontId="11" fillId="5" borderId="1" xfId="2" applyNumberFormat="1" applyFont="1" applyFill="1" applyBorder="1" applyAlignment="1">
      <alignment vertical="center"/>
    </xf>
    <xf numFmtId="0" fontId="30" fillId="8" borderId="1" xfId="0" applyFont="1" applyFill="1" applyBorder="1" applyAlignment="1">
      <alignment vertical="center"/>
    </xf>
    <xf numFmtId="0" fontId="32" fillId="4" borderId="1" xfId="0" applyFont="1" applyFill="1" applyBorder="1" applyAlignment="1">
      <alignment horizontal="center"/>
    </xf>
    <xf numFmtId="0" fontId="30" fillId="4" borderId="0" xfId="0" applyFont="1" applyFill="1" applyAlignment="1">
      <alignment horizontal="center" vertical="center" wrapText="1"/>
    </xf>
    <xf numFmtId="0" fontId="30" fillId="5" borderId="24" xfId="0" applyFont="1" applyFill="1" applyBorder="1" applyAlignment="1">
      <alignment vertical="center"/>
    </xf>
    <xf numFmtId="167" fontId="0" fillId="0" borderId="1" xfId="0" applyNumberFormat="1" applyBorder="1"/>
    <xf numFmtId="17" fontId="0" fillId="0" borderId="1" xfId="0" applyNumberFormat="1" applyBorder="1"/>
    <xf numFmtId="0" fontId="32" fillId="4" borderId="0" xfId="0" applyFont="1" applyFill="1" applyAlignment="1">
      <alignment horizontal="left"/>
    </xf>
    <xf numFmtId="170" fontId="0" fillId="0" borderId="0" xfId="0" applyNumberFormat="1"/>
    <xf numFmtId="170" fontId="31" fillId="4" borderId="24" xfId="2" applyNumberFormat="1" applyFont="1" applyFill="1" applyBorder="1" applyAlignment="1">
      <alignment vertical="center"/>
    </xf>
    <xf numFmtId="0" fontId="30" fillId="5" borderId="25" xfId="0" applyFont="1" applyFill="1" applyBorder="1" applyAlignment="1">
      <alignment vertical="center"/>
    </xf>
    <xf numFmtId="0" fontId="30" fillId="4" borderId="26" xfId="0" applyFont="1" applyFill="1" applyBorder="1" applyAlignment="1">
      <alignment vertical="center"/>
    </xf>
    <xf numFmtId="17" fontId="30" fillId="4" borderId="0" xfId="0" applyNumberFormat="1" applyFont="1" applyFill="1" applyAlignment="1">
      <alignment horizontal="center" vertical="center"/>
    </xf>
    <xf numFmtId="0" fontId="24" fillId="0" borderId="0" xfId="5"/>
    <xf numFmtId="0" fontId="24" fillId="4" borderId="0" xfId="5" applyFill="1"/>
    <xf numFmtId="0" fontId="27" fillId="0" borderId="0" xfId="8" applyFont="1" applyAlignment="1">
      <alignment wrapText="1"/>
    </xf>
    <xf numFmtId="0" fontId="35" fillId="0" borderId="0" xfId="8" applyFont="1" applyAlignment="1">
      <alignment wrapText="1"/>
    </xf>
    <xf numFmtId="0" fontId="24" fillId="0" borderId="0" xfId="8"/>
    <xf numFmtId="0" fontId="36" fillId="0" borderId="0" xfId="8" applyFont="1" applyAlignment="1">
      <alignment vertical="center"/>
    </xf>
    <xf numFmtId="0" fontId="37" fillId="0" borderId="0" xfId="8" applyFont="1" applyAlignment="1">
      <alignment vertical="center"/>
    </xf>
    <xf numFmtId="0" fontId="38" fillId="0" borderId="0" xfId="8" applyFont="1" applyAlignment="1">
      <alignment vertical="center"/>
    </xf>
    <xf numFmtId="0" fontId="39" fillId="0" borderId="0" xfId="8" applyFont="1"/>
    <xf numFmtId="0" fontId="25" fillId="9" borderId="27" xfId="8" applyFont="1" applyFill="1" applyBorder="1"/>
    <xf numFmtId="0" fontId="24" fillId="0" borderId="28" xfId="8" applyBorder="1"/>
    <xf numFmtId="0" fontId="25" fillId="9" borderId="29" xfId="8" applyFont="1" applyFill="1" applyBorder="1" applyAlignment="1">
      <alignment horizontal="center" vertical="center" wrapText="1"/>
    </xf>
    <xf numFmtId="0" fontId="24" fillId="0" borderId="0" xfId="8" applyAlignment="1">
      <alignment horizontal="center" vertical="center" wrapText="1"/>
    </xf>
    <xf numFmtId="0" fontId="28" fillId="10" borderId="30" xfId="8" applyFont="1" applyFill="1" applyBorder="1" applyAlignment="1">
      <alignment horizontal="left"/>
    </xf>
    <xf numFmtId="0" fontId="24" fillId="0" borderId="0" xfId="8" applyAlignment="1">
      <alignment horizontal="left"/>
    </xf>
    <xf numFmtId="0" fontId="24" fillId="0" borderId="0" xfId="8" applyAlignment="1">
      <alignment horizontal="left" indent="2"/>
    </xf>
    <xf numFmtId="0" fontId="24" fillId="0" borderId="0" xfId="8" applyAlignment="1">
      <alignment horizontal="left" indent="1"/>
    </xf>
    <xf numFmtId="169" fontId="24" fillId="0" borderId="0" xfId="8" applyNumberFormat="1"/>
    <xf numFmtId="0" fontId="24" fillId="0" borderId="30" xfId="8" applyBorder="1" applyAlignment="1">
      <alignment horizontal="left" indent="2"/>
    </xf>
    <xf numFmtId="0" fontId="24" fillId="0" borderId="30" xfId="8" applyBorder="1" applyAlignment="1">
      <alignment horizontal="left"/>
    </xf>
    <xf numFmtId="0" fontId="28" fillId="10" borderId="0" xfId="8" applyFont="1" applyFill="1" applyAlignment="1">
      <alignment horizontal="left"/>
    </xf>
    <xf numFmtId="0" fontId="28" fillId="0" borderId="31" xfId="8" applyFont="1" applyBorder="1" applyAlignment="1">
      <alignment horizontal="left"/>
    </xf>
    <xf numFmtId="0" fontId="24" fillId="0" borderId="0" xfId="8" applyAlignment="1">
      <alignment wrapText="1"/>
    </xf>
    <xf numFmtId="0" fontId="35" fillId="0" borderId="0" xfId="8" applyFont="1" applyAlignment="1">
      <alignment horizontal="left" wrapText="1"/>
    </xf>
    <xf numFmtId="0" fontId="40" fillId="0" borderId="0" xfId="8" applyFont="1" applyAlignment="1">
      <alignment vertical="center"/>
    </xf>
    <xf numFmtId="0" fontId="41" fillId="0" borderId="0" xfId="8" applyFont="1" applyAlignment="1">
      <alignment vertical="top" wrapText="1"/>
    </xf>
    <xf numFmtId="0" fontId="24" fillId="0" borderId="32" xfId="8" applyBorder="1"/>
    <xf numFmtId="0" fontId="24" fillId="0" borderId="33" xfId="8" applyBorder="1"/>
    <xf numFmtId="0" fontId="24" fillId="0" borderId="34" xfId="8" applyBorder="1"/>
    <xf numFmtId="0" fontId="24" fillId="0" borderId="35" xfId="8" applyBorder="1"/>
    <xf numFmtId="0" fontId="25" fillId="9" borderId="0" xfId="8" applyFont="1" applyFill="1" applyAlignment="1">
      <alignment horizontal="center" vertical="center" wrapText="1"/>
    </xf>
    <xf numFmtId="0" fontId="24" fillId="0" borderId="30" xfId="8" applyBorder="1" applyAlignment="1">
      <alignment horizontal="left" indent="1"/>
    </xf>
    <xf numFmtId="0" fontId="24" fillId="0" borderId="0" xfId="8" applyAlignment="1">
      <alignment vertical="center" wrapText="1"/>
    </xf>
    <xf numFmtId="0" fontId="24" fillId="0" borderId="0" xfId="8" applyAlignment="1">
      <alignment horizontal="center"/>
    </xf>
    <xf numFmtId="0" fontId="24" fillId="11" borderId="36" xfId="8" applyFill="1" applyBorder="1"/>
    <xf numFmtId="0" fontId="24" fillId="11" borderId="37" xfId="8" applyFill="1" applyBorder="1"/>
    <xf numFmtId="0" fontId="42" fillId="6" borderId="38" xfId="8" applyFont="1" applyFill="1" applyBorder="1" applyAlignment="1">
      <alignment horizontal="center"/>
    </xf>
    <xf numFmtId="0" fontId="25" fillId="12" borderId="39" xfId="8" applyFont="1" applyFill="1" applyBorder="1" applyAlignment="1">
      <alignment horizontal="left"/>
    </xf>
    <xf numFmtId="0" fontId="24" fillId="0" borderId="39" xfId="8" applyBorder="1" applyAlignment="1">
      <alignment horizontal="left"/>
    </xf>
    <xf numFmtId="0" fontId="24" fillId="0" borderId="39" xfId="8" applyBorder="1" applyAlignment="1">
      <alignment horizontal="left" indent="1"/>
    </xf>
    <xf numFmtId="0" fontId="25" fillId="12" borderId="40" xfId="8" applyFont="1" applyFill="1" applyBorder="1" applyAlignment="1">
      <alignment horizontal="left"/>
    </xf>
    <xf numFmtId="0" fontId="42" fillId="6" borderId="36" xfId="8" applyFont="1" applyFill="1" applyBorder="1" applyAlignment="1">
      <alignment horizontal="center" vertical="top"/>
    </xf>
    <xf numFmtId="0" fontId="42" fillId="6" borderId="41" xfId="8" applyFont="1" applyFill="1" applyBorder="1" applyAlignment="1">
      <alignment horizontal="center" vertical="top"/>
    </xf>
    <xf numFmtId="0" fontId="42" fillId="6" borderId="38" xfId="8" applyFont="1" applyFill="1" applyBorder="1" applyAlignment="1">
      <alignment horizontal="center" vertical="top"/>
    </xf>
    <xf numFmtId="0" fontId="24" fillId="0" borderId="0" xfId="8" applyAlignment="1">
      <alignment vertical="top"/>
    </xf>
    <xf numFmtId="0" fontId="24" fillId="11" borderId="42" xfId="8" applyFill="1" applyBorder="1"/>
    <xf numFmtId="0" fontId="24" fillId="11" borderId="43" xfId="8" applyFill="1" applyBorder="1"/>
    <xf numFmtId="0" fontId="42" fillId="6" borderId="44" xfId="8" applyFont="1" applyFill="1" applyBorder="1" applyAlignment="1">
      <alignment horizontal="center"/>
    </xf>
    <xf numFmtId="0" fontId="25" fillId="12" borderId="45" xfId="8" applyFont="1" applyFill="1" applyBorder="1" applyAlignment="1">
      <alignment horizontal="left"/>
    </xf>
    <xf numFmtId="0" fontId="24" fillId="0" borderId="45" xfId="8" applyBorder="1" applyAlignment="1">
      <alignment horizontal="left"/>
    </xf>
    <xf numFmtId="0" fontId="24" fillId="0" borderId="45" xfId="8" applyBorder="1" applyAlignment="1">
      <alignment horizontal="left" indent="1"/>
    </xf>
    <xf numFmtId="0" fontId="25" fillId="12" borderId="46" xfId="8" applyFont="1" applyFill="1" applyBorder="1" applyAlignment="1">
      <alignment horizontal="left"/>
    </xf>
    <xf numFmtId="0" fontId="42" fillId="6" borderId="47" xfId="8" applyFont="1" applyFill="1" applyBorder="1" applyAlignment="1">
      <alignment horizontal="center" vertical="top"/>
    </xf>
    <xf numFmtId="0" fontId="42" fillId="6" borderId="48" xfId="8" applyFont="1" applyFill="1" applyBorder="1" applyAlignment="1">
      <alignment horizontal="center" vertical="top"/>
    </xf>
    <xf numFmtId="0" fontId="42" fillId="6" borderId="44" xfId="8" applyFont="1" applyFill="1" applyBorder="1" applyAlignment="1">
      <alignment horizontal="center" vertical="top"/>
    </xf>
    <xf numFmtId="167" fontId="24" fillId="0" borderId="0" xfId="5" applyNumberFormat="1"/>
    <xf numFmtId="0" fontId="25" fillId="9" borderId="29" xfId="0" applyFont="1" applyFill="1" applyBorder="1" applyAlignment="1">
      <alignment horizontal="center" vertical="center" wrapText="1"/>
    </xf>
    <xf numFmtId="0" fontId="0" fillId="0" borderId="0" xfId="0" applyAlignment="1">
      <alignment horizontal="center" vertical="center" wrapText="1"/>
    </xf>
    <xf numFmtId="0" fontId="25" fillId="9" borderId="0" xfId="0" applyFont="1" applyFill="1" applyAlignment="1">
      <alignment horizontal="center" vertical="center" wrapText="1"/>
    </xf>
    <xf numFmtId="0" fontId="42" fillId="6" borderId="49" xfId="0" applyFont="1" applyFill="1" applyBorder="1" applyAlignment="1">
      <alignment horizontal="center"/>
    </xf>
    <xf numFmtId="0" fontId="43" fillId="0" borderId="0" xfId="0" applyFont="1" applyAlignment="1">
      <alignment horizontal="center"/>
    </xf>
    <xf numFmtId="0" fontId="16" fillId="2" borderId="0" xfId="0" applyFont="1" applyFill="1"/>
    <xf numFmtId="0" fontId="10" fillId="0" borderId="0" xfId="0" applyFont="1"/>
    <xf numFmtId="0" fontId="17" fillId="0" borderId="0" xfId="0" applyFont="1" applyAlignment="1">
      <alignment horizontal="center" vertical="center"/>
    </xf>
    <xf numFmtId="0" fontId="44" fillId="0" borderId="0" xfId="0" applyFont="1"/>
    <xf numFmtId="0" fontId="18" fillId="0" borderId="0" xfId="0" applyFont="1" applyAlignment="1">
      <alignment horizontal="left" vertical="center"/>
    </xf>
    <xf numFmtId="0" fontId="18" fillId="0" borderId="0" xfId="0" applyFont="1"/>
    <xf numFmtId="0" fontId="18" fillId="0" borderId="0" xfId="0" applyFont="1" applyAlignment="1">
      <alignment horizontal="center" vertical="center"/>
    </xf>
    <xf numFmtId="0" fontId="44" fillId="4" borderId="0" xfId="0" applyFont="1" applyFill="1"/>
    <xf numFmtId="0" fontId="20" fillId="0" borderId="0" xfId="0" applyFont="1"/>
    <xf numFmtId="0" fontId="20" fillId="0" borderId="0" xfId="0" applyFont="1" applyAlignment="1">
      <alignment horizontal="center" vertical="center"/>
    </xf>
    <xf numFmtId="168" fontId="45" fillId="4" borderId="1" xfId="2" applyNumberFormat="1" applyFont="1" applyFill="1" applyBorder="1" applyAlignment="1">
      <alignment horizontal="right" vertical="center"/>
    </xf>
    <xf numFmtId="166" fontId="46" fillId="13" borderId="3" xfId="2" applyNumberFormat="1" applyFont="1" applyFill="1" applyBorder="1" applyAlignment="1">
      <alignment horizontal="right" vertical="center"/>
    </xf>
    <xf numFmtId="0" fontId="17" fillId="4" borderId="0" xfId="0" applyFont="1" applyFill="1" applyAlignment="1">
      <alignment horizontal="center" vertical="center"/>
    </xf>
    <xf numFmtId="169" fontId="19" fillId="4" borderId="1" xfId="0" applyNumberFormat="1" applyFont="1" applyFill="1" applyBorder="1"/>
    <xf numFmtId="0" fontId="47" fillId="0" borderId="0" xfId="0" applyFont="1"/>
    <xf numFmtId="0" fontId="48" fillId="0" borderId="0" xfId="0" applyFont="1"/>
    <xf numFmtId="0" fontId="49" fillId="0" borderId="0" xfId="0" applyFont="1"/>
    <xf numFmtId="166" fontId="45" fillId="4" borderId="1" xfId="2" applyNumberFormat="1" applyFont="1" applyFill="1" applyBorder="1" applyAlignment="1">
      <alignment vertical="center"/>
    </xf>
    <xf numFmtId="0" fontId="50" fillId="4" borderId="0" xfId="5" applyFont="1" applyFill="1"/>
    <xf numFmtId="0" fontId="50" fillId="0" borderId="0" xfId="5" applyFont="1"/>
    <xf numFmtId="0" fontId="18" fillId="0" borderId="0" xfId="5" applyFont="1"/>
    <xf numFmtId="0" fontId="18" fillId="0" borderId="0" xfId="5" applyFont="1" applyAlignment="1">
      <alignment horizontal="center" vertical="center"/>
    </xf>
    <xf numFmtId="170" fontId="45" fillId="4" borderId="1" xfId="2" applyNumberFormat="1" applyFont="1" applyFill="1" applyBorder="1" applyAlignment="1">
      <alignment vertical="center"/>
    </xf>
    <xf numFmtId="17" fontId="21" fillId="2" borderId="0" xfId="0" applyNumberFormat="1" applyFont="1" applyFill="1" applyAlignment="1">
      <alignment horizontal="left"/>
    </xf>
    <xf numFmtId="43" fontId="44" fillId="0" borderId="0" xfId="0" applyNumberFormat="1" applyFont="1"/>
    <xf numFmtId="0" fontId="51" fillId="0" borderId="0" xfId="0" applyFont="1"/>
    <xf numFmtId="167" fontId="44" fillId="4" borderId="0" xfId="0" applyNumberFormat="1" applyFont="1" applyFill="1"/>
    <xf numFmtId="0" fontId="46" fillId="4" borderId="0" xfId="0" applyFont="1" applyFill="1" applyAlignment="1">
      <alignment horizontal="center" vertical="center"/>
    </xf>
    <xf numFmtId="167" fontId="45" fillId="4" borderId="0" xfId="10" applyNumberFormat="1" applyFont="1" applyFill="1" applyBorder="1" applyAlignment="1">
      <alignment horizontal="center" vertical="center"/>
    </xf>
    <xf numFmtId="0" fontId="46" fillId="14" borderId="1" xfId="0" applyFont="1" applyFill="1" applyBorder="1" applyAlignment="1">
      <alignment horizontal="center" vertical="center" wrapText="1"/>
    </xf>
    <xf numFmtId="0" fontId="45" fillId="5" borderId="1" xfId="0" applyFont="1" applyFill="1" applyBorder="1" applyAlignment="1">
      <alignment horizontal="center" vertical="center"/>
    </xf>
    <xf numFmtId="169" fontId="18" fillId="5" borderId="1" xfId="2" applyNumberFormat="1" applyFont="1" applyFill="1" applyBorder="1" applyAlignment="1">
      <alignment vertical="center"/>
    </xf>
    <xf numFmtId="166" fontId="45" fillId="5" borderId="1" xfId="2" applyNumberFormat="1" applyFont="1" applyFill="1" applyBorder="1" applyAlignment="1">
      <alignment vertical="center"/>
    </xf>
    <xf numFmtId="170" fontId="45" fillId="5" borderId="1" xfId="2" applyNumberFormat="1" applyFont="1" applyFill="1" applyBorder="1" applyAlignment="1">
      <alignment vertical="center"/>
    </xf>
    <xf numFmtId="168" fontId="45" fillId="5" borderId="1" xfId="2" applyNumberFormat="1" applyFont="1" applyFill="1" applyBorder="1" applyAlignment="1">
      <alignment horizontal="right" vertical="center"/>
    </xf>
    <xf numFmtId="0" fontId="45" fillId="4" borderId="1" xfId="0" applyFont="1" applyFill="1" applyBorder="1" applyAlignment="1">
      <alignment horizontal="center" vertical="center"/>
    </xf>
    <xf numFmtId="169" fontId="18" fillId="4" borderId="1" xfId="2" applyNumberFormat="1" applyFont="1" applyFill="1" applyBorder="1" applyAlignment="1">
      <alignment vertical="center"/>
    </xf>
    <xf numFmtId="168" fontId="18" fillId="5" borderId="1" xfId="2" applyNumberFormat="1" applyFont="1" applyFill="1" applyBorder="1" applyAlignment="1">
      <alignment horizontal="right" vertical="center"/>
    </xf>
    <xf numFmtId="169" fontId="18" fillId="4" borderId="1" xfId="2" applyNumberFormat="1" applyFont="1" applyFill="1" applyBorder="1" applyAlignment="1">
      <alignment horizontal="right" vertical="center"/>
    </xf>
    <xf numFmtId="0" fontId="45" fillId="14" borderId="3" xfId="0" applyFont="1" applyFill="1" applyBorder="1" applyAlignment="1">
      <alignment vertical="center"/>
    </xf>
    <xf numFmtId="0" fontId="45" fillId="14" borderId="4" xfId="0" applyFont="1" applyFill="1" applyBorder="1" applyAlignment="1">
      <alignment vertical="center"/>
    </xf>
    <xf numFmtId="17" fontId="25" fillId="15" borderId="1" xfId="0" applyNumberFormat="1" applyFont="1" applyFill="1" applyBorder="1" applyAlignment="1">
      <alignment horizontal="center" vertical="center"/>
    </xf>
    <xf numFmtId="0" fontId="25" fillId="15" borderId="1" xfId="0" applyFont="1" applyFill="1" applyBorder="1" applyAlignment="1">
      <alignment horizontal="center" vertical="center"/>
    </xf>
    <xf numFmtId="17" fontId="25" fillId="16" borderId="1" xfId="0" applyNumberFormat="1" applyFont="1" applyFill="1" applyBorder="1" applyAlignment="1">
      <alignment horizontal="center" vertical="center"/>
    </xf>
    <xf numFmtId="0" fontId="25" fillId="16" borderId="1" xfId="0" applyFont="1" applyFill="1" applyBorder="1" applyAlignment="1">
      <alignment horizontal="center" vertical="center"/>
    </xf>
    <xf numFmtId="167" fontId="52" fillId="5" borderId="5" xfId="10" applyNumberFormat="1" applyFont="1" applyFill="1" applyBorder="1" applyAlignment="1">
      <alignment horizontal="right" vertical="center"/>
    </xf>
    <xf numFmtId="167" fontId="52" fillId="5" borderId="6" xfId="10" applyNumberFormat="1" applyFont="1" applyFill="1" applyBorder="1" applyAlignment="1">
      <alignment horizontal="center" vertical="center"/>
    </xf>
    <xf numFmtId="167" fontId="52" fillId="5" borderId="1" xfId="10" applyNumberFormat="1" applyFont="1" applyFill="1" applyBorder="1" applyAlignment="1">
      <alignment horizontal="right" vertical="center"/>
    </xf>
    <xf numFmtId="167" fontId="52" fillId="0" borderId="5" xfId="10" applyNumberFormat="1" applyFont="1" applyFill="1" applyBorder="1" applyAlignment="1">
      <alignment horizontal="right" vertical="center"/>
    </xf>
    <xf numFmtId="167" fontId="52" fillId="0" borderId="6" xfId="10" applyNumberFormat="1" applyFont="1" applyFill="1" applyBorder="1" applyAlignment="1">
      <alignment horizontal="center" vertical="center"/>
    </xf>
    <xf numFmtId="167" fontId="52" fillId="0" borderId="1" xfId="10" applyNumberFormat="1" applyFont="1" applyFill="1" applyBorder="1" applyAlignment="1">
      <alignment horizontal="right" vertical="center"/>
    </xf>
    <xf numFmtId="167" fontId="33" fillId="0" borderId="5" xfId="10" applyNumberFormat="1" applyFont="1" applyFill="1" applyBorder="1" applyAlignment="1">
      <alignment horizontal="right" vertical="center"/>
    </xf>
    <xf numFmtId="167" fontId="33" fillId="0" borderId="6" xfId="10" applyNumberFormat="1" applyFont="1" applyFill="1" applyBorder="1" applyAlignment="1">
      <alignment horizontal="center" vertical="center"/>
    </xf>
    <xf numFmtId="167" fontId="33" fillId="0" borderId="1" xfId="10" applyNumberFormat="1" applyFont="1" applyFill="1" applyBorder="1" applyAlignment="1">
      <alignment horizontal="right" vertical="center"/>
    </xf>
    <xf numFmtId="0" fontId="25" fillId="16" borderId="50" xfId="0" applyFont="1" applyFill="1" applyBorder="1" applyAlignment="1">
      <alignment horizontal="center" vertical="center" wrapText="1"/>
    </xf>
    <xf numFmtId="0" fontId="25" fillId="16" borderId="51" xfId="0" applyFont="1" applyFill="1" applyBorder="1" applyAlignment="1">
      <alignment vertical="center" wrapText="1"/>
    </xf>
    <xf numFmtId="0" fontId="53" fillId="5" borderId="7" xfId="0" applyFont="1" applyFill="1" applyBorder="1" applyAlignment="1">
      <alignment vertical="center"/>
    </xf>
    <xf numFmtId="166" fontId="33" fillId="5" borderId="1" xfId="2" applyNumberFormat="1" applyFont="1" applyFill="1" applyBorder="1"/>
    <xf numFmtId="166" fontId="52" fillId="5" borderId="1" xfId="2" applyNumberFormat="1" applyFont="1" applyFill="1" applyBorder="1" applyAlignment="1">
      <alignment horizontal="right" vertical="center"/>
    </xf>
    <xf numFmtId="0" fontId="53" fillId="0" borderId="7" xfId="0" applyFont="1" applyBorder="1" applyAlignment="1">
      <alignment horizontal="left" vertical="center" indent="1"/>
    </xf>
    <xf numFmtId="166" fontId="33" fillId="0" borderId="1" xfId="2" applyNumberFormat="1" applyFont="1" applyFill="1" applyBorder="1"/>
    <xf numFmtId="166" fontId="52" fillId="0" borderId="1" xfId="2" applyNumberFormat="1" applyFont="1" applyFill="1" applyBorder="1" applyAlignment="1">
      <alignment horizontal="right" vertical="center"/>
    </xf>
    <xf numFmtId="0" fontId="32" fillId="0" borderId="7" xfId="0" applyFont="1" applyBorder="1" applyAlignment="1">
      <alignment horizontal="left" vertical="center" indent="1"/>
    </xf>
    <xf numFmtId="166" fontId="33" fillId="0" borderId="1" xfId="2" applyNumberFormat="1" applyFont="1" applyFill="1" applyBorder="1" applyAlignment="1">
      <alignment horizontal="right" vertical="center"/>
    </xf>
    <xf numFmtId="0" fontId="25" fillId="16" borderId="2" xfId="0" applyFont="1" applyFill="1" applyBorder="1" applyAlignment="1">
      <alignment horizontal="center" vertical="center" wrapText="1"/>
    </xf>
    <xf numFmtId="14" fontId="25" fillId="16" borderId="9" xfId="0" applyNumberFormat="1" applyFont="1" applyFill="1" applyBorder="1" applyAlignment="1">
      <alignment vertical="center" wrapText="1"/>
    </xf>
    <xf numFmtId="17" fontId="25" fillId="15" borderId="10" xfId="0" applyNumberFormat="1" applyFont="1" applyFill="1" applyBorder="1" applyAlignment="1">
      <alignment horizontal="center" vertical="center"/>
    </xf>
    <xf numFmtId="14" fontId="25" fillId="16" borderId="1" xfId="0" applyNumberFormat="1" applyFont="1" applyFill="1" applyBorder="1" applyAlignment="1">
      <alignment horizontal="center" vertical="center"/>
    </xf>
    <xf numFmtId="0" fontId="53" fillId="4" borderId="1" xfId="0" applyFont="1" applyFill="1" applyBorder="1" applyAlignment="1">
      <alignment horizontal="center" vertical="center"/>
    </xf>
    <xf numFmtId="0" fontId="53" fillId="4" borderId="9" xfId="0" applyFont="1" applyFill="1" applyBorder="1" applyAlignment="1">
      <alignment vertical="center"/>
    </xf>
    <xf numFmtId="166" fontId="52" fillId="4" borderId="1" xfId="2" applyNumberFormat="1" applyFont="1" applyFill="1" applyBorder="1" applyAlignment="1">
      <alignment horizontal="right" vertical="center"/>
    </xf>
    <xf numFmtId="167" fontId="52" fillId="4" borderId="1" xfId="10" applyNumberFormat="1" applyFont="1" applyFill="1" applyBorder="1" applyAlignment="1">
      <alignment horizontal="right" vertical="center"/>
    </xf>
    <xf numFmtId="167" fontId="52" fillId="0" borderId="1" xfId="10" applyNumberFormat="1" applyFont="1" applyFill="1" applyBorder="1" applyAlignment="1">
      <alignment horizontal="center" vertical="center"/>
    </xf>
    <xf numFmtId="0" fontId="53" fillId="4" borderId="1" xfId="0" applyFont="1" applyFill="1" applyBorder="1" applyAlignment="1">
      <alignment vertical="center"/>
    </xf>
    <xf numFmtId="166" fontId="54" fillId="4" borderId="1" xfId="2" applyNumberFormat="1" applyFont="1" applyFill="1" applyBorder="1" applyAlignment="1">
      <alignment horizontal="right" vertical="center"/>
    </xf>
    <xf numFmtId="0" fontId="32" fillId="4" borderId="1" xfId="0" applyFont="1" applyFill="1" applyBorder="1" applyAlignment="1">
      <alignment vertical="center"/>
    </xf>
    <xf numFmtId="166" fontId="33" fillId="4" borderId="1" xfId="2" applyNumberFormat="1" applyFont="1" applyFill="1" applyBorder="1" applyAlignment="1">
      <alignment horizontal="right" vertical="center"/>
    </xf>
    <xf numFmtId="167" fontId="33" fillId="4" borderId="1" xfId="10" applyNumberFormat="1" applyFont="1" applyFill="1" applyBorder="1" applyAlignment="1">
      <alignment horizontal="right" vertical="center"/>
    </xf>
    <xf numFmtId="166" fontId="33" fillId="4" borderId="1" xfId="2" applyNumberFormat="1" applyFont="1" applyFill="1" applyBorder="1"/>
    <xf numFmtId="167" fontId="33" fillId="0" borderId="1" xfId="10" applyNumberFormat="1" applyFont="1" applyFill="1" applyBorder="1" applyAlignment="1">
      <alignment horizontal="center" vertical="center"/>
    </xf>
    <xf numFmtId="166" fontId="25" fillId="15" borderId="1" xfId="2" applyNumberFormat="1" applyFont="1" applyFill="1" applyBorder="1" applyAlignment="1">
      <alignment horizontal="right" vertical="center"/>
    </xf>
    <xf numFmtId="167" fontId="25" fillId="15" borderId="1" xfId="10" applyNumberFormat="1" applyFont="1" applyFill="1" applyBorder="1" applyAlignment="1">
      <alignment horizontal="right" vertical="center"/>
    </xf>
    <xf numFmtId="166" fontId="25" fillId="16" borderId="1" xfId="2" applyNumberFormat="1" applyFont="1" applyFill="1" applyBorder="1" applyAlignment="1">
      <alignment horizontal="right"/>
    </xf>
    <xf numFmtId="167" fontId="25" fillId="16" borderId="1" xfId="10" applyNumberFormat="1" applyFont="1" applyFill="1" applyBorder="1" applyAlignment="1">
      <alignment horizontal="right" vertical="center"/>
    </xf>
    <xf numFmtId="166" fontId="25" fillId="16" borderId="1" xfId="2" applyNumberFormat="1" applyFont="1" applyFill="1" applyBorder="1" applyAlignment="1">
      <alignment horizontal="right" vertical="center"/>
    </xf>
    <xf numFmtId="167" fontId="25" fillId="15" borderId="1" xfId="10" applyNumberFormat="1" applyFont="1" applyFill="1" applyBorder="1" applyAlignment="1">
      <alignment horizontal="right"/>
    </xf>
    <xf numFmtId="43" fontId="24" fillId="0" borderId="0" xfId="8" applyNumberFormat="1"/>
    <xf numFmtId="0" fontId="55" fillId="0" borderId="0" xfId="0" applyFont="1"/>
    <xf numFmtId="10" fontId="55" fillId="0" borderId="0" xfId="0" applyNumberFormat="1" applyFont="1"/>
    <xf numFmtId="9" fontId="52" fillId="4" borderId="1" xfId="10" applyFont="1" applyFill="1" applyBorder="1" applyAlignment="1">
      <alignment horizontal="right" vertical="center"/>
    </xf>
    <xf numFmtId="0" fontId="32" fillId="4" borderId="9" xfId="0" applyFont="1" applyFill="1" applyBorder="1" applyAlignment="1">
      <alignment vertical="center"/>
    </xf>
    <xf numFmtId="168" fontId="33" fillId="4" borderId="1" xfId="2" applyNumberFormat="1" applyFont="1" applyFill="1" applyBorder="1" applyAlignment="1">
      <alignment vertical="center"/>
    </xf>
    <xf numFmtId="168" fontId="33" fillId="4" borderId="1" xfId="0" applyNumberFormat="1" applyFont="1" applyFill="1" applyBorder="1"/>
    <xf numFmtId="168" fontId="33" fillId="4" borderId="1" xfId="0" applyNumberFormat="1" applyFont="1" applyFill="1" applyBorder="1" applyAlignment="1">
      <alignment horizontal="right" vertical="center"/>
    </xf>
    <xf numFmtId="167" fontId="33" fillId="4" borderId="1" xfId="10" applyNumberFormat="1" applyFont="1" applyFill="1" applyBorder="1" applyAlignment="1">
      <alignment horizontal="center" vertical="center"/>
    </xf>
    <xf numFmtId="168" fontId="25" fillId="16" borderId="1" xfId="0" applyNumberFormat="1" applyFont="1" applyFill="1" applyBorder="1" applyAlignment="1">
      <alignment horizontal="right" vertical="center"/>
    </xf>
    <xf numFmtId="167" fontId="25" fillId="15" borderId="1" xfId="10" applyNumberFormat="1" applyFont="1" applyFill="1" applyBorder="1" applyAlignment="1">
      <alignment horizontal="center" vertical="center"/>
    </xf>
    <xf numFmtId="0" fontId="53" fillId="0" borderId="1" xfId="0" applyFont="1" applyBorder="1" applyAlignment="1">
      <alignment horizontal="center" vertical="center"/>
    </xf>
    <xf numFmtId="0" fontId="32" fillId="0" borderId="1" xfId="0" applyFont="1" applyBorder="1" applyAlignment="1">
      <alignment vertical="center"/>
    </xf>
    <xf numFmtId="168" fontId="33" fillId="0" borderId="1" xfId="2" applyNumberFormat="1" applyFont="1" applyFill="1" applyBorder="1" applyAlignment="1">
      <alignment vertical="center"/>
    </xf>
    <xf numFmtId="168" fontId="33" fillId="0" borderId="1" xfId="0" applyNumberFormat="1" applyFont="1" applyBorder="1" applyAlignment="1">
      <alignment horizontal="right" vertical="center"/>
    </xf>
    <xf numFmtId="166" fontId="53" fillId="0" borderId="1" xfId="2" applyNumberFormat="1" applyFont="1" applyFill="1" applyBorder="1" applyAlignment="1">
      <alignment horizontal="center" vertical="center"/>
    </xf>
    <xf numFmtId="167" fontId="52" fillId="4" borderId="1" xfId="10" applyNumberFormat="1" applyFont="1" applyFill="1" applyBorder="1" applyAlignment="1">
      <alignment horizontal="center" vertical="center"/>
    </xf>
    <xf numFmtId="0" fontId="25" fillId="16" borderId="1" xfId="2" applyNumberFormat="1" applyFont="1" applyFill="1" applyBorder="1" applyAlignment="1">
      <alignment horizontal="center" vertical="center"/>
    </xf>
    <xf numFmtId="166" fontId="25" fillId="16" borderId="1" xfId="2" applyNumberFormat="1" applyFont="1" applyFill="1" applyBorder="1" applyAlignment="1">
      <alignment horizontal="center" vertical="center"/>
    </xf>
    <xf numFmtId="49" fontId="25" fillId="16" borderId="1" xfId="2" applyNumberFormat="1" applyFont="1" applyFill="1" applyBorder="1" applyAlignment="1">
      <alignment horizontal="center" vertical="center"/>
    </xf>
    <xf numFmtId="166" fontId="32" fillId="0" borderId="1" xfId="2" applyNumberFormat="1" applyFont="1" applyFill="1" applyBorder="1" applyAlignment="1">
      <alignment horizontal="center" vertical="center"/>
    </xf>
    <xf numFmtId="9" fontId="25" fillId="15" borderId="1" xfId="10" applyFont="1" applyFill="1" applyBorder="1" applyAlignment="1">
      <alignment horizontal="right" vertical="center"/>
    </xf>
    <xf numFmtId="167" fontId="33" fillId="0" borderId="0" xfId="10" applyNumberFormat="1" applyFont="1" applyFill="1" applyBorder="1" applyAlignment="1">
      <alignment horizontal="right" vertical="center"/>
    </xf>
    <xf numFmtId="0" fontId="25" fillId="0" borderId="0" xfId="0" applyFont="1" applyAlignment="1">
      <alignment horizontal="center" vertical="center"/>
    </xf>
    <xf numFmtId="17" fontId="25" fillId="0" borderId="0" xfId="0" applyNumberFormat="1" applyFont="1" applyAlignment="1">
      <alignment horizontal="center" vertical="center"/>
    </xf>
    <xf numFmtId="9" fontId="25" fillId="0" borderId="0" xfId="10" applyFont="1" applyFill="1" applyBorder="1" applyAlignment="1">
      <alignment horizontal="right" vertical="center"/>
    </xf>
    <xf numFmtId="0" fontId="46" fillId="0" borderId="0" xfId="0" applyFont="1" applyAlignment="1">
      <alignment horizontal="center" vertical="center"/>
    </xf>
    <xf numFmtId="17" fontId="46" fillId="0" borderId="0" xfId="0" applyNumberFormat="1" applyFont="1" applyAlignment="1">
      <alignment horizontal="center" vertical="center"/>
    </xf>
    <xf numFmtId="167" fontId="19" fillId="0" borderId="0" xfId="10" applyNumberFormat="1" applyFont="1" applyFill="1" applyBorder="1" applyAlignment="1">
      <alignment horizontal="center" vertical="center"/>
    </xf>
    <xf numFmtId="167" fontId="46" fillId="0" borderId="0" xfId="10" applyNumberFormat="1" applyFont="1" applyFill="1" applyBorder="1" applyAlignment="1">
      <alignment horizontal="center" vertical="center"/>
    </xf>
    <xf numFmtId="166" fontId="33" fillId="4" borderId="1" xfId="2" applyNumberFormat="1" applyFont="1" applyFill="1" applyBorder="1" applyAlignment="1">
      <alignment vertical="center"/>
    </xf>
    <xf numFmtId="166" fontId="33" fillId="0" borderId="1" xfId="2" applyNumberFormat="1" applyFont="1" applyFill="1" applyBorder="1" applyAlignment="1">
      <alignment vertical="center"/>
    </xf>
    <xf numFmtId="0" fontId="46" fillId="0" borderId="0" xfId="0" applyFont="1" applyAlignment="1">
      <alignment horizontal="center" vertical="center" wrapText="1"/>
    </xf>
    <xf numFmtId="167" fontId="45" fillId="0" borderId="0" xfId="10" applyNumberFormat="1" applyFont="1" applyFill="1" applyBorder="1" applyAlignment="1">
      <alignment horizontal="center" vertical="center"/>
    </xf>
    <xf numFmtId="167" fontId="33" fillId="4" borderId="1" xfId="10" applyNumberFormat="1" applyFont="1" applyFill="1" applyBorder="1" applyAlignment="1">
      <alignment vertical="center"/>
    </xf>
    <xf numFmtId="167" fontId="33" fillId="4" borderId="1" xfId="10" applyNumberFormat="1" applyFont="1" applyFill="1" applyBorder="1"/>
    <xf numFmtId="167" fontId="33" fillId="0" borderId="1" xfId="10" applyNumberFormat="1" applyFont="1" applyFill="1" applyBorder="1" applyAlignment="1">
      <alignment vertical="center"/>
    </xf>
    <xf numFmtId="9" fontId="23" fillId="0" borderId="0" xfId="10" applyFont="1"/>
    <xf numFmtId="0" fontId="41" fillId="0" borderId="0" xfId="9" applyFont="1"/>
    <xf numFmtId="49" fontId="41" fillId="0" borderId="0" xfId="9" applyNumberFormat="1" applyFont="1" applyAlignment="1">
      <alignment horizontal="center" vertical="center"/>
    </xf>
    <xf numFmtId="3" fontId="41" fillId="0" borderId="0" xfId="9" applyNumberFormat="1" applyFont="1" applyAlignment="1">
      <alignment horizontal="center" vertical="center"/>
    </xf>
    <xf numFmtId="0" fontId="56" fillId="0" borderId="0" xfId="9" applyFont="1"/>
    <xf numFmtId="10" fontId="41" fillId="0" borderId="0" xfId="9" applyNumberFormat="1" applyFont="1" applyAlignment="1">
      <alignment horizontal="center" vertical="center"/>
    </xf>
    <xf numFmtId="49" fontId="57" fillId="16" borderId="0" xfId="9" applyNumberFormat="1" applyFont="1" applyFill="1" applyAlignment="1">
      <alignment horizontal="center" vertical="center"/>
    </xf>
    <xf numFmtId="0" fontId="57" fillId="16" borderId="0" xfId="9" applyFont="1" applyFill="1" applyAlignment="1">
      <alignment horizontal="center" vertical="center"/>
    </xf>
    <xf numFmtId="4" fontId="57" fillId="16" borderId="0" xfId="9" applyNumberFormat="1" applyFont="1" applyFill="1" applyAlignment="1">
      <alignment horizontal="center" vertical="center" wrapText="1"/>
    </xf>
    <xf numFmtId="0" fontId="57" fillId="16" borderId="0" xfId="9" applyFont="1" applyFill="1" applyAlignment="1">
      <alignment horizontal="center" vertical="center" wrapText="1"/>
    </xf>
    <xf numFmtId="0" fontId="41" fillId="0" borderId="0" xfId="9" applyFont="1" applyAlignment="1">
      <alignment horizontal="center" vertical="center"/>
    </xf>
    <xf numFmtId="0" fontId="41" fillId="0" borderId="0" xfId="9" applyFont="1" applyAlignment="1">
      <alignment horizontal="center"/>
    </xf>
    <xf numFmtId="3" fontId="41" fillId="0" borderId="0" xfId="9" applyNumberFormat="1" applyFont="1" applyAlignment="1">
      <alignment horizontal="right" vertical="center"/>
    </xf>
    <xf numFmtId="3" fontId="41" fillId="0" borderId="11" xfId="9" applyNumberFormat="1" applyFont="1" applyBorder="1" applyAlignment="1">
      <alignment horizontal="right" vertical="center"/>
    </xf>
    <xf numFmtId="49" fontId="41" fillId="0" borderId="0" xfId="9" applyNumberFormat="1" applyFont="1" applyAlignment="1">
      <alignment horizontal="center"/>
    </xf>
    <xf numFmtId="3" fontId="56" fillId="0" borderId="12" xfId="4" applyNumberFormat="1" applyFont="1" applyFill="1" applyBorder="1" applyAlignment="1">
      <alignment horizontal="right" vertical="center"/>
    </xf>
    <xf numFmtId="3" fontId="56" fillId="0" borderId="12" xfId="4" applyNumberFormat="1" applyFont="1" applyFill="1" applyBorder="1" applyAlignment="1">
      <alignment horizontal="right" vertical="center" wrapText="1"/>
    </xf>
    <xf numFmtId="3" fontId="56" fillId="0" borderId="0" xfId="4" applyNumberFormat="1" applyFont="1" applyFill="1" applyBorder="1" applyAlignment="1">
      <alignment horizontal="right" vertical="center"/>
    </xf>
    <xf numFmtId="3" fontId="56" fillId="0" borderId="0" xfId="4" applyNumberFormat="1" applyFont="1" applyFill="1" applyBorder="1" applyAlignment="1">
      <alignment horizontal="right" vertical="center" wrapText="1"/>
    </xf>
    <xf numFmtId="4" fontId="41" fillId="0" borderId="0" xfId="9" applyNumberFormat="1" applyFont="1"/>
    <xf numFmtId="4" fontId="41" fillId="0" borderId="0" xfId="9" applyNumberFormat="1" applyFont="1" applyAlignment="1">
      <alignment horizontal="right" vertical="center"/>
    </xf>
    <xf numFmtId="4" fontId="41" fillId="0" borderId="0" xfId="9" applyNumberFormat="1" applyFont="1" applyAlignment="1">
      <alignment horizontal="center" vertical="center"/>
    </xf>
    <xf numFmtId="3" fontId="41" fillId="0" borderId="0" xfId="9" applyNumberFormat="1" applyFont="1"/>
    <xf numFmtId="0" fontId="58" fillId="3" borderId="0" xfId="1" applyFont="1" applyAlignment="1">
      <alignment horizontal="center" vertical="center" wrapText="1"/>
    </xf>
    <xf numFmtId="171" fontId="58" fillId="3" borderId="0" xfId="1" applyNumberFormat="1" applyFont="1" applyAlignment="1">
      <alignment horizontal="center" vertical="center" wrapText="1"/>
    </xf>
    <xf numFmtId="0" fontId="59" fillId="17" borderId="0" xfId="9" applyFont="1" applyFill="1" applyAlignment="1">
      <alignment horizontal="left"/>
    </xf>
    <xf numFmtId="3" fontId="59" fillId="17" borderId="0" xfId="9" applyNumberFormat="1" applyFont="1" applyFill="1" applyAlignment="1">
      <alignment horizontal="right"/>
    </xf>
    <xf numFmtId="0" fontId="41" fillId="18" borderId="0" xfId="9" applyFont="1" applyFill="1"/>
    <xf numFmtId="167" fontId="41" fillId="18" borderId="0" xfId="9" applyNumberFormat="1" applyFont="1" applyFill="1" applyAlignment="1">
      <alignment horizontal="right" vertical="center"/>
    </xf>
    <xf numFmtId="3" fontId="41" fillId="18" borderId="0" xfId="9" applyNumberFormat="1" applyFont="1" applyFill="1" applyAlignment="1">
      <alignment horizontal="right" vertical="center"/>
    </xf>
    <xf numFmtId="0" fontId="60" fillId="19" borderId="0" xfId="9" applyFont="1" applyFill="1" applyAlignment="1">
      <alignment horizontal="left"/>
    </xf>
    <xf numFmtId="167" fontId="60" fillId="19" borderId="0" xfId="9" applyNumberFormat="1" applyFont="1" applyFill="1" applyAlignment="1">
      <alignment horizontal="right"/>
    </xf>
    <xf numFmtId="4" fontId="41" fillId="0" borderId="0" xfId="9" applyNumberFormat="1" applyFont="1" applyAlignment="1">
      <alignment horizontal="center" vertical="center" wrapText="1"/>
    </xf>
    <xf numFmtId="4" fontId="41" fillId="0" borderId="0" xfId="9" applyNumberFormat="1" applyFont="1" applyAlignment="1">
      <alignment wrapText="1"/>
    </xf>
    <xf numFmtId="0" fontId="41" fillId="0" borderId="0" xfId="9" applyFont="1" applyAlignment="1">
      <alignment wrapText="1"/>
    </xf>
    <xf numFmtId="165" fontId="41" fillId="0" borderId="0" xfId="2" applyFont="1"/>
    <xf numFmtId="4" fontId="24" fillId="0" borderId="0" xfId="8" applyNumberFormat="1"/>
    <xf numFmtId="0" fontId="61" fillId="16" borderId="13" xfId="0" applyFont="1" applyFill="1" applyBorder="1" applyAlignment="1">
      <alignment vertical="center"/>
    </xf>
    <xf numFmtId="0" fontId="61" fillId="16" borderId="7" xfId="0" applyFont="1" applyFill="1" applyBorder="1" applyAlignment="1">
      <alignment vertical="center"/>
    </xf>
    <xf numFmtId="0" fontId="61" fillId="16" borderId="8" xfId="0" applyFont="1" applyFill="1" applyBorder="1" applyAlignment="1">
      <alignment vertical="center"/>
    </xf>
    <xf numFmtId="9" fontId="25" fillId="16" borderId="1" xfId="2" applyNumberFormat="1" applyFont="1" applyFill="1" applyBorder="1" applyAlignment="1">
      <alignment horizontal="right"/>
    </xf>
    <xf numFmtId="169" fontId="18" fillId="4" borderId="1" xfId="0" applyNumberFormat="1" applyFont="1" applyFill="1" applyBorder="1"/>
    <xf numFmtId="172" fontId="44" fillId="0" borderId="0" xfId="0" applyNumberFormat="1" applyFont="1"/>
    <xf numFmtId="0" fontId="62" fillId="0" borderId="0" xfId="0" applyFont="1"/>
    <xf numFmtId="0" fontId="63" fillId="0" borderId="0" xfId="0" applyFont="1"/>
    <xf numFmtId="167" fontId="45" fillId="5" borderId="1" xfId="10" applyNumberFormat="1" applyFont="1" applyFill="1" applyBorder="1" applyAlignment="1">
      <alignment horizontal="right" vertical="center"/>
    </xf>
    <xf numFmtId="167" fontId="45" fillId="4" borderId="1" xfId="10" applyNumberFormat="1" applyFont="1" applyFill="1" applyBorder="1" applyAlignment="1">
      <alignment horizontal="right" vertical="center"/>
    </xf>
    <xf numFmtId="167" fontId="18" fillId="5" borderId="1" xfId="10" applyNumberFormat="1" applyFont="1" applyFill="1" applyBorder="1" applyAlignment="1">
      <alignment horizontal="right" vertical="center"/>
    </xf>
    <xf numFmtId="167" fontId="46" fillId="13" borderId="3" xfId="10" applyNumberFormat="1" applyFont="1" applyFill="1" applyBorder="1" applyAlignment="1">
      <alignment horizontal="right" vertical="center"/>
    </xf>
    <xf numFmtId="166" fontId="33" fillId="5" borderId="1" xfId="2" applyNumberFormat="1" applyFont="1" applyFill="1" applyBorder="1" applyAlignment="1">
      <alignment horizontal="right" vertical="center"/>
    </xf>
    <xf numFmtId="0" fontId="64" fillId="0" borderId="0" xfId="0" applyFont="1"/>
    <xf numFmtId="10" fontId="64" fillId="0" borderId="0" xfId="10" applyNumberFormat="1" applyFont="1"/>
    <xf numFmtId="9" fontId="33" fillId="4" borderId="1" xfId="10" applyFont="1" applyFill="1" applyBorder="1" applyAlignment="1">
      <alignment horizontal="right" vertical="center"/>
    </xf>
    <xf numFmtId="9" fontId="33" fillId="0" borderId="1" xfId="10" applyFont="1" applyFill="1" applyBorder="1" applyAlignment="1">
      <alignment horizontal="right" vertical="center"/>
    </xf>
    <xf numFmtId="0" fontId="24" fillId="0" borderId="11" xfId="8" applyBorder="1" applyAlignment="1">
      <alignment wrapText="1"/>
    </xf>
    <xf numFmtId="0" fontId="65" fillId="16" borderId="14" xfId="0" applyFont="1" applyFill="1" applyBorder="1" applyAlignment="1">
      <alignment vertical="center"/>
    </xf>
    <xf numFmtId="0" fontId="36" fillId="0" borderId="0" xfId="0"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xf>
    <xf numFmtId="0" fontId="36" fillId="0" borderId="0" xfId="8" applyFont="1" applyAlignment="1">
      <alignment horizontal="center" vertical="center"/>
    </xf>
    <xf numFmtId="0" fontId="37" fillId="0" borderId="0" xfId="8" applyFont="1" applyAlignment="1">
      <alignment horizontal="center" vertical="center"/>
    </xf>
    <xf numFmtId="0" fontId="24" fillId="0" borderId="52" xfId="8" applyBorder="1" applyAlignment="1">
      <alignment horizontal="left" vertical="center" wrapText="1"/>
    </xf>
    <xf numFmtId="0" fontId="24" fillId="0" borderId="53" xfId="8" applyBorder="1" applyAlignment="1">
      <alignment horizontal="left" vertical="center" wrapText="1"/>
    </xf>
    <xf numFmtId="0" fontId="24" fillId="0" borderId="11" xfId="8" applyBorder="1" applyAlignment="1">
      <alignment horizontal="left" vertical="center" wrapText="1"/>
    </xf>
    <xf numFmtId="0" fontId="40" fillId="0" borderId="0" xfId="8" applyFont="1" applyAlignment="1">
      <alignment horizontal="center" vertical="center"/>
    </xf>
    <xf numFmtId="0" fontId="66" fillId="0" borderId="0" xfId="8" applyFont="1" applyAlignment="1">
      <alignment horizontal="center" vertical="center" wrapText="1"/>
    </xf>
    <xf numFmtId="0" fontId="67" fillId="0" borderId="0" xfId="8" applyFont="1" applyAlignment="1">
      <alignment horizontal="center" vertical="center"/>
    </xf>
    <xf numFmtId="0" fontId="68" fillId="0" borderId="0" xfId="8" applyFont="1" applyAlignment="1">
      <alignment horizontal="center" vertical="center"/>
    </xf>
    <xf numFmtId="0" fontId="69" fillId="0" borderId="0" xfId="8" applyFont="1" applyAlignment="1">
      <alignment horizontal="center" vertical="center"/>
    </xf>
    <xf numFmtId="0" fontId="70" fillId="0" borderId="0" xfId="8" applyFont="1" applyAlignment="1">
      <alignment horizontal="center"/>
    </xf>
    <xf numFmtId="0" fontId="36" fillId="0" borderId="0" xfId="0" applyFont="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9" fillId="0" borderId="0" xfId="0" applyFont="1" applyAlignment="1">
      <alignment horizontal="left"/>
    </xf>
    <xf numFmtId="0" fontId="36" fillId="0" borderId="0" xfId="8" applyFont="1" applyAlignment="1">
      <alignment horizontal="left" vertical="center"/>
    </xf>
    <xf numFmtId="0" fontId="37" fillId="0" borderId="0" xfId="8" applyFont="1" applyAlignment="1">
      <alignment horizontal="left" vertical="center"/>
    </xf>
    <xf numFmtId="0" fontId="39" fillId="0" borderId="0" xfId="8" applyFont="1" applyAlignment="1">
      <alignment horizontal="left"/>
    </xf>
    <xf numFmtId="0" fontId="66" fillId="0" borderId="0" xfId="8" applyFont="1" applyAlignment="1">
      <alignment horizontal="left" vertical="center"/>
    </xf>
    <xf numFmtId="0" fontId="67" fillId="0" borderId="0" xfId="8" applyFont="1" applyAlignment="1">
      <alignment horizontal="left" vertical="center"/>
    </xf>
    <xf numFmtId="0" fontId="68" fillId="0" borderId="0" xfId="8" applyFont="1" applyAlignment="1">
      <alignment horizontal="left" vertical="center"/>
    </xf>
    <xf numFmtId="0" fontId="69" fillId="0" borderId="0" xfId="8" applyFont="1" applyAlignment="1">
      <alignment horizontal="left" vertical="center"/>
    </xf>
    <xf numFmtId="0" fontId="70" fillId="0" borderId="0" xfId="8" applyFont="1" applyAlignment="1">
      <alignment horizontal="left"/>
    </xf>
    <xf numFmtId="167" fontId="41" fillId="0" borderId="0" xfId="10" applyNumberFormat="1" applyFont="1"/>
    <xf numFmtId="0" fontId="38" fillId="0" borderId="0" xfId="0" applyFont="1" applyAlignment="1">
      <alignment vertical="center"/>
    </xf>
    <xf numFmtId="0" fontId="24" fillId="0" borderId="52" xfId="8" applyBorder="1" applyAlignment="1">
      <alignment vertical="center" wrapText="1"/>
    </xf>
    <xf numFmtId="0" fontId="24" fillId="0" borderId="53" xfId="8" applyBorder="1" applyAlignment="1">
      <alignment vertical="center" wrapText="1"/>
    </xf>
    <xf numFmtId="0" fontId="24" fillId="0" borderId="11" xfId="8" applyBorder="1" applyAlignment="1">
      <alignment vertical="center" wrapText="1"/>
    </xf>
    <xf numFmtId="0" fontId="66" fillId="0" borderId="0" xfId="8" applyFont="1" applyAlignment="1">
      <alignment vertical="center" wrapText="1"/>
    </xf>
    <xf numFmtId="0" fontId="67" fillId="0" borderId="0" xfId="8" applyFont="1" applyAlignment="1">
      <alignment vertical="center"/>
    </xf>
    <xf numFmtId="0" fontId="68" fillId="0" borderId="0" xfId="8" applyFont="1" applyAlignment="1">
      <alignment vertical="center"/>
    </xf>
    <xf numFmtId="0" fontId="69" fillId="0" borderId="0" xfId="8" applyFont="1" applyAlignment="1">
      <alignment vertical="center"/>
    </xf>
    <xf numFmtId="0" fontId="70" fillId="0" borderId="0" xfId="8" applyFont="1"/>
    <xf numFmtId="0" fontId="66" fillId="0" borderId="0" xfId="8" applyFont="1" applyAlignment="1">
      <alignment vertical="center"/>
    </xf>
    <xf numFmtId="165" fontId="41" fillId="0" borderId="0" xfId="2" applyFont="1" applyAlignment="1">
      <alignment horizontal="center" vertical="center"/>
    </xf>
    <xf numFmtId="49" fontId="59" fillId="0" borderId="0" xfId="9" applyNumberFormat="1" applyFont="1" applyAlignment="1">
      <alignment horizontal="center"/>
    </xf>
    <xf numFmtId="0" fontId="71" fillId="0" borderId="0" xfId="9" applyFont="1"/>
    <xf numFmtId="3" fontId="71" fillId="0" borderId="0" xfId="4" applyNumberFormat="1" applyFont="1" applyFill="1" applyBorder="1" applyAlignment="1">
      <alignment horizontal="right" vertical="center"/>
    </xf>
    <xf numFmtId="0" fontId="59" fillId="0" borderId="0" xfId="9" applyFont="1"/>
    <xf numFmtId="169" fontId="24" fillId="0" borderId="0" xfId="8" applyNumberFormat="1" applyAlignment="1">
      <alignment wrapText="1"/>
    </xf>
    <xf numFmtId="169" fontId="24" fillId="0" borderId="0" xfId="8" applyNumberFormat="1" applyAlignment="1">
      <alignment vertical="center" wrapText="1"/>
    </xf>
    <xf numFmtId="0" fontId="73" fillId="0" borderId="0" xfId="0" applyFont="1"/>
    <xf numFmtId="0" fontId="73" fillId="4" borderId="0" xfId="0" applyFont="1" applyFill="1"/>
    <xf numFmtId="166" fontId="72" fillId="0" borderId="1" xfId="2" applyNumberFormat="1" applyFont="1" applyFill="1" applyBorder="1" applyAlignment="1">
      <alignment horizontal="center" vertical="center"/>
    </xf>
    <xf numFmtId="0" fontId="74" fillId="4" borderId="0" xfId="0" applyFont="1" applyFill="1"/>
    <xf numFmtId="167" fontId="75" fillId="0" borderId="0" xfId="10" applyNumberFormat="1" applyFont="1" applyFill="1" applyBorder="1" applyAlignment="1">
      <alignment horizontal="center" vertical="center"/>
    </xf>
    <xf numFmtId="0" fontId="76" fillId="0" borderId="0" xfId="0" applyFont="1"/>
    <xf numFmtId="3" fontId="77" fillId="0" borderId="0" xfId="9" applyNumberFormat="1" applyFont="1" applyAlignment="1">
      <alignment horizontal="center" vertical="center"/>
    </xf>
    <xf numFmtId="10" fontId="77" fillId="0" borderId="0" xfId="9" applyNumberFormat="1" applyFont="1" applyAlignment="1">
      <alignment horizontal="center" vertical="center"/>
    </xf>
    <xf numFmtId="3" fontId="77" fillId="0" borderId="0" xfId="9" applyNumberFormat="1" applyFont="1" applyAlignment="1">
      <alignment horizontal="right" vertical="center"/>
    </xf>
    <xf numFmtId="3" fontId="78" fillId="0" borderId="12" xfId="4" applyNumberFormat="1" applyFont="1" applyFill="1" applyBorder="1" applyAlignment="1">
      <alignment horizontal="right" vertical="center" wrapText="1"/>
    </xf>
    <xf numFmtId="4" fontId="77" fillId="0" borderId="0" xfId="9" applyNumberFormat="1" applyFont="1" applyAlignment="1">
      <alignment horizontal="right" vertical="center"/>
    </xf>
    <xf numFmtId="165" fontId="77" fillId="0" borderId="0" xfId="2" applyFont="1"/>
    <xf numFmtId="4" fontId="77" fillId="0" borderId="0" xfId="9" applyNumberFormat="1" applyFont="1" applyAlignment="1">
      <alignment horizontal="center" vertical="center"/>
    </xf>
    <xf numFmtId="4" fontId="77" fillId="0" borderId="0" xfId="9" applyNumberFormat="1" applyFont="1" applyAlignment="1">
      <alignment horizontal="center" vertical="center" wrapText="1"/>
    </xf>
    <xf numFmtId="0" fontId="79" fillId="0" borderId="0" xfId="8" applyFont="1"/>
    <xf numFmtId="0" fontId="79" fillId="0" borderId="0" xfId="8" applyFont="1" applyAlignment="1">
      <alignment horizontal="center"/>
    </xf>
    <xf numFmtId="0" fontId="78" fillId="0" borderId="0" xfId="8" applyFont="1" applyAlignment="1">
      <alignment vertical="center" wrapText="1"/>
    </xf>
    <xf numFmtId="0" fontId="80" fillId="0" borderId="0" xfId="8" applyFont="1" applyAlignment="1">
      <alignment vertical="center"/>
    </xf>
    <xf numFmtId="0" fontId="81" fillId="0" borderId="0" xfId="8" applyFont="1" applyAlignment="1">
      <alignment vertical="center"/>
    </xf>
    <xf numFmtId="169" fontId="79" fillId="0" borderId="0" xfId="8" applyNumberFormat="1" applyFont="1"/>
    <xf numFmtId="0" fontId="16" fillId="4" borderId="0" xfId="0" applyFont="1" applyFill="1"/>
    <xf numFmtId="0" fontId="16" fillId="0" borderId="0" xfId="0" applyFont="1"/>
    <xf numFmtId="0" fontId="32" fillId="0" borderId="1" xfId="0" applyFont="1" applyBorder="1" applyAlignment="1">
      <alignment horizontal="center" vertical="center"/>
    </xf>
    <xf numFmtId="0" fontId="22" fillId="0" borderId="0" xfId="5" applyFont="1"/>
    <xf numFmtId="0" fontId="33" fillId="0" borderId="0" xfId="5" applyFont="1"/>
    <xf numFmtId="0" fontId="20" fillId="4" borderId="0" xfId="0" applyFont="1" applyFill="1"/>
    <xf numFmtId="167" fontId="18" fillId="0" borderId="0" xfId="10" applyNumberFormat="1" applyFont="1" applyFill="1" applyBorder="1" applyAlignment="1">
      <alignment horizontal="center" vertical="center"/>
    </xf>
    <xf numFmtId="165" fontId="24" fillId="0" borderId="0" xfId="2" applyFont="1"/>
    <xf numFmtId="165" fontId="23" fillId="0" borderId="0" xfId="2" applyFont="1"/>
    <xf numFmtId="0" fontId="24" fillId="0" borderId="0" xfId="0" applyFont="1"/>
    <xf numFmtId="0" fontId="35" fillId="0" borderId="0" xfId="0" applyFont="1"/>
    <xf numFmtId="165" fontId="27" fillId="0" borderId="0" xfId="2" applyFont="1"/>
    <xf numFmtId="0" fontId="27" fillId="0" borderId="0" xfId="0" applyFont="1"/>
    <xf numFmtId="0" fontId="82" fillId="0" borderId="0" xfId="0" applyFont="1"/>
    <xf numFmtId="0" fontId="83" fillId="0" borderId="0" xfId="0" applyFont="1"/>
    <xf numFmtId="165" fontId="83" fillId="0" borderId="0" xfId="2" applyFont="1"/>
    <xf numFmtId="166" fontId="24" fillId="4" borderId="1" xfId="2" applyNumberFormat="1" applyFont="1" applyFill="1" applyBorder="1"/>
    <xf numFmtId="167" fontId="24" fillId="4" borderId="1" xfId="10" applyNumberFormat="1" applyFont="1" applyFill="1" applyBorder="1"/>
    <xf numFmtId="0" fontId="24" fillId="4" borderId="0" xfId="0" applyFont="1" applyFill="1"/>
    <xf numFmtId="0" fontId="84" fillId="0" borderId="0" xfId="0" applyFont="1" applyAlignment="1">
      <alignment horizontal="left" vertical="center" indent="1"/>
    </xf>
    <xf numFmtId="3" fontId="59" fillId="0" borderId="11" xfId="9" applyNumberFormat="1" applyFont="1" applyBorder="1" applyAlignment="1">
      <alignment horizontal="right" vertical="center"/>
    </xf>
    <xf numFmtId="3" fontId="71" fillId="0" borderId="12" xfId="4" applyNumberFormat="1" applyFont="1" applyFill="1" applyBorder="1" applyAlignment="1">
      <alignment horizontal="right" vertical="center"/>
    </xf>
    <xf numFmtId="3" fontId="59" fillId="0" borderId="0" xfId="9" applyNumberFormat="1" applyFont="1" applyAlignment="1">
      <alignment horizontal="right" vertical="center"/>
    </xf>
    <xf numFmtId="3" fontId="71" fillId="0" borderId="12" xfId="4" applyNumberFormat="1" applyFont="1" applyFill="1" applyBorder="1" applyAlignment="1">
      <alignment horizontal="right" vertical="center" wrapText="1"/>
    </xf>
    <xf numFmtId="3" fontId="71" fillId="0" borderId="0" xfId="4" applyNumberFormat="1" applyFont="1" applyFill="1" applyBorder="1" applyAlignment="1">
      <alignment horizontal="right" vertical="center" wrapText="1"/>
    </xf>
    <xf numFmtId="167" fontId="59" fillId="18" borderId="0" xfId="9" applyNumberFormat="1" applyFont="1" applyFill="1" applyAlignment="1">
      <alignment horizontal="right" vertical="center"/>
    </xf>
    <xf numFmtId="3" fontId="59" fillId="18" borderId="0" xfId="9" applyNumberFormat="1" applyFont="1" applyFill="1" applyAlignment="1">
      <alignment horizontal="right" vertical="center"/>
    </xf>
    <xf numFmtId="167" fontId="59" fillId="19" borderId="0" xfId="9" applyNumberFormat="1" applyFont="1" applyFill="1" applyAlignment="1">
      <alignment horizontal="right"/>
    </xf>
    <xf numFmtId="165" fontId="0" fillId="0" borderId="0" xfId="0" applyNumberFormat="1"/>
    <xf numFmtId="165" fontId="24" fillId="0" borderId="0" xfId="2" applyFont="1" applyAlignment="1"/>
    <xf numFmtId="43" fontId="24" fillId="0" borderId="0" xfId="0" applyNumberFormat="1" applyFont="1"/>
    <xf numFmtId="165" fontId="27" fillId="0" borderId="0" xfId="2" applyFont="1" applyFill="1"/>
    <xf numFmtId="165" fontId="24" fillId="0" borderId="0" xfId="2" applyFont="1" applyFill="1"/>
    <xf numFmtId="43" fontId="27" fillId="0" borderId="0" xfId="0" applyNumberFormat="1" applyFont="1"/>
    <xf numFmtId="173" fontId="24" fillId="0" borderId="0" xfId="2" applyNumberFormat="1" applyFont="1"/>
    <xf numFmtId="173" fontId="24" fillId="0" borderId="0" xfId="8" applyNumberFormat="1"/>
    <xf numFmtId="165" fontId="79" fillId="0" borderId="0" xfId="2" applyFont="1"/>
    <xf numFmtId="174" fontId="24" fillId="0" borderId="0" xfId="8" applyNumberFormat="1"/>
    <xf numFmtId="165" fontId="83" fillId="0" borderId="0" xfId="2" applyFont="1" applyFill="1"/>
    <xf numFmtId="165" fontId="23" fillId="0" borderId="0" xfId="2" applyFont="1" applyFill="1"/>
    <xf numFmtId="169" fontId="70" fillId="0" borderId="0" xfId="8" applyNumberFormat="1" applyFont="1"/>
    <xf numFmtId="3" fontId="28" fillId="10" borderId="54" xfId="0" applyNumberFormat="1" applyFont="1" applyFill="1" applyBorder="1"/>
    <xf numFmtId="3" fontId="23" fillId="0" borderId="0" xfId="2" applyNumberFormat="1" applyFont="1" applyAlignment="1">
      <alignment horizontal="center" vertical="center" wrapText="1"/>
    </xf>
    <xf numFmtId="3" fontId="0" fillId="0" borderId="0" xfId="0" applyNumberFormat="1" applyAlignment="1">
      <alignment horizontal="left"/>
    </xf>
    <xf numFmtId="3" fontId="28" fillId="10" borderId="30" xfId="0" applyNumberFormat="1" applyFont="1" applyFill="1" applyBorder="1"/>
    <xf numFmtId="3" fontId="0" fillId="0" borderId="54" xfId="0" applyNumberFormat="1" applyBorder="1"/>
    <xf numFmtId="3" fontId="23" fillId="0" borderId="0" xfId="2" applyNumberFormat="1" applyFont="1"/>
    <xf numFmtId="3" fontId="0" fillId="0" borderId="55" xfId="0" applyNumberFormat="1" applyBorder="1"/>
    <xf numFmtId="3" fontId="0" fillId="0" borderId="0" xfId="0" applyNumberFormat="1"/>
    <xf numFmtId="3" fontId="0" fillId="0" borderId="30" xfId="0" applyNumberFormat="1" applyBorder="1"/>
    <xf numFmtId="3" fontId="24" fillId="0" borderId="56" xfId="2" applyNumberFormat="1" applyFont="1" applyBorder="1"/>
    <xf numFmtId="3" fontId="28" fillId="10" borderId="55" xfId="0" applyNumberFormat="1" applyFont="1" applyFill="1" applyBorder="1"/>
    <xf numFmtId="3" fontId="28" fillId="10" borderId="0" xfId="0" applyNumberFormat="1" applyFont="1" applyFill="1"/>
    <xf numFmtId="3" fontId="0" fillId="0" borderId="0" xfId="0" applyNumberFormat="1" applyAlignment="1">
      <alignment horizontal="left" indent="1"/>
    </xf>
    <xf numFmtId="3" fontId="28" fillId="0" borderId="57" xfId="0" applyNumberFormat="1" applyFont="1" applyBorder="1"/>
    <xf numFmtId="3" fontId="28" fillId="0" borderId="31" xfId="0" applyNumberFormat="1" applyFont="1" applyBorder="1"/>
    <xf numFmtId="165" fontId="24" fillId="0" borderId="0" xfId="2" applyFont="1" applyAlignment="1">
      <alignment horizontal="left" vertical="center" wrapText="1"/>
    </xf>
    <xf numFmtId="165" fontId="24" fillId="0" borderId="0" xfId="2" applyFont="1" applyAlignment="1">
      <alignment vertical="center" wrapText="1"/>
    </xf>
    <xf numFmtId="43" fontId="24" fillId="0" borderId="11" xfId="8" applyNumberFormat="1" applyBorder="1" applyAlignment="1">
      <alignment horizontal="left" vertical="center" wrapText="1"/>
    </xf>
    <xf numFmtId="165" fontId="24" fillId="0" borderId="0" xfId="2" applyFont="1" applyAlignment="1">
      <alignment horizontal="center" vertical="center" wrapText="1"/>
    </xf>
    <xf numFmtId="165" fontId="28" fillId="0" borderId="0" xfId="2" applyFont="1" applyFill="1"/>
    <xf numFmtId="3" fontId="28" fillId="10" borderId="54" xfId="8" applyNumberFormat="1" applyFont="1" applyFill="1" applyBorder="1"/>
    <xf numFmtId="3" fontId="24" fillId="0" borderId="55" xfId="8" applyNumberFormat="1" applyBorder="1"/>
    <xf numFmtId="3" fontId="24" fillId="0" borderId="54" xfId="8" applyNumberFormat="1" applyBorder="1"/>
    <xf numFmtId="3" fontId="16" fillId="0" borderId="30" xfId="0" applyNumberFormat="1" applyFont="1" applyBorder="1"/>
    <xf numFmtId="3" fontId="28" fillId="10" borderId="55" xfId="8" applyNumberFormat="1" applyFont="1" applyFill="1" applyBorder="1"/>
    <xf numFmtId="3" fontId="24" fillId="0" borderId="0" xfId="8" applyNumberFormat="1"/>
    <xf numFmtId="3" fontId="25" fillId="12" borderId="60" xfId="0" applyNumberFormat="1" applyFont="1" applyFill="1" applyBorder="1"/>
    <xf numFmtId="3" fontId="25" fillId="12" borderId="0" xfId="0" applyNumberFormat="1" applyFont="1" applyFill="1" applyAlignment="1">
      <alignment horizontal="left"/>
    </xf>
    <xf numFmtId="3" fontId="0" fillId="0" borderId="60" xfId="0" applyNumberFormat="1" applyBorder="1"/>
    <xf numFmtId="3" fontId="25" fillId="12" borderId="61" xfId="0" applyNumberFormat="1" applyFont="1" applyFill="1" applyBorder="1"/>
    <xf numFmtId="3" fontId="25" fillId="12" borderId="62" xfId="0" applyNumberFormat="1" applyFont="1" applyFill="1" applyBorder="1"/>
    <xf numFmtId="3" fontId="25" fillId="12" borderId="63" xfId="0" applyNumberFormat="1" applyFont="1" applyFill="1" applyBorder="1"/>
    <xf numFmtId="3" fontId="0" fillId="0" borderId="63" xfId="0" applyNumberFormat="1" applyBorder="1"/>
    <xf numFmtId="3" fontId="23" fillId="0" borderId="60" xfId="10" applyNumberFormat="1" applyFont="1" applyBorder="1"/>
    <xf numFmtId="3" fontId="86" fillId="0" borderId="60" xfId="0" applyNumberFormat="1" applyFont="1" applyBorder="1"/>
    <xf numFmtId="3" fontId="16" fillId="0" borderId="63" xfId="0" applyNumberFormat="1" applyFont="1" applyBorder="1"/>
    <xf numFmtId="3" fontId="25" fillId="12" borderId="64" xfId="0" applyNumberFormat="1" applyFont="1" applyFill="1" applyBorder="1"/>
    <xf numFmtId="3" fontId="24" fillId="0" borderId="0" xfId="10" applyNumberFormat="1" applyFont="1"/>
    <xf numFmtId="165" fontId="33" fillId="4" borderId="1" xfId="2" applyFont="1" applyFill="1" applyBorder="1"/>
    <xf numFmtId="166" fontId="24" fillId="0" borderId="1" xfId="2" applyNumberFormat="1" applyFont="1" applyFill="1" applyBorder="1"/>
    <xf numFmtId="167" fontId="52" fillId="0" borderId="0" xfId="10" applyNumberFormat="1" applyFont="1" applyFill="1" applyBorder="1" applyAlignment="1">
      <alignment horizontal="right" vertical="center"/>
    </xf>
    <xf numFmtId="0" fontId="9" fillId="0" borderId="0" xfId="0" applyFont="1"/>
    <xf numFmtId="173" fontId="24" fillId="0" borderId="0" xfId="2" applyNumberFormat="1" applyFont="1" applyFill="1"/>
    <xf numFmtId="0" fontId="27" fillId="0" borderId="0" xfId="8" applyFont="1"/>
    <xf numFmtId="3" fontId="16" fillId="0" borderId="54" xfId="0" applyNumberFormat="1" applyFont="1" applyBorder="1"/>
    <xf numFmtId="3" fontId="16" fillId="0" borderId="0" xfId="2" applyNumberFormat="1" applyFont="1"/>
    <xf numFmtId="3" fontId="16" fillId="0" borderId="0" xfId="0" applyNumberFormat="1" applyFont="1" applyAlignment="1">
      <alignment horizontal="left" indent="1"/>
    </xf>
    <xf numFmtId="0" fontId="33" fillId="0" borderId="30" xfId="8" applyFont="1" applyBorder="1" applyAlignment="1">
      <alignment horizontal="left" indent="2"/>
    </xf>
    <xf numFmtId="165" fontId="33" fillId="0" borderId="0" xfId="2" applyFont="1" applyFill="1"/>
    <xf numFmtId="0" fontId="8" fillId="0" borderId="0" xfId="8" applyFont="1" applyAlignment="1">
      <alignment horizontal="left" indent="2"/>
    </xf>
    <xf numFmtId="9" fontId="0" fillId="0" borderId="60" xfId="10" applyFont="1" applyBorder="1"/>
    <xf numFmtId="10" fontId="0" fillId="0" borderId="60" xfId="10" applyNumberFormat="1" applyFont="1" applyBorder="1"/>
    <xf numFmtId="43" fontId="0" fillId="0" borderId="65" xfId="0" applyNumberFormat="1" applyBorder="1"/>
    <xf numFmtId="0" fontId="7" fillId="0" borderId="45" xfId="8" applyFont="1" applyBorder="1" applyAlignment="1">
      <alignment horizontal="left" indent="1"/>
    </xf>
    <xf numFmtId="169" fontId="0" fillId="0" borderId="55" xfId="0" applyNumberFormat="1" applyBorder="1"/>
    <xf numFmtId="3" fontId="32" fillId="10" borderId="0" xfId="0" applyNumberFormat="1" applyFont="1" applyFill="1"/>
    <xf numFmtId="3" fontId="32" fillId="10" borderId="30" xfId="0" applyNumberFormat="1" applyFont="1" applyFill="1" applyBorder="1"/>
    <xf numFmtId="3" fontId="32" fillId="10" borderId="54" xfId="0" applyNumberFormat="1" applyFont="1" applyFill="1" applyBorder="1"/>
    <xf numFmtId="3" fontId="16" fillId="0" borderId="55" xfId="0" applyNumberFormat="1" applyFont="1" applyBorder="1"/>
    <xf numFmtId="3" fontId="28" fillId="4" borderId="57" xfId="0" applyNumberFormat="1" applyFont="1" applyFill="1" applyBorder="1"/>
    <xf numFmtId="169" fontId="0" fillId="0" borderId="60" xfId="0" applyNumberFormat="1" applyBorder="1"/>
    <xf numFmtId="0" fontId="0" fillId="20" borderId="0" xfId="0" applyFill="1"/>
    <xf numFmtId="165" fontId="28" fillId="20" borderId="0" xfId="2" applyFont="1" applyFill="1"/>
    <xf numFmtId="165" fontId="24" fillId="20" borderId="0" xfId="2" applyFont="1" applyFill="1"/>
    <xf numFmtId="0" fontId="85" fillId="20" borderId="0" xfId="0" applyFont="1" applyFill="1"/>
    <xf numFmtId="10" fontId="0" fillId="0" borderId="0" xfId="0" applyNumberFormat="1"/>
    <xf numFmtId="10" fontId="63" fillId="0" borderId="0" xfId="0" applyNumberFormat="1" applyFont="1"/>
    <xf numFmtId="166" fontId="28" fillId="0" borderId="1" xfId="2" applyNumberFormat="1" applyFont="1" applyFill="1" applyBorder="1" applyAlignment="1">
      <alignment horizontal="center" vertical="center"/>
    </xf>
    <xf numFmtId="0" fontId="53" fillId="4" borderId="0" xfId="0" applyFont="1" applyFill="1" applyAlignment="1">
      <alignment horizontal="center" vertical="center"/>
    </xf>
    <xf numFmtId="0" fontId="32" fillId="4" borderId="0" xfId="0" applyFont="1" applyFill="1" applyAlignment="1">
      <alignment horizontal="center" vertical="center"/>
    </xf>
    <xf numFmtId="0" fontId="32" fillId="0" borderId="0" xfId="0" applyFont="1" applyAlignment="1">
      <alignment horizontal="center" vertical="center"/>
    </xf>
    <xf numFmtId="166" fontId="45" fillId="5" borderId="1" xfId="2" applyNumberFormat="1" applyFont="1" applyFill="1" applyBorder="1" applyAlignment="1">
      <alignment horizontal="right" vertical="center"/>
    </xf>
    <xf numFmtId="166" fontId="45" fillId="4" borderId="1" xfId="2" applyNumberFormat="1" applyFont="1" applyFill="1" applyBorder="1" applyAlignment="1">
      <alignment horizontal="right" vertical="center"/>
    </xf>
    <xf numFmtId="166" fontId="18" fillId="5" borderId="1" xfId="2" applyNumberFormat="1" applyFont="1" applyFill="1" applyBorder="1" applyAlignment="1">
      <alignment horizontal="right" vertical="center"/>
    </xf>
    <xf numFmtId="4" fontId="0" fillId="0" borderId="54" xfId="0" applyNumberFormat="1" applyBorder="1"/>
    <xf numFmtId="0" fontId="87" fillId="0" borderId="0" xfId="0" applyFont="1"/>
    <xf numFmtId="165" fontId="88" fillId="0" borderId="0" xfId="2" applyFont="1" applyFill="1"/>
    <xf numFmtId="165" fontId="89" fillId="0" borderId="0" xfId="2" applyFont="1" applyFill="1"/>
    <xf numFmtId="0" fontId="90" fillId="0" borderId="0" xfId="0" applyFont="1"/>
    <xf numFmtId="165" fontId="87" fillId="0" borderId="0" xfId="2" applyFont="1"/>
    <xf numFmtId="165" fontId="28" fillId="0" borderId="0" xfId="2" applyFont="1" applyFill="1" applyAlignment="1">
      <alignment horizontal="right"/>
    </xf>
    <xf numFmtId="168" fontId="33" fillId="0" borderId="1" xfId="0" applyNumberFormat="1" applyFont="1" applyBorder="1"/>
    <xf numFmtId="0" fontId="32" fillId="4" borderId="0" xfId="0" applyFont="1" applyFill="1"/>
    <xf numFmtId="3" fontId="28" fillId="0" borderId="54" xfId="8" applyNumberFormat="1" applyFont="1" applyBorder="1"/>
    <xf numFmtId="3" fontId="23" fillId="0" borderId="0" xfId="2" applyNumberFormat="1" applyFont="1" applyFill="1"/>
    <xf numFmtId="0" fontId="24" fillId="4" borderId="0" xfId="8" applyFill="1"/>
    <xf numFmtId="0" fontId="24" fillId="4" borderId="0" xfId="8" applyFill="1" applyAlignment="1">
      <alignment horizontal="left" indent="2"/>
    </xf>
    <xf numFmtId="3" fontId="0" fillId="4" borderId="55" xfId="0" applyNumberFormat="1" applyFill="1" applyBorder="1"/>
    <xf numFmtId="3" fontId="23" fillId="4" borderId="0" xfId="2" applyNumberFormat="1" applyFont="1" applyFill="1"/>
    <xf numFmtId="3" fontId="0" fillId="4" borderId="0" xfId="0" applyNumberFormat="1" applyFill="1" applyAlignment="1">
      <alignment horizontal="left" indent="1"/>
    </xf>
    <xf numFmtId="3" fontId="0" fillId="4" borderId="30" xfId="0" applyNumberFormat="1" applyFill="1" applyBorder="1"/>
    <xf numFmtId="3" fontId="0" fillId="4" borderId="0" xfId="0" applyNumberFormat="1" applyFill="1"/>
    <xf numFmtId="3" fontId="24" fillId="4" borderId="55" xfId="8" applyNumberFormat="1" applyFill="1" applyBorder="1"/>
    <xf numFmtId="3" fontId="0" fillId="4" borderId="54" xfId="0" applyNumberFormat="1" applyFill="1" applyBorder="1"/>
    <xf numFmtId="0" fontId="24" fillId="4" borderId="30" xfId="8" applyFill="1" applyBorder="1" applyAlignment="1">
      <alignment horizontal="left" indent="2"/>
    </xf>
    <xf numFmtId="0" fontId="35" fillId="4" borderId="0" xfId="0" applyFont="1" applyFill="1"/>
    <xf numFmtId="165" fontId="27" fillId="4" borderId="0" xfId="2" applyFont="1" applyFill="1"/>
    <xf numFmtId="3" fontId="39" fillId="0" borderId="0" xfId="8" applyNumberFormat="1" applyFont="1"/>
    <xf numFmtId="0" fontId="91" fillId="0" borderId="0" xfId="0" applyFont="1"/>
    <xf numFmtId="175" fontId="24" fillId="0" borderId="11" xfId="8" applyNumberFormat="1" applyBorder="1" applyAlignment="1">
      <alignment vertical="center" wrapText="1"/>
    </xf>
    <xf numFmtId="0" fontId="92" fillId="4" borderId="0" xfId="0" applyFont="1" applyFill="1"/>
    <xf numFmtId="3" fontId="40" fillId="0" borderId="0" xfId="8" applyNumberFormat="1" applyFont="1" applyAlignment="1">
      <alignment vertical="center"/>
    </xf>
    <xf numFmtId="3" fontId="36" fillId="0" borderId="0" xfId="8" applyNumberFormat="1" applyFont="1" applyAlignment="1">
      <alignment vertical="center"/>
    </xf>
    <xf numFmtId="165" fontId="0" fillId="0" borderId="0" xfId="2" applyFont="1"/>
    <xf numFmtId="0" fontId="93" fillId="0" borderId="0" xfId="0" applyFont="1" applyAlignment="1">
      <alignment horizontal="left" vertical="center"/>
    </xf>
    <xf numFmtId="0" fontId="94" fillId="0" borderId="0" xfId="0" applyFont="1" applyAlignment="1">
      <alignment horizontal="center" vertical="center"/>
    </xf>
    <xf numFmtId="0" fontId="95" fillId="0" borderId="0" xfId="0" applyFont="1"/>
    <xf numFmtId="0" fontId="96" fillId="0" borderId="0" xfId="0" applyFont="1" applyAlignment="1">
      <alignment horizontal="left" vertical="center"/>
    </xf>
    <xf numFmtId="0" fontId="96" fillId="0" borderId="0" xfId="0" applyFont="1"/>
    <xf numFmtId="0" fontId="97" fillId="0" borderId="0" xfId="0" applyFont="1" applyAlignment="1">
      <alignment horizontal="left"/>
    </xf>
    <xf numFmtId="43" fontId="97" fillId="0" borderId="0" xfId="0" applyNumberFormat="1" applyFont="1"/>
    <xf numFmtId="0" fontId="98" fillId="0" borderId="0" xfId="0" applyFont="1"/>
    <xf numFmtId="0" fontId="97" fillId="0" borderId="0" xfId="0" applyFont="1"/>
    <xf numFmtId="0" fontId="98" fillId="0" borderId="0" xfId="0" applyFont="1" applyAlignment="1">
      <alignment horizontal="left" vertical="center"/>
    </xf>
    <xf numFmtId="0" fontId="99" fillId="0" borderId="0" xfId="0" applyFont="1"/>
    <xf numFmtId="0" fontId="93" fillId="0" borderId="0" xfId="0" applyFont="1" applyAlignment="1">
      <alignment horizontal="center" vertical="center"/>
    </xf>
    <xf numFmtId="14" fontId="93" fillId="0" borderId="0" xfId="0" applyNumberFormat="1" applyFont="1" applyAlignment="1">
      <alignment horizontal="center" vertical="center"/>
    </xf>
    <xf numFmtId="0" fontId="100" fillId="0" borderId="0" xfId="0" applyFont="1"/>
    <xf numFmtId="0" fontId="97" fillId="4" borderId="0" xfId="0" applyFont="1" applyFill="1"/>
    <xf numFmtId="0" fontId="93" fillId="4" borderId="0" xfId="0" applyFont="1" applyFill="1" applyAlignment="1">
      <alignment horizontal="center" vertical="center"/>
    </xf>
    <xf numFmtId="0" fontId="97" fillId="4" borderId="0" xfId="5" applyFont="1" applyFill="1"/>
    <xf numFmtId="0" fontId="97" fillId="0" borderId="0" xfId="5" applyFont="1"/>
    <xf numFmtId="167" fontId="98" fillId="0" borderId="0" xfId="0" applyNumberFormat="1" applyFont="1"/>
    <xf numFmtId="168" fontId="98" fillId="0" borderId="0" xfId="0" applyNumberFormat="1" applyFont="1"/>
    <xf numFmtId="0" fontId="101" fillId="0" borderId="0" xfId="0" applyFont="1" applyAlignment="1">
      <alignment horizontal="center" vertical="center"/>
    </xf>
    <xf numFmtId="0" fontId="93" fillId="0" borderId="0" xfId="5" applyFont="1" applyAlignment="1">
      <alignment horizontal="left" vertical="center"/>
    </xf>
    <xf numFmtId="0" fontId="93" fillId="0" borderId="0" xfId="5" applyFont="1" applyAlignment="1">
      <alignment horizontal="center" vertical="center"/>
    </xf>
    <xf numFmtId="0" fontId="93" fillId="4" borderId="0" xfId="5" applyFont="1" applyFill="1" applyAlignment="1">
      <alignment horizontal="center" vertical="center"/>
    </xf>
    <xf numFmtId="0" fontId="98" fillId="0" borderId="0" xfId="5" applyFont="1" applyAlignment="1">
      <alignment horizontal="left" vertical="center"/>
    </xf>
    <xf numFmtId="0" fontId="98" fillId="0" borderId="0" xfId="5" applyFont="1"/>
    <xf numFmtId="0" fontId="98" fillId="0" borderId="0" xfId="0" applyFont="1" applyAlignment="1">
      <alignment horizontal="center" vertical="center"/>
    </xf>
    <xf numFmtId="0" fontId="93" fillId="0" borderId="0" xfId="0" applyFont="1" applyAlignment="1">
      <alignment vertical="center"/>
    </xf>
    <xf numFmtId="169" fontId="28" fillId="10" borderId="55" xfId="0" applyNumberFormat="1" applyFont="1" applyFill="1" applyBorder="1"/>
    <xf numFmtId="0" fontId="102" fillId="0" borderId="0" xfId="8" applyFont="1" applyAlignment="1">
      <alignment vertical="center"/>
    </xf>
    <xf numFmtId="3" fontId="103" fillId="0" borderId="0" xfId="8" applyNumberFormat="1" applyFont="1"/>
    <xf numFmtId="3" fontId="27" fillId="0" borderId="0" xfId="8" applyNumberFormat="1" applyFont="1"/>
    <xf numFmtId="0" fontId="27" fillId="0" borderId="28" xfId="8" applyFont="1" applyBorder="1"/>
    <xf numFmtId="165" fontId="104" fillId="0" borderId="0" xfId="2" applyFont="1" applyFill="1"/>
    <xf numFmtId="165" fontId="105" fillId="0" borderId="0" xfId="2" applyFont="1" applyFill="1"/>
    <xf numFmtId="3" fontId="16" fillId="0" borderId="0" xfId="0" applyNumberFormat="1" applyFont="1"/>
    <xf numFmtId="3" fontId="16" fillId="4" borderId="0" xfId="0" applyNumberFormat="1" applyFont="1" applyFill="1"/>
    <xf numFmtId="3" fontId="32" fillId="10" borderId="55" xfId="0" applyNumberFormat="1" applyFont="1" applyFill="1" applyBorder="1"/>
    <xf numFmtId="3" fontId="16" fillId="4" borderId="55" xfId="0" applyNumberFormat="1" applyFont="1" applyFill="1" applyBorder="1"/>
    <xf numFmtId="46" fontId="106" fillId="0" borderId="0" xfId="0" applyNumberFormat="1" applyFont="1" applyAlignment="1">
      <alignment vertical="center"/>
    </xf>
    <xf numFmtId="43" fontId="41" fillId="0" borderId="0" xfId="9" applyNumberFormat="1" applyFont="1"/>
    <xf numFmtId="3" fontId="13" fillId="0" borderId="0" xfId="0" applyNumberFormat="1" applyFont="1"/>
    <xf numFmtId="3" fontId="33" fillId="0" borderId="0" xfId="8" applyNumberFormat="1" applyFont="1" applyAlignment="1">
      <alignment wrapText="1"/>
    </xf>
    <xf numFmtId="165" fontId="33" fillId="0" borderId="0" xfId="2" applyFont="1"/>
    <xf numFmtId="0" fontId="107" fillId="0" borderId="0" xfId="0" quotePrefix="1" applyFont="1"/>
    <xf numFmtId="0" fontId="108" fillId="0" borderId="0" xfId="0" applyFont="1"/>
    <xf numFmtId="0" fontId="109" fillId="4" borderId="1" xfId="0" applyFont="1" applyFill="1" applyBorder="1" applyAlignment="1">
      <alignment horizontal="center" vertical="center"/>
    </xf>
    <xf numFmtId="0" fontId="110" fillId="4" borderId="0" xfId="0" applyFont="1" applyFill="1"/>
    <xf numFmtId="0" fontId="110" fillId="0" borderId="0" xfId="0" applyFont="1"/>
    <xf numFmtId="0" fontId="112" fillId="0" borderId="0" xfId="8" applyFont="1" applyAlignment="1">
      <alignment vertical="center"/>
    </xf>
    <xf numFmtId="3" fontId="113" fillId="0" borderId="0" xfId="8" applyNumberFormat="1" applyFont="1"/>
    <xf numFmtId="165" fontId="16" fillId="0" borderId="0" xfId="2" applyFont="1"/>
    <xf numFmtId="3" fontId="33" fillId="0" borderId="0" xfId="8" applyNumberFormat="1" applyFont="1"/>
    <xf numFmtId="0" fontId="33" fillId="0" borderId="28" xfId="8" applyFont="1" applyBorder="1"/>
    <xf numFmtId="0" fontId="33" fillId="0" borderId="0" xfId="8" applyFont="1"/>
    <xf numFmtId="0" fontId="33" fillId="0" borderId="0" xfId="8" applyFont="1" applyAlignment="1">
      <alignment wrapText="1"/>
    </xf>
    <xf numFmtId="0" fontId="32" fillId="0" borderId="0" xfId="8" applyFont="1" applyAlignment="1">
      <alignment horizontal="left" wrapText="1"/>
    </xf>
    <xf numFmtId="3" fontId="111" fillId="0" borderId="0" xfId="8" applyNumberFormat="1" applyFont="1" applyAlignment="1">
      <alignment vertical="center"/>
    </xf>
    <xf numFmtId="3" fontId="114" fillId="0" borderId="0" xfId="8" applyNumberFormat="1" applyFont="1" applyAlignment="1">
      <alignment vertical="center"/>
    </xf>
    <xf numFmtId="0" fontId="33" fillId="0" borderId="33" xfId="8" applyFont="1" applyBorder="1"/>
    <xf numFmtId="0" fontId="33" fillId="0" borderId="0" xfId="8" applyFont="1" applyAlignment="1">
      <alignment vertical="center" wrapText="1"/>
    </xf>
    <xf numFmtId="0" fontId="33" fillId="0" borderId="11" xfId="8" applyFont="1" applyBorder="1" applyAlignment="1">
      <alignment vertical="center" wrapText="1"/>
    </xf>
    <xf numFmtId="167" fontId="115" fillId="0" borderId="0" xfId="10" applyNumberFormat="1" applyFont="1" applyFill="1" applyBorder="1" applyAlignment="1">
      <alignment horizontal="center" vertical="center"/>
    </xf>
    <xf numFmtId="0" fontId="116" fillId="4" borderId="0" xfId="0" applyFont="1" applyFill="1"/>
    <xf numFmtId="0" fontId="116" fillId="0" borderId="0" xfId="0" applyFont="1"/>
    <xf numFmtId="167" fontId="117" fillId="4" borderId="0" xfId="10" applyNumberFormat="1" applyFont="1" applyFill="1" applyBorder="1" applyAlignment="1">
      <alignment horizontal="center" vertical="center"/>
    </xf>
    <xf numFmtId="166" fontId="109" fillId="0" borderId="1" xfId="2" applyNumberFormat="1" applyFont="1" applyFill="1" applyBorder="1" applyAlignment="1">
      <alignment horizontal="center" vertical="center"/>
    </xf>
    <xf numFmtId="0" fontId="109" fillId="4" borderId="0" xfId="0" applyFont="1" applyFill="1" applyAlignment="1">
      <alignment horizontal="center" vertical="center"/>
    </xf>
    <xf numFmtId="0" fontId="27" fillId="0" borderId="0" xfId="8" applyFont="1" applyAlignment="1">
      <alignment horizontal="center"/>
    </xf>
    <xf numFmtId="173" fontId="27" fillId="0" borderId="0" xfId="2" applyNumberFormat="1" applyFont="1"/>
    <xf numFmtId="3" fontId="16" fillId="0" borderId="60" xfId="0" applyNumberFormat="1" applyFont="1" applyBorder="1"/>
    <xf numFmtId="10" fontId="16" fillId="0" borderId="60" xfId="10" applyNumberFormat="1" applyFont="1" applyBorder="1"/>
    <xf numFmtId="169" fontId="33" fillId="0" borderId="0" xfId="8" applyNumberFormat="1" applyFont="1"/>
    <xf numFmtId="176" fontId="33" fillId="0" borderId="1" xfId="2" applyNumberFormat="1" applyFont="1" applyFill="1" applyBorder="1" applyAlignment="1">
      <alignment horizontal="right" vertical="center"/>
    </xf>
    <xf numFmtId="0" fontId="22" fillId="4" borderId="0" xfId="5" applyFont="1" applyFill="1"/>
    <xf numFmtId="0" fontId="33" fillId="4" borderId="0" xfId="5" applyFont="1" applyFill="1"/>
    <xf numFmtId="14" fontId="32" fillId="16" borderId="9" xfId="0" applyNumberFormat="1" applyFont="1" applyFill="1" applyBorder="1" applyAlignment="1">
      <alignment vertical="center" wrapText="1"/>
    </xf>
    <xf numFmtId="3" fontId="38" fillId="0" borderId="0" xfId="0" applyNumberFormat="1" applyFont="1" applyAlignment="1">
      <alignment vertical="center"/>
    </xf>
    <xf numFmtId="10" fontId="55" fillId="4" borderId="0" xfId="0" applyNumberFormat="1" applyFont="1" applyFill="1"/>
    <xf numFmtId="165" fontId="24" fillId="0" borderId="0" xfId="8" applyNumberFormat="1"/>
    <xf numFmtId="3" fontId="32" fillId="21" borderId="54" xfId="0" applyNumberFormat="1" applyFont="1" applyFill="1" applyBorder="1"/>
    <xf numFmtId="3" fontId="33" fillId="21" borderId="54" xfId="0" applyNumberFormat="1" applyFont="1" applyFill="1" applyBorder="1"/>
    <xf numFmtId="3" fontId="33" fillId="21" borderId="30" xfId="0" applyNumberFormat="1" applyFont="1" applyFill="1" applyBorder="1"/>
    <xf numFmtId="3" fontId="28" fillId="4" borderId="31" xfId="0" applyNumberFormat="1" applyFont="1" applyFill="1" applyBorder="1"/>
    <xf numFmtId="3" fontId="28" fillId="4" borderId="57" xfId="8" applyNumberFormat="1" applyFont="1" applyFill="1" applyBorder="1"/>
    <xf numFmtId="3" fontId="32" fillId="4" borderId="57" xfId="0" applyNumberFormat="1" applyFont="1" applyFill="1" applyBorder="1"/>
    <xf numFmtId="3" fontId="4" fillId="0" borderId="0" xfId="8" applyNumberFormat="1" applyFont="1"/>
    <xf numFmtId="3" fontId="69" fillId="0" borderId="0" xfId="8" applyNumberFormat="1" applyFont="1" applyAlignment="1">
      <alignment vertical="center"/>
    </xf>
    <xf numFmtId="3" fontId="70" fillId="0" borderId="0" xfId="8" applyNumberFormat="1" applyFont="1"/>
    <xf numFmtId="3" fontId="32" fillId="4" borderId="31" xfId="0" applyNumberFormat="1" applyFont="1" applyFill="1" applyBorder="1"/>
    <xf numFmtId="49" fontId="41" fillId="4" borderId="0" xfId="9" applyNumberFormat="1" applyFont="1" applyFill="1" applyAlignment="1">
      <alignment horizontal="center"/>
    </xf>
    <xf numFmtId="0" fontId="56" fillId="4" borderId="0" xfId="9" applyFont="1" applyFill="1"/>
    <xf numFmtId="3" fontId="56" fillId="4" borderId="12" xfId="4" applyNumberFormat="1" applyFont="1" applyFill="1" applyBorder="1" applyAlignment="1">
      <alignment horizontal="right" vertical="center"/>
    </xf>
    <xf numFmtId="3" fontId="24" fillId="0" borderId="0" xfId="8" applyNumberFormat="1" applyAlignment="1">
      <alignment horizontal="center"/>
    </xf>
    <xf numFmtId="43" fontId="33" fillId="0" borderId="0" xfId="8" applyNumberFormat="1" applyFont="1"/>
    <xf numFmtId="3" fontId="24" fillId="0" borderId="0" xfId="8" applyNumberFormat="1" applyAlignment="1">
      <alignment horizontal="right"/>
    </xf>
    <xf numFmtId="0" fontId="18" fillId="4" borderId="1" xfId="0" applyFont="1" applyFill="1" applyBorder="1" applyAlignment="1">
      <alignment horizontal="center" vertical="center"/>
    </xf>
    <xf numFmtId="166" fontId="18" fillId="4" borderId="1" xfId="2" applyNumberFormat="1" applyFont="1" applyFill="1" applyBorder="1" applyAlignment="1">
      <alignment vertical="center"/>
    </xf>
    <xf numFmtId="170" fontId="18" fillId="4" borderId="1" xfId="2" applyNumberFormat="1" applyFont="1" applyFill="1" applyBorder="1" applyAlignment="1">
      <alignment vertical="center"/>
    </xf>
    <xf numFmtId="168" fontId="18" fillId="4" borderId="1" xfId="2" applyNumberFormat="1" applyFont="1" applyFill="1" applyBorder="1" applyAlignment="1">
      <alignment horizontal="right" vertical="center"/>
    </xf>
    <xf numFmtId="167" fontId="18" fillId="4" borderId="1" xfId="10" applyNumberFormat="1" applyFont="1" applyFill="1" applyBorder="1" applyAlignment="1">
      <alignment horizontal="right" vertical="center"/>
    </xf>
    <xf numFmtId="166" fontId="18" fillId="4" borderId="1" xfId="2" applyNumberFormat="1" applyFont="1" applyFill="1" applyBorder="1" applyAlignment="1">
      <alignment horizontal="right" vertical="center"/>
    </xf>
    <xf numFmtId="0" fontId="118" fillId="16" borderId="7" xfId="0" applyFont="1" applyFill="1" applyBorder="1" applyAlignment="1">
      <alignment vertical="center"/>
    </xf>
    <xf numFmtId="173" fontId="27" fillId="0" borderId="0" xfId="2" applyNumberFormat="1" applyFont="1" applyFill="1"/>
    <xf numFmtId="0" fontId="119" fillId="0" borderId="0" xfId="0" applyFont="1"/>
    <xf numFmtId="43" fontId="119" fillId="0" borderId="0" xfId="0" applyNumberFormat="1" applyFont="1"/>
    <xf numFmtId="165" fontId="120" fillId="0" borderId="0" xfId="2" applyFont="1"/>
    <xf numFmtId="0" fontId="120" fillId="0" borderId="0" xfId="0" applyFont="1"/>
    <xf numFmtId="43" fontId="120" fillId="0" borderId="0" xfId="0" applyNumberFormat="1" applyFont="1"/>
    <xf numFmtId="0" fontId="28" fillId="0" borderId="0" xfId="0" applyFont="1"/>
    <xf numFmtId="165" fontId="3" fillId="0" borderId="0" xfId="2" applyFont="1"/>
    <xf numFmtId="165" fontId="3" fillId="0" borderId="0" xfId="2" applyFont="1" applyFill="1"/>
    <xf numFmtId="0" fontId="121" fillId="0" borderId="0" xfId="0" applyFont="1"/>
    <xf numFmtId="0" fontId="28" fillId="4" borderId="1" xfId="0" applyFont="1" applyFill="1" applyBorder="1" applyAlignment="1">
      <alignment horizontal="center" vertical="center"/>
    </xf>
    <xf numFmtId="0" fontId="28" fillId="4" borderId="1" xfId="0" applyFont="1" applyFill="1" applyBorder="1" applyAlignment="1">
      <alignment vertical="center"/>
    </xf>
    <xf numFmtId="166" fontId="3" fillId="4" borderId="1" xfId="2" applyNumberFormat="1" applyFont="1" applyFill="1" applyBorder="1" applyAlignment="1">
      <alignment horizontal="right" vertical="center"/>
    </xf>
    <xf numFmtId="167" fontId="3" fillId="4" borderId="1" xfId="10" applyNumberFormat="1" applyFont="1" applyFill="1" applyBorder="1" applyAlignment="1">
      <alignment horizontal="right" vertical="center"/>
    </xf>
    <xf numFmtId="166" fontId="3" fillId="4" borderId="1" xfId="2" applyNumberFormat="1" applyFont="1" applyFill="1" applyBorder="1"/>
    <xf numFmtId="167" fontId="3" fillId="0" borderId="1" xfId="10" applyNumberFormat="1" applyFont="1" applyFill="1" applyBorder="1" applyAlignment="1">
      <alignment horizontal="right" vertical="center"/>
    </xf>
    <xf numFmtId="167" fontId="3" fillId="0" borderId="1" xfId="10" applyNumberFormat="1" applyFont="1" applyFill="1" applyBorder="1" applyAlignment="1">
      <alignment horizontal="center" vertical="center"/>
    </xf>
    <xf numFmtId="167" fontId="3" fillId="4" borderId="1" xfId="10" applyNumberFormat="1" applyFont="1" applyFill="1" applyBorder="1"/>
    <xf numFmtId="173" fontId="33" fillId="0" borderId="0" xfId="2" applyNumberFormat="1" applyFont="1" applyFill="1"/>
    <xf numFmtId="3" fontId="24" fillId="0" borderId="11" xfId="8" applyNumberFormat="1" applyBorder="1" applyAlignment="1">
      <alignment vertical="center" wrapText="1"/>
    </xf>
    <xf numFmtId="165" fontId="2" fillId="0" borderId="0" xfId="2" applyFont="1" applyFill="1"/>
    <xf numFmtId="177" fontId="85" fillId="0" borderId="0" xfId="0" applyNumberFormat="1" applyFont="1"/>
    <xf numFmtId="177" fontId="28" fillId="0" borderId="0" xfId="2" applyNumberFormat="1" applyFont="1"/>
    <xf numFmtId="177" fontId="32" fillId="0" borderId="0" xfId="2" applyNumberFormat="1" applyFont="1"/>
    <xf numFmtId="177" fontId="28" fillId="0" borderId="0" xfId="8" applyNumberFormat="1" applyFont="1"/>
    <xf numFmtId="0" fontId="57" fillId="0" borderId="0" xfId="9" applyFont="1" applyAlignment="1">
      <alignment horizontal="center" vertical="center" wrapText="1"/>
    </xf>
    <xf numFmtId="178" fontId="0" fillId="4" borderId="54" xfId="0" applyNumberFormat="1" applyFill="1" applyBorder="1"/>
    <xf numFmtId="178" fontId="0" fillId="4" borderId="55" xfId="0" applyNumberFormat="1" applyFill="1" applyBorder="1"/>
    <xf numFmtId="165" fontId="27" fillId="0" borderId="0" xfId="2" applyFont="1" applyAlignment="1">
      <alignment wrapText="1"/>
    </xf>
    <xf numFmtId="165" fontId="36" fillId="0" borderId="0" xfId="2" applyFont="1" applyAlignment="1">
      <alignment vertical="center"/>
    </xf>
    <xf numFmtId="165" fontId="37" fillId="0" borderId="0" xfId="2" applyFont="1" applyAlignment="1">
      <alignment vertical="center"/>
    </xf>
    <xf numFmtId="165" fontId="38" fillId="0" borderId="0" xfId="2" applyFont="1" applyAlignment="1">
      <alignment vertical="center"/>
    </xf>
    <xf numFmtId="165" fontId="39" fillId="0" borderId="0" xfId="2" applyFont="1"/>
    <xf numFmtId="165" fontId="24" fillId="4" borderId="0" xfId="2" applyFont="1" applyFill="1"/>
    <xf numFmtId="165" fontId="24" fillId="0" borderId="0" xfId="2" applyFont="1" applyAlignment="1">
      <alignment wrapText="1"/>
    </xf>
    <xf numFmtId="179" fontId="24" fillId="0" borderId="0" xfId="8" applyNumberFormat="1"/>
    <xf numFmtId="0" fontId="68" fillId="4" borderId="0" xfId="8" applyFont="1" applyFill="1" applyAlignment="1">
      <alignment horizontal="center" vertical="center"/>
    </xf>
    <xf numFmtId="0" fontId="38" fillId="0" borderId="0" xfId="8" applyFont="1" applyAlignment="1">
      <alignment horizontal="center" vertical="center"/>
    </xf>
    <xf numFmtId="0" fontId="122" fillId="0" borderId="0" xfId="8" applyFont="1" applyAlignment="1">
      <alignment horizontal="center" vertical="center"/>
    </xf>
    <xf numFmtId="3" fontId="38" fillId="4" borderId="0" xfId="0" applyNumberFormat="1" applyFont="1" applyFill="1" applyAlignment="1">
      <alignment vertical="center"/>
    </xf>
    <xf numFmtId="0" fontId="1" fillId="0" borderId="0" xfId="0" applyFont="1" applyAlignment="1">
      <alignment horizontal="right"/>
    </xf>
    <xf numFmtId="165" fontId="33" fillId="4" borderId="0" xfId="2" applyFont="1" applyFill="1"/>
    <xf numFmtId="165" fontId="2" fillId="4" borderId="0" xfId="2" applyFont="1" applyFill="1"/>
    <xf numFmtId="0" fontId="107" fillId="0" borderId="0" xfId="0" applyFont="1"/>
    <xf numFmtId="167" fontId="25" fillId="15" borderId="2" xfId="10" applyNumberFormat="1" applyFont="1" applyFill="1" applyBorder="1" applyAlignment="1">
      <alignment horizontal="right"/>
    </xf>
    <xf numFmtId="167" fontId="25" fillId="16" borderId="2" xfId="10" applyNumberFormat="1" applyFont="1" applyFill="1" applyBorder="1" applyAlignment="1">
      <alignment horizontal="right"/>
    </xf>
    <xf numFmtId="167" fontId="123" fillId="0" borderId="0" xfId="10" applyNumberFormat="1" applyFont="1" applyFill="1" applyBorder="1" applyAlignment="1">
      <alignment horizontal="right"/>
    </xf>
    <xf numFmtId="167" fontId="123" fillId="0" borderId="0" xfId="10" applyNumberFormat="1" applyFont="1" applyFill="1" applyBorder="1" applyAlignment="1">
      <alignment horizontal="right" vertical="center"/>
    </xf>
    <xf numFmtId="167" fontId="25" fillId="16" borderId="1" xfId="10" applyNumberFormat="1" applyFont="1" applyFill="1" applyBorder="1" applyAlignment="1">
      <alignment horizontal="right"/>
    </xf>
    <xf numFmtId="166" fontId="25" fillId="16" borderId="2" xfId="2" applyNumberFormat="1" applyFont="1" applyFill="1" applyBorder="1" applyAlignment="1">
      <alignment horizontal="right"/>
    </xf>
    <xf numFmtId="0" fontId="25" fillId="16" borderId="66" xfId="0" applyFont="1" applyFill="1" applyBorder="1" applyAlignment="1">
      <alignment horizontal="center" vertical="center"/>
    </xf>
    <xf numFmtId="166" fontId="25" fillId="15" borderId="2" xfId="2" applyNumberFormat="1" applyFont="1" applyFill="1" applyBorder="1" applyAlignment="1">
      <alignment horizontal="right"/>
    </xf>
    <xf numFmtId="166" fontId="25" fillId="16" borderId="2" xfId="2" applyNumberFormat="1" applyFont="1" applyFill="1" applyBorder="1" applyAlignment="1">
      <alignment horizontal="right" vertical="center"/>
    </xf>
    <xf numFmtId="0" fontId="123" fillId="0" borderId="0" xfId="0" applyFont="1" applyAlignment="1">
      <alignment horizontal="center" vertical="center"/>
    </xf>
    <xf numFmtId="181" fontId="123" fillId="0" borderId="0" xfId="2" applyNumberFormat="1" applyFont="1" applyFill="1" applyBorder="1" applyAlignment="1">
      <alignment horizontal="right"/>
    </xf>
    <xf numFmtId="181" fontId="123" fillId="0" borderId="0" xfId="2" applyNumberFormat="1" applyFont="1" applyFill="1" applyBorder="1" applyAlignment="1">
      <alignment horizontal="right" vertical="center"/>
    </xf>
    <xf numFmtId="180" fontId="0" fillId="0" borderId="0" xfId="0" applyNumberFormat="1" applyAlignment="1">
      <alignment vertical="top"/>
    </xf>
    <xf numFmtId="0" fontId="63" fillId="0" borderId="0" xfId="0" applyFont="1" applyAlignment="1">
      <alignment vertical="top" wrapText="1"/>
    </xf>
    <xf numFmtId="180" fontId="63" fillId="0" borderId="0" xfId="0" applyNumberFormat="1" applyFont="1" applyAlignment="1">
      <alignment vertical="top"/>
    </xf>
    <xf numFmtId="0" fontId="123" fillId="22" borderId="1" xfId="0" applyFont="1" applyFill="1" applyBorder="1" applyAlignment="1">
      <alignment horizontal="center" vertical="center"/>
    </xf>
    <xf numFmtId="167" fontId="123" fillId="22" borderId="1" xfId="10" applyNumberFormat="1" applyFont="1" applyFill="1" applyBorder="1" applyAlignment="1">
      <alignment horizontal="right"/>
    </xf>
    <xf numFmtId="182" fontId="123" fillId="22" borderId="1" xfId="2" applyNumberFormat="1" applyFont="1" applyFill="1" applyBorder="1" applyAlignment="1">
      <alignment horizontal="right"/>
    </xf>
    <xf numFmtId="182" fontId="123" fillId="22" borderId="1" xfId="2" applyNumberFormat="1" applyFont="1" applyFill="1" applyBorder="1" applyAlignment="1">
      <alignment horizontal="right" vertical="center"/>
    </xf>
    <xf numFmtId="0" fontId="25" fillId="16" borderId="1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17" xfId="0" applyFont="1" applyFill="1" applyBorder="1" applyAlignment="1">
      <alignment horizontal="center" vertical="center" wrapText="1"/>
    </xf>
    <xf numFmtId="0" fontId="25" fillId="15" borderId="18" xfId="0" applyFont="1" applyFill="1" applyBorder="1" applyAlignment="1">
      <alignment horizontal="center" vertical="center" wrapText="1"/>
    </xf>
    <xf numFmtId="0" fontId="25" fillId="15" borderId="19" xfId="0" applyFont="1" applyFill="1" applyBorder="1" applyAlignment="1">
      <alignment horizontal="center" vertical="center" wrapText="1"/>
    </xf>
    <xf numFmtId="0" fontId="25" fillId="16" borderId="1" xfId="0" applyFont="1" applyFill="1" applyBorder="1" applyAlignment="1">
      <alignment horizontal="center" vertical="center"/>
    </xf>
    <xf numFmtId="0" fontId="25" fillId="15" borderId="1" xfId="0" applyFont="1" applyFill="1" applyBorder="1" applyAlignment="1">
      <alignment horizontal="center" vertical="center" wrapText="1"/>
    </xf>
    <xf numFmtId="0" fontId="25" fillId="16" borderId="5" xfId="0" applyFont="1" applyFill="1" applyBorder="1" applyAlignment="1">
      <alignment horizontal="center" vertical="center" wrapText="1"/>
    </xf>
    <xf numFmtId="0" fontId="25" fillId="15" borderId="10" xfId="0" applyFont="1" applyFill="1" applyBorder="1" applyAlignment="1">
      <alignment horizontal="center" vertical="center" wrapText="1"/>
    </xf>
    <xf numFmtId="0" fontId="25" fillId="15" borderId="5" xfId="0" applyFont="1" applyFill="1" applyBorder="1" applyAlignment="1">
      <alignment horizontal="center" vertical="center"/>
    </xf>
    <xf numFmtId="0" fontId="25" fillId="15" borderId="10" xfId="0" applyFont="1" applyFill="1" applyBorder="1" applyAlignment="1">
      <alignment horizontal="center" vertical="center"/>
    </xf>
    <xf numFmtId="0" fontId="25" fillId="16" borderId="10" xfId="0" applyFont="1" applyFill="1" applyBorder="1" applyAlignment="1">
      <alignment horizontal="center" vertical="center"/>
    </xf>
    <xf numFmtId="0" fontId="25" fillId="15" borderId="1" xfId="0" applyFont="1" applyFill="1" applyBorder="1" applyAlignment="1">
      <alignment horizontal="center" vertical="center"/>
    </xf>
    <xf numFmtId="0" fontId="30" fillId="4" borderId="0" xfId="0" applyFont="1" applyFill="1" applyAlignment="1">
      <alignment horizontal="center" vertical="center"/>
    </xf>
    <xf numFmtId="0" fontId="61" fillId="16" borderId="15" xfId="0" applyFont="1" applyFill="1" applyBorder="1" applyAlignment="1">
      <alignment horizontal="center" vertical="center" wrapText="1"/>
    </xf>
    <xf numFmtId="0" fontId="61" fillId="16" borderId="20" xfId="0" applyFont="1" applyFill="1" applyBorder="1" applyAlignment="1">
      <alignment horizontal="center" vertical="center" wrapText="1"/>
    </xf>
    <xf numFmtId="0" fontId="93" fillId="0" borderId="0" xfId="0" applyFont="1" applyAlignment="1">
      <alignment horizontal="left" vertical="center"/>
    </xf>
    <xf numFmtId="0" fontId="26" fillId="6" borderId="58" xfId="8" applyFont="1" applyFill="1" applyBorder="1" applyAlignment="1">
      <alignment horizontal="center" vertical="center" wrapText="1"/>
    </xf>
    <xf numFmtId="0" fontId="26" fillId="6" borderId="59" xfId="8" applyFont="1" applyFill="1" applyBorder="1" applyAlignment="1">
      <alignment horizontal="center" vertical="center" wrapText="1"/>
    </xf>
    <xf numFmtId="0" fontId="24" fillId="0" borderId="0" xfId="8" applyAlignment="1">
      <alignment horizontal="left" wrapText="1"/>
    </xf>
    <xf numFmtId="0" fontId="125" fillId="0" borderId="0" xfId="0" applyFont="1" applyAlignment="1">
      <alignment horizontal="left"/>
    </xf>
  </cellXfs>
  <cellStyles count="24">
    <cellStyle name="Énfasis1" xfId="1" builtinId="29"/>
    <cellStyle name="Millares" xfId="2" builtinId="3"/>
    <cellStyle name="Millares 2" xfId="3" xr:uid="{00000000-0005-0000-0000-000002000000}"/>
    <cellStyle name="Millares 2 2" xfId="4" xr:uid="{00000000-0005-0000-0000-000003000000}"/>
    <cellStyle name="Millares 2 3" xfId="14" xr:uid="{B1DA6C35-A055-433B-9474-C54B1F30EEB3}"/>
    <cellStyle name="Millares 3" xfId="13" xr:uid="{95E14DB5-FAEA-464C-B87E-EB13A08A7C4D}"/>
    <cellStyle name="Millares 4" xfId="17" xr:uid="{3948106C-8D3C-4A74-ADE4-B93B657DD9E4}"/>
    <cellStyle name="Millares 5" xfId="20" xr:uid="{A16B9A64-21F8-4694-8272-57AEFFF40862}"/>
    <cellStyle name="Millares 6" xfId="23" xr:uid="{22CC71C1-2650-4206-B137-929FB7792FCD}"/>
    <cellStyle name="Moneda 3" xfId="16" xr:uid="{771FBC1B-5270-41B1-9F0E-C67279C5430E}"/>
    <cellStyle name="Moneda 3 2" xfId="22" xr:uid="{A1F780CF-C678-45A3-B071-2AB389EC39BA}"/>
    <cellStyle name="Normal" xfId="0" builtinId="0"/>
    <cellStyle name="Normal 2" xfId="5" xr:uid="{00000000-0005-0000-0000-000005000000}"/>
    <cellStyle name="Normal 2 2" xfId="15" xr:uid="{F783909B-C73F-4A87-B658-8325CC5B99E8}"/>
    <cellStyle name="Normal 3" xfId="6" xr:uid="{00000000-0005-0000-0000-000006000000}"/>
    <cellStyle name="Normal 4" xfId="7" xr:uid="{00000000-0005-0000-0000-000007000000}"/>
    <cellStyle name="Normal 5" xfId="8" xr:uid="{00000000-0005-0000-0000-000008000000}"/>
    <cellStyle name="Normal 6" xfId="9" xr:uid="{00000000-0005-0000-0000-000009000000}"/>
    <cellStyle name="Normal 7" xfId="12" xr:uid="{903995B6-6B38-4A78-AAC6-A1BB12FA10D1}"/>
    <cellStyle name="Normal 8" xfId="19" xr:uid="{700210D9-EAB7-4C39-8B72-74F1E589C9B0}"/>
    <cellStyle name="Porcentaje" xfId="10" builtinId="5"/>
    <cellStyle name="Porcentaje 2" xfId="11" xr:uid="{00000000-0005-0000-0000-00000B000000}"/>
    <cellStyle name="Porcentaje 3" xfId="18" xr:uid="{9F87941B-35F0-45D8-8C96-FF222F922C77}"/>
    <cellStyle name="Porcentaje 4" xfId="21" xr:uid="{27D49A05-D700-432E-9484-5D9915EC4CC5}"/>
  </cellStyles>
  <dxfs count="58">
    <dxf>
      <font>
        <color rgb="FFFF0000"/>
      </font>
      <fill>
        <patternFill>
          <bgColor theme="5" tint="0.79998168889431442"/>
        </patternFill>
      </fill>
    </dxf>
    <dxf>
      <font>
        <color rgb="FFFF0000"/>
      </font>
      <fill>
        <patternFill>
          <bgColor theme="5" tint="0.79998168889431442"/>
        </patternFill>
      </fill>
    </dxf>
    <dxf>
      <border>
        <top style="thin">
          <color theme="9" tint="0.79998168889431442"/>
        </top>
        <bottom style="thin">
          <color theme="9" tint="0.79998168889431442"/>
        </bottom>
      </border>
    </dxf>
    <dxf>
      <border>
        <top style="thin">
          <color theme="9" tint="0.79998168889431442"/>
        </top>
        <bottom style="thin">
          <color theme="9" tint="0.79998168889431442"/>
        </bottom>
      </border>
    </dxf>
    <dxf>
      <fill>
        <patternFill patternType="solid">
          <fgColor theme="9" tint="0.79998168889431442"/>
          <bgColor theme="9" tint="0.79998168889431442"/>
        </patternFill>
      </fill>
      <border>
        <bottom style="thin">
          <color theme="9"/>
        </bottom>
      </border>
    </dxf>
    <dxf>
      <font>
        <color theme="0"/>
      </font>
      <fill>
        <patternFill patternType="solid">
          <fgColor theme="9" tint="0.39997558519241921"/>
          <bgColor theme="9" tint="0.39997558519241921"/>
        </patternFill>
      </fill>
      <border>
        <bottom style="thin">
          <color theme="9" tint="0.79998168889431442"/>
        </bottom>
        <horizontal style="thin">
          <color theme="9" tint="0.39997558519241921"/>
        </horizontal>
      </border>
    </dxf>
    <dxf>
      <border>
        <bottom style="thin">
          <color theme="9" tint="0.59999389629810485"/>
        </bottom>
      </border>
    </dxf>
    <dxf>
      <font>
        <b/>
        <color theme="1"/>
      </font>
      <fill>
        <patternFill patternType="solid">
          <fgColor theme="0" tint="-0.14999847407452621"/>
          <bgColor theme="0" tint="-0.14999847407452621"/>
        </patternFill>
      </fill>
    </dxf>
    <dxf>
      <font>
        <b/>
        <color theme="0"/>
      </font>
      <fill>
        <patternFill patternType="solid">
          <fgColor theme="9" tint="0.39997558519241921"/>
          <bgColor theme="9" tint="0.39997558519241921"/>
        </patternFill>
      </fill>
    </dxf>
    <dxf>
      <font>
        <b/>
        <color theme="0"/>
      </font>
    </dxf>
    <dxf>
      <border>
        <left style="thin">
          <color theme="9" tint="-0.249977111117893"/>
        </left>
        <right style="thin">
          <color theme="9" tint="-0.249977111117893"/>
        </right>
      </border>
    </dxf>
    <dxf>
      <border>
        <top style="thin">
          <color theme="9" tint="-0.249977111117893"/>
        </top>
        <bottom style="thin">
          <color theme="9" tint="-0.249977111117893"/>
        </bottom>
        <horizontal style="thin">
          <color theme="9" tint="-0.249977111117893"/>
        </horizontal>
      </border>
    </dxf>
    <dxf>
      <font>
        <b/>
        <color theme="1"/>
      </font>
      <border>
        <top style="double">
          <color theme="9" tint="-0.249977111117893"/>
        </top>
      </border>
    </dxf>
    <dxf>
      <font>
        <color theme="0"/>
      </font>
      <fill>
        <patternFill patternType="solid">
          <fgColor theme="9" tint="-0.249977111117893"/>
          <bgColor theme="9" tint="-0.249977111117893"/>
        </patternFill>
      </fill>
      <border>
        <horizontal style="thin">
          <color theme="9" tint="-0.249977111117893"/>
        </horizontal>
      </border>
    </dxf>
    <dxf>
      <font>
        <color theme="1"/>
      </font>
      <border>
        <left style="medium">
          <color theme="9" tint="-0.24994659260841701"/>
        </left>
        <right style="medium">
          <color theme="9" tint="-0.24994659260841701"/>
        </right>
        <top/>
        <bottom style="medium">
          <color theme="9" tint="-0.24994659260841701"/>
        </bottom>
        <vertical style="thin">
          <color theme="9" tint="0.59996337778862885"/>
        </vertical>
        <horizontal style="thin">
          <color theme="9" tint="0.79998168889431442"/>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top style="thin">
          <color theme="9" tint="0.79998168889431442"/>
        </top>
        <bottom style="thin">
          <color theme="9" tint="0.79998168889431442"/>
        </bottom>
      </border>
    </dxf>
    <dxf>
      <border>
        <top style="thin">
          <color theme="9" tint="0.79998168889431442"/>
        </top>
        <bottom style="thin">
          <color theme="9" tint="0.79998168889431442"/>
        </bottom>
      </border>
    </dxf>
    <dxf>
      <fill>
        <patternFill patternType="solid">
          <fgColor theme="9" tint="0.79998168889431442"/>
          <bgColor theme="9" tint="0.79998168889431442"/>
        </patternFill>
      </fill>
      <border>
        <bottom style="thin">
          <color theme="9"/>
        </bottom>
      </border>
    </dxf>
    <dxf>
      <font>
        <color theme="0"/>
      </font>
      <fill>
        <patternFill patternType="solid">
          <fgColor theme="9" tint="0.39997558519241921"/>
          <bgColor theme="9" tint="0.39997558519241921"/>
        </patternFill>
      </fill>
      <border>
        <bottom style="thin">
          <color theme="9" tint="0.79998168889431442"/>
        </bottom>
        <horizontal style="thin">
          <color theme="9" tint="0.39997558519241921"/>
        </horizontal>
      </border>
    </dxf>
    <dxf>
      <border>
        <bottom style="thin">
          <color theme="9" tint="0.59999389629810485"/>
        </bottom>
      </border>
    </dxf>
    <dxf>
      <font>
        <b/>
        <color theme="1"/>
      </font>
      <fill>
        <patternFill patternType="solid">
          <fgColor theme="0" tint="-0.14999847407452621"/>
          <bgColor theme="0" tint="-0.14999847407452621"/>
        </patternFill>
      </fill>
    </dxf>
    <dxf>
      <font>
        <b/>
        <color theme="0"/>
      </font>
      <fill>
        <patternFill patternType="solid">
          <fgColor theme="9" tint="0.39997558519241921"/>
          <bgColor theme="9" tint="0.39997558519241921"/>
        </patternFill>
      </fill>
    </dxf>
    <dxf>
      <font>
        <b/>
        <color theme="0"/>
      </font>
    </dxf>
    <dxf>
      <border>
        <left style="thin">
          <color theme="9" tint="-0.249977111117893"/>
        </left>
        <right style="thin">
          <color theme="9" tint="-0.249977111117893"/>
        </right>
      </border>
    </dxf>
    <dxf>
      <border>
        <top style="thin">
          <color theme="9" tint="-0.249977111117893"/>
        </top>
        <bottom style="thin">
          <color theme="9" tint="-0.249977111117893"/>
        </bottom>
        <horizontal style="thin">
          <color theme="9" tint="-0.249977111117893"/>
        </horizontal>
      </border>
    </dxf>
    <dxf>
      <font>
        <b/>
        <color theme="1"/>
      </font>
      <border>
        <top style="double">
          <color theme="9" tint="-0.249977111117893"/>
        </top>
      </border>
    </dxf>
    <dxf>
      <font>
        <color theme="0"/>
      </font>
      <fill>
        <patternFill patternType="solid">
          <fgColor theme="9" tint="-0.249977111117893"/>
          <bgColor theme="9" tint="-0.249977111117893"/>
        </patternFill>
      </fill>
      <border>
        <horizontal style="thin">
          <color theme="9" tint="-0.249977111117893"/>
        </horizontal>
      </border>
    </dxf>
    <dxf>
      <font>
        <color theme="1"/>
      </font>
      <border>
        <right style="thick">
          <color theme="9" tint="-0.24994659260841701"/>
        </right>
        <top style="thick">
          <color theme="9" tint="-0.24994659260841701"/>
        </top>
        <bottom style="thick">
          <color theme="9" tint="-0.24994659260841701"/>
        </bottom>
        <horizontal style="thin">
          <color theme="9" tint="0.79998168889431442"/>
        </horizontal>
      </border>
    </dxf>
    <dxf>
      <border>
        <top style="thin">
          <color theme="5" tint="0.79998168889431442"/>
        </top>
        <bottom style="thin">
          <color theme="5" tint="0.79998168889431442"/>
        </bottom>
      </border>
    </dxf>
    <dxf>
      <border>
        <top style="thin">
          <color theme="5" tint="0.79998168889431442"/>
        </top>
        <bottom style="thin">
          <color theme="5" tint="0.79998168889431442"/>
        </bottom>
      </border>
    </dxf>
    <dxf>
      <fill>
        <patternFill patternType="solid">
          <fgColor theme="5" tint="0.79998168889431442"/>
          <bgColor theme="5" tint="0.79998168889431442"/>
        </patternFill>
      </fill>
      <border>
        <bottom style="thin">
          <color theme="5"/>
        </bottom>
      </border>
    </dxf>
    <dxf>
      <font>
        <color theme="0"/>
      </font>
      <fill>
        <patternFill patternType="solid">
          <fgColor theme="5" tint="0.39997558519241921"/>
          <bgColor theme="5" tint="0.39997558519241921"/>
        </patternFill>
      </fill>
      <border>
        <bottom style="thin">
          <color theme="5" tint="0.79998168889431442"/>
        </bottom>
        <horizontal style="thin">
          <color theme="5" tint="0.39997558519241921"/>
        </horizontal>
      </border>
    </dxf>
    <dxf>
      <border>
        <bottom style="thin">
          <color theme="5" tint="0.59999389629810485"/>
        </bottom>
      </border>
    </dxf>
    <dxf>
      <font>
        <b/>
        <color theme="1"/>
      </font>
      <fill>
        <patternFill patternType="solid">
          <fgColor theme="0" tint="-0.14999847407452621"/>
          <bgColor theme="0" tint="-0.14999847407452621"/>
        </patternFill>
      </fill>
    </dxf>
    <dxf>
      <font>
        <b/>
        <color theme="0"/>
      </font>
      <fill>
        <patternFill patternType="solid">
          <fgColor theme="5" tint="0.39997558519241921"/>
          <bgColor theme="5" tint="0.39997558519241921"/>
        </patternFill>
      </fill>
    </dxf>
    <dxf>
      <font>
        <b/>
        <color theme="0"/>
      </font>
    </dxf>
    <dxf>
      <border>
        <left style="thin">
          <color theme="5" tint="-0.249977111117893"/>
        </left>
        <right style="thin">
          <color theme="5" tint="-0.249977111117893"/>
        </right>
      </border>
    </dxf>
    <dxf>
      <border>
        <top style="thin">
          <color theme="5" tint="-0.249977111117893"/>
        </top>
        <bottom style="thin">
          <color theme="5" tint="-0.249977111117893"/>
        </bottom>
        <horizontal style="thin">
          <color theme="5" tint="-0.249977111117893"/>
        </horizontal>
      </border>
    </dxf>
    <dxf>
      <font>
        <b/>
        <color theme="1"/>
      </font>
      <border>
        <top style="double">
          <color theme="5" tint="-0.249977111117893"/>
        </top>
      </border>
    </dxf>
    <dxf>
      <font>
        <color theme="0"/>
      </font>
      <fill>
        <patternFill patternType="solid">
          <fgColor theme="5" tint="-0.249977111117893"/>
          <bgColor theme="5" tint="-0.249977111117893"/>
        </patternFill>
      </fill>
      <border>
        <horizontal style="thin">
          <color theme="5" tint="-0.249977111117893"/>
        </horizontal>
      </border>
    </dxf>
    <dxf>
      <font>
        <color theme="1"/>
      </font>
      <border>
        <left style="thick">
          <color theme="5" tint="-0.24994659260841701"/>
        </left>
        <right style="thick">
          <color theme="5" tint="-0.24994659260841701"/>
        </right>
        <top style="thick">
          <color theme="5" tint="-0.24994659260841701"/>
        </top>
        <bottom style="thick">
          <color theme="5" tint="-0.24994659260841701"/>
        </bottom>
        <horizontal style="thin">
          <color theme="5" tint="0.79998168889431442"/>
        </horizontal>
      </border>
    </dxf>
    <dxf>
      <border>
        <top style="thin">
          <color theme="9" tint="0.79998168889431442"/>
        </top>
        <bottom style="thin">
          <color theme="9" tint="0.79998168889431442"/>
        </bottom>
      </border>
    </dxf>
    <dxf>
      <border>
        <top style="thin">
          <color theme="9" tint="0.79998168889431442"/>
        </top>
        <bottom style="thin">
          <color theme="9" tint="0.79998168889431442"/>
        </bottom>
      </border>
    </dxf>
    <dxf>
      <fill>
        <patternFill patternType="solid">
          <fgColor theme="9" tint="0.79998168889431442"/>
          <bgColor theme="9" tint="0.79998168889431442"/>
        </patternFill>
      </fill>
      <border>
        <bottom style="thin">
          <color theme="9"/>
        </bottom>
      </border>
    </dxf>
    <dxf>
      <font>
        <color theme="0"/>
      </font>
      <fill>
        <patternFill patternType="solid">
          <fgColor theme="9" tint="0.39997558519241921"/>
          <bgColor theme="9" tint="0.39997558519241921"/>
        </patternFill>
      </fill>
      <border>
        <bottom style="thin">
          <color theme="9" tint="0.79998168889431442"/>
        </bottom>
        <horizontal style="thin">
          <color theme="9" tint="0.39997558519241921"/>
        </horizontal>
      </border>
    </dxf>
    <dxf>
      <border>
        <bottom style="thin">
          <color theme="9" tint="0.59999389629810485"/>
        </bottom>
      </border>
    </dxf>
    <dxf>
      <font>
        <b/>
        <color theme="1"/>
      </font>
      <fill>
        <patternFill patternType="solid">
          <fgColor theme="0" tint="-0.14999847407452621"/>
          <bgColor theme="0" tint="-0.14999847407452621"/>
        </patternFill>
      </fill>
    </dxf>
    <dxf>
      <font>
        <b/>
        <color theme="0"/>
      </font>
      <fill>
        <patternFill patternType="solid">
          <fgColor theme="9" tint="0.39997558519241921"/>
          <bgColor theme="9" tint="0.39997558519241921"/>
        </patternFill>
      </fill>
    </dxf>
    <dxf>
      <font>
        <b/>
        <color theme="0"/>
      </font>
    </dxf>
    <dxf>
      <border>
        <left style="thin">
          <color theme="9" tint="-0.249977111117893"/>
        </left>
        <right style="thin">
          <color theme="9" tint="-0.249977111117893"/>
        </right>
      </border>
    </dxf>
    <dxf>
      <border>
        <top style="thin">
          <color theme="9" tint="-0.249977111117893"/>
        </top>
        <bottom style="thin">
          <color theme="9" tint="-0.249977111117893"/>
        </bottom>
        <horizontal style="thin">
          <color theme="9" tint="-0.249977111117893"/>
        </horizontal>
      </border>
    </dxf>
    <dxf>
      <font>
        <b/>
        <color theme="1"/>
      </font>
      <border>
        <top style="double">
          <color theme="9" tint="-0.249977111117893"/>
        </top>
      </border>
    </dxf>
    <dxf>
      <font>
        <color theme="0"/>
      </font>
      <fill>
        <patternFill patternType="solid">
          <fgColor theme="9" tint="-0.249977111117893"/>
          <bgColor theme="9" tint="-0.249977111117893"/>
        </patternFill>
      </fill>
      <border>
        <horizontal style="thin">
          <color theme="9" tint="-0.249977111117893"/>
        </horizontal>
      </border>
    </dxf>
    <dxf>
      <font>
        <color theme="1"/>
      </font>
      <border>
        <left style="medium">
          <color theme="9" tint="-0.24994659260841701"/>
        </left>
        <top style="medium">
          <color theme="9" tint="-0.24994659260841701"/>
        </top>
        <bottom style="medium">
          <color theme="9" tint="-0.24994659260841701"/>
        </bottom>
        <horizontal style="thin">
          <color theme="9" tint="0.79998168889431442"/>
        </horizontal>
      </border>
    </dxf>
  </dxfs>
  <tableStyles count="6" defaultTableStyle="TableStyleMedium2" defaultPivotStyle="PivotStyleLight16">
    <tableStyle name="L" table="0" count="13" xr9:uid="{E39D60D5-280B-420F-9229-706A4CF7E76E}">
      <tableStyleElement type="wholeTable" dxfId="57"/>
      <tableStyleElement type="headerRow" dxfId="56"/>
      <tableStyleElement type="totalRow" dxfId="55"/>
      <tableStyleElement type="firstRowStripe" dxfId="54"/>
      <tableStyleElement type="firstColumnStripe" dxfId="53"/>
      <tableStyleElement type="firstHeaderCell" dxfId="52"/>
      <tableStyleElement type="firstSubtotalRow" dxfId="51"/>
      <tableStyleElement type="secondSubtotalRow" dxfId="50"/>
      <tableStyleElement type="firstColumnSubheading" dxfId="49"/>
      <tableStyleElement type="firstRowSubheading" dxfId="48"/>
      <tableStyleElement type="secondRowSubheading" dxfId="47"/>
      <tableStyleElement type="pageFieldLabels" dxfId="46"/>
      <tableStyleElement type="pageFieldValues" dxfId="45"/>
    </tableStyle>
    <tableStyle name="Naranja" table="0" count="13" xr9:uid="{C294C014-6525-4E70-B9FC-1E921C35CBD4}">
      <tableStyleElement type="wholeTable" dxfId="44"/>
      <tableStyleElement type="headerRow" dxfId="43"/>
      <tableStyleElement type="totalRow" dxfId="42"/>
      <tableStyleElement type="firstRowStripe" dxfId="41"/>
      <tableStyleElement type="firstColumnStripe" dxfId="40"/>
      <tableStyleElement type="firstHeaderCell" dxfId="39"/>
      <tableStyleElement type="firstSubtotalRow" dxfId="38"/>
      <tableStyleElement type="secondSubtotalRow" dxfId="37"/>
      <tableStyleElement type="firstColumnSubheading" dxfId="36"/>
      <tableStyleElement type="firstRowSubheading" dxfId="35"/>
      <tableStyleElement type="secondRowSubheading" dxfId="34"/>
      <tableStyleElement type="pageFieldLabels" dxfId="33"/>
      <tableStyleElement type="pageFieldValues" dxfId="32"/>
    </tableStyle>
    <tableStyle name="R" table="0" count="13" xr9:uid="{536D7E57-D7C6-4BF9-BC5F-A4ED24F269E6}">
      <tableStyleElement type="wholeTable" dxfId="31"/>
      <tableStyleElement type="headerRow" dxfId="30"/>
      <tableStyleElement type="totalRow" dxfId="29"/>
      <tableStyleElement type="firstRowStripe" dxfId="28"/>
      <tableStyleElement type="firstColumnStripe" dxfId="27"/>
      <tableStyleElement type="firstHeaderCell" dxfId="26"/>
      <tableStyleElement type="firstSubtotalRow" dxfId="25"/>
      <tableStyleElement type="secondSubtotalRow" dxfId="24"/>
      <tableStyleElement type="firstColumnSubheading" dxfId="23"/>
      <tableStyleElement type="firstRowSubheading" dxfId="22"/>
      <tableStyleElement type="secondRowSubheading" dxfId="21"/>
      <tableStyleElement type="pageFieldLabels" dxfId="20"/>
      <tableStyleElement type="pageFieldValues" dxfId="19"/>
    </tableStyle>
    <tableStyle name="Seg Azul" pivot="0" table="0" count="2" xr9:uid="{3390216E-31A7-4C4F-A976-F18D04C11E52}">
      <tableStyleElement type="wholeTable" dxfId="18"/>
      <tableStyleElement type="headerRow" dxfId="17"/>
    </tableStyle>
    <tableStyle name="Seg Verde" pivot="0" table="0" count="2" xr9:uid="{2AE3A489-19F9-4285-AC0F-B5025CA6A546}">
      <tableStyleElement type="wholeTable" dxfId="16"/>
      <tableStyleElement type="headerRow" dxfId="15"/>
    </tableStyle>
    <tableStyle name="Verde" table="0" count="13" xr9:uid="{38D81857-3D59-4BCE-ACD0-116A4EC2AA47}">
      <tableStyleElement type="wholeTable" dxfId="14"/>
      <tableStyleElement type="headerRow" dxfId="13"/>
      <tableStyleElement type="totalRow" dxfId="12"/>
      <tableStyleElement type="firstRowStripe" dxfId="11"/>
      <tableStyleElement type="firstColumnStripe" dxfId="10"/>
      <tableStyleElement type="firstHeaderCell" dxfId="9"/>
      <tableStyleElement type="firstSubtotalRow" dxfId="8"/>
      <tableStyleElement type="secondSubtotalRow" dxfId="7"/>
      <tableStyleElement type="firstColumnSubheading"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2060"/>
                </a:solidFill>
                <a:latin typeface="Aptos Display" panose="020B0004020202020204" pitchFamily="34" charset="0"/>
                <a:ea typeface="Calibri"/>
                <a:cs typeface="Calibri"/>
              </a:defRPr>
            </a:pPr>
            <a:r>
              <a:rPr lang="es-MX" sz="1600" b="0" i="0" u="none" strike="noStrike" baseline="0">
                <a:solidFill>
                  <a:srgbClr val="002060"/>
                </a:solidFill>
                <a:latin typeface="Aptos Display" panose="020B0004020202020204" pitchFamily="34" charset="0"/>
              </a:rPr>
              <a:t>Primas y Siniestros por Ramo a Diciembre  2025 </a:t>
            </a:r>
          </a:p>
          <a:p>
            <a:pPr>
              <a:defRPr sz="1600" b="0" i="0" u="none" strike="noStrike" baseline="0">
                <a:solidFill>
                  <a:srgbClr val="002060"/>
                </a:solidFill>
                <a:latin typeface="Aptos Display" panose="020B0004020202020204" pitchFamily="34" charset="0"/>
                <a:ea typeface="Calibri"/>
                <a:cs typeface="Calibri"/>
              </a:defRPr>
            </a:pPr>
            <a:r>
              <a:rPr lang="es-MX" sz="1200" b="0" i="0" u="none" strike="noStrike" baseline="0">
                <a:solidFill>
                  <a:srgbClr val="002060"/>
                </a:solidFill>
                <a:latin typeface="Aptos Display" panose="020B0004020202020204" pitchFamily="34" charset="0"/>
              </a:rPr>
              <a:t>(en millones de lempiras)</a:t>
            </a:r>
          </a:p>
        </c:rich>
      </c:tx>
      <c:layout>
        <c:manualLayout>
          <c:xMode val="edge"/>
          <c:yMode val="edge"/>
          <c:x val="0.25321372499670419"/>
          <c:y val="1.0765041315728942E-2"/>
        </c:manualLayout>
      </c:layout>
      <c:overlay val="0"/>
      <c:spPr>
        <a:noFill/>
        <a:ln w="25400">
          <a:noFill/>
        </a:ln>
      </c:spPr>
    </c:title>
    <c:autoTitleDeleted val="0"/>
    <c:plotArea>
      <c:layout>
        <c:manualLayout>
          <c:layoutTarget val="inner"/>
          <c:xMode val="edge"/>
          <c:yMode val="edge"/>
          <c:x val="0.10457540219123768"/>
          <c:y val="0.11034956299939747"/>
          <c:w val="0.86887198484057859"/>
          <c:h val="0.68851223560290264"/>
        </c:manualLayout>
      </c:layout>
      <c:barChart>
        <c:barDir val="col"/>
        <c:grouping val="clustered"/>
        <c:varyColors val="0"/>
        <c:ser>
          <c:idx val="0"/>
          <c:order val="0"/>
          <c:tx>
            <c:v>Primas</c:v>
          </c:tx>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H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Ramos Totales'!$A$10:$A$20</c:f>
              <c:strCache>
                <c:ptCount val="11"/>
                <c:pt idx="0">
                  <c:v>Vida</c:v>
                </c:pt>
                <c:pt idx="1">
                  <c:v>Vida Individual</c:v>
                </c:pt>
                <c:pt idx="2">
                  <c:v>Vida Colectivo</c:v>
                </c:pt>
                <c:pt idx="3">
                  <c:v>Accidentes y Enfermedades</c:v>
                </c:pt>
                <c:pt idx="4">
                  <c:v>Accidentes Personales</c:v>
                </c:pt>
                <c:pt idx="5">
                  <c:v>Salud y Hospitalización</c:v>
                </c:pt>
                <c:pt idx="6">
                  <c:v>Seguros Generales</c:v>
                </c:pt>
                <c:pt idx="7">
                  <c:v>Incendio y Líneas Aliadas</c:v>
                </c:pt>
                <c:pt idx="8">
                  <c:v>Vehículos Automotores</c:v>
                </c:pt>
                <c:pt idx="9">
                  <c:v>Otros Seguros Generales</c:v>
                </c:pt>
                <c:pt idx="10">
                  <c:v>Fianzas</c:v>
                </c:pt>
              </c:strCache>
            </c:strRef>
          </c:cat>
          <c:val>
            <c:numRef>
              <c:f>'1. Ramos Totales'!$C$10:$C$20</c:f>
              <c:numCache>
                <c:formatCode>_ * #,##0.0_ ;_ * \-#,##0.0_ ;_ * "-"??_ ;_ @_ </c:formatCode>
                <c:ptCount val="11"/>
                <c:pt idx="0">
                  <c:v>6900.9688182</c:v>
                </c:pt>
                <c:pt idx="1">
                  <c:v>957.52386688000001</c:v>
                </c:pt>
                <c:pt idx="2">
                  <c:v>5929.7598120399989</c:v>
                </c:pt>
                <c:pt idx="3">
                  <c:v>4050.00655637</c:v>
                </c:pt>
                <c:pt idx="4">
                  <c:v>510.89209233000003</c:v>
                </c:pt>
                <c:pt idx="5">
                  <c:v>3528.0529574100001</c:v>
                </c:pt>
                <c:pt idx="6">
                  <c:v>7125.1840115900004</c:v>
                </c:pt>
                <c:pt idx="7">
                  <c:v>3994.6503147199996</c:v>
                </c:pt>
                <c:pt idx="8">
                  <c:v>3130.5336968799998</c:v>
                </c:pt>
                <c:pt idx="9">
                  <c:v>1811.7784299300001</c:v>
                </c:pt>
                <c:pt idx="10">
                  <c:v>293.79750281999998</c:v>
                </c:pt>
              </c:numCache>
            </c:numRef>
          </c:val>
          <c:extLst>
            <c:ext xmlns:c16="http://schemas.microsoft.com/office/drawing/2014/chart" uri="{C3380CC4-5D6E-409C-BE32-E72D297353CC}">
              <c16:uniqueId val="{00000000-4745-4A1F-9247-97D308A1E11E}"/>
            </c:ext>
          </c:extLst>
        </c:ser>
        <c:ser>
          <c:idx val="1"/>
          <c:order val="1"/>
          <c:tx>
            <c:v>Siniestros</c:v>
          </c:tx>
          <c:spPr>
            <a:solidFill>
              <a:srgbClr val="00B0F0"/>
            </a:solidFill>
            <a:ln w="25400">
              <a:noFill/>
            </a:ln>
          </c:spPr>
          <c:invertIfNegative val="0"/>
          <c:dLbls>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H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Ramos Totales'!$A$10:$A$20</c:f>
              <c:strCache>
                <c:ptCount val="11"/>
                <c:pt idx="0">
                  <c:v>Vida</c:v>
                </c:pt>
                <c:pt idx="1">
                  <c:v>Vida Individual</c:v>
                </c:pt>
                <c:pt idx="2">
                  <c:v>Vida Colectivo</c:v>
                </c:pt>
                <c:pt idx="3">
                  <c:v>Accidentes y Enfermedades</c:v>
                </c:pt>
                <c:pt idx="4">
                  <c:v>Accidentes Personales</c:v>
                </c:pt>
                <c:pt idx="5">
                  <c:v>Salud y Hospitalización</c:v>
                </c:pt>
                <c:pt idx="6">
                  <c:v>Seguros Generales</c:v>
                </c:pt>
                <c:pt idx="7">
                  <c:v>Incendio y Líneas Aliadas</c:v>
                </c:pt>
                <c:pt idx="8">
                  <c:v>Vehículos Automotores</c:v>
                </c:pt>
                <c:pt idx="9">
                  <c:v>Otros Seguros Generales</c:v>
                </c:pt>
                <c:pt idx="10">
                  <c:v>Fianzas</c:v>
                </c:pt>
              </c:strCache>
            </c:strRef>
          </c:cat>
          <c:val>
            <c:numRef>
              <c:f>'1. Ramos Totales'!$G$10:$G$20</c:f>
              <c:numCache>
                <c:formatCode>_ * #,##0.0_ ;_ * \-#,##0.0_ ;_ * "-"??_ ;_ @_ </c:formatCode>
                <c:ptCount val="11"/>
                <c:pt idx="0">
                  <c:v>2010.4240246999998</c:v>
                </c:pt>
                <c:pt idx="1">
                  <c:v>272.35245072000004</c:v>
                </c:pt>
                <c:pt idx="2">
                  <c:v>1729.9775739799995</c:v>
                </c:pt>
                <c:pt idx="3">
                  <c:v>2764.2952972699995</c:v>
                </c:pt>
                <c:pt idx="4">
                  <c:v>92.908461070000001</c:v>
                </c:pt>
                <c:pt idx="5">
                  <c:v>2666.7692057599997</c:v>
                </c:pt>
                <c:pt idx="6">
                  <c:v>3568.6455145100008</c:v>
                </c:pt>
                <c:pt idx="7">
                  <c:v>1697.78488305</c:v>
                </c:pt>
                <c:pt idx="8">
                  <c:v>1870.8606314600001</c:v>
                </c:pt>
                <c:pt idx="9">
                  <c:v>422.17715197999996</c:v>
                </c:pt>
                <c:pt idx="10">
                  <c:v>41.792076789999996</c:v>
                </c:pt>
              </c:numCache>
            </c:numRef>
          </c:val>
          <c:extLst>
            <c:ext xmlns:c16="http://schemas.microsoft.com/office/drawing/2014/chart" uri="{C3380CC4-5D6E-409C-BE32-E72D297353CC}">
              <c16:uniqueId val="{00000001-4745-4A1F-9247-97D308A1E11E}"/>
            </c:ext>
          </c:extLst>
        </c:ser>
        <c:dLbls>
          <c:showLegendKey val="0"/>
          <c:showVal val="0"/>
          <c:showCatName val="0"/>
          <c:showSerName val="0"/>
          <c:showPercent val="0"/>
          <c:showBubbleSize val="0"/>
        </c:dLbls>
        <c:gapWidth val="150"/>
        <c:axId val="551014544"/>
        <c:axId val="1"/>
      </c:barChart>
      <c:catAx>
        <c:axId val="5510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1050" b="0" i="0" u="none" strike="noStrike" baseline="0">
                <a:solidFill>
                  <a:srgbClr val="333333"/>
                </a:solidFill>
                <a:latin typeface="Calibri"/>
                <a:ea typeface="Calibri"/>
                <a:cs typeface="Calibri"/>
              </a:defRPr>
            </a:pPr>
            <a:endParaRPr lang="es-HN"/>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ln w="9525">
            <a:noFill/>
          </a:ln>
        </c:spPr>
        <c:txPr>
          <a:bodyPr rot="0" vert="horz"/>
          <a:lstStyle/>
          <a:p>
            <a:pPr>
              <a:defRPr sz="1050" b="0" i="0" u="none" strike="noStrike" baseline="0">
                <a:solidFill>
                  <a:srgbClr val="333333"/>
                </a:solidFill>
                <a:latin typeface="Calibri"/>
                <a:ea typeface="Calibri"/>
                <a:cs typeface="Calibri"/>
              </a:defRPr>
            </a:pPr>
            <a:endParaRPr lang="es-HN"/>
          </a:p>
        </c:txPr>
        <c:crossAx val="551014544"/>
        <c:crosses val="autoZero"/>
        <c:crossBetween val="between"/>
      </c:valAx>
      <c:dTable>
        <c:showHorzBorder val="1"/>
        <c:showVertBorder val="1"/>
        <c:showOutline val="1"/>
        <c:showKeys val="1"/>
      </c:dTable>
      <c:spPr>
        <a:noFill/>
        <a:ln w="25400">
          <a:noFill/>
        </a:ln>
      </c:spPr>
    </c:plotArea>
    <c:legend>
      <c:legendPos val="r"/>
      <c:layout>
        <c:manualLayout>
          <c:xMode val="edge"/>
          <c:yMode val="edge"/>
          <c:x val="0.8845113332464648"/>
          <c:y val="8.2886563676341327E-2"/>
          <c:w val="8.9570807195199886E-2"/>
          <c:h val="0.1100634111363249"/>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s-H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2060"/>
                </a:solidFill>
                <a:latin typeface="Aptos Display" panose="020B0004020202020204" pitchFamily="34" charset="0"/>
                <a:ea typeface="Calibri"/>
                <a:cs typeface="Calibri"/>
              </a:defRPr>
            </a:pPr>
            <a:r>
              <a:rPr lang="es-MX" sz="1600" b="0" i="0" u="none" strike="noStrike" baseline="0">
                <a:solidFill>
                  <a:srgbClr val="002060"/>
                </a:solidFill>
                <a:latin typeface="Aptos Display" panose="020B0004020202020204" pitchFamily="34" charset="0"/>
              </a:rPr>
              <a:t>Relación de Siniestros / Primas por Ramo</a:t>
            </a:r>
          </a:p>
          <a:p>
            <a:pPr>
              <a:defRPr sz="1600" b="0" i="0" u="none" strike="noStrike" baseline="0">
                <a:solidFill>
                  <a:srgbClr val="002060"/>
                </a:solidFill>
                <a:latin typeface="Aptos Display" panose="020B0004020202020204" pitchFamily="34" charset="0"/>
                <a:ea typeface="Calibri"/>
                <a:cs typeface="Calibri"/>
              </a:defRPr>
            </a:pPr>
            <a:r>
              <a:rPr lang="es-MX" sz="1600" b="0" i="0" u="none" strike="noStrike" baseline="0">
                <a:solidFill>
                  <a:srgbClr val="002060"/>
                </a:solidFill>
                <a:latin typeface="Aptos Display" panose="020B0004020202020204" pitchFamily="34" charset="0"/>
              </a:rPr>
              <a:t>2025 vs. 2024</a:t>
            </a:r>
          </a:p>
        </c:rich>
      </c:tx>
      <c:overlay val="0"/>
      <c:spPr>
        <a:noFill/>
        <a:ln w="25400">
          <a:noFill/>
        </a:ln>
      </c:spPr>
    </c:title>
    <c:autoTitleDeleted val="0"/>
    <c:plotArea>
      <c:layout>
        <c:manualLayout>
          <c:layoutTarget val="inner"/>
          <c:xMode val="edge"/>
          <c:yMode val="edge"/>
          <c:x val="4.8444059432134944E-2"/>
          <c:y val="0.15895984242567188"/>
          <c:w val="0.85636270247658186"/>
          <c:h val="0.72385492647745553"/>
        </c:manualLayout>
      </c:layout>
      <c:barChart>
        <c:barDir val="col"/>
        <c:grouping val="clustered"/>
        <c:varyColors val="0"/>
        <c:ser>
          <c:idx val="0"/>
          <c:order val="0"/>
          <c:tx>
            <c:strRef>
              <c:f>'1. Ramos Totales'!$J$9</c:f>
              <c:strCache>
                <c:ptCount val="1"/>
                <c:pt idx="0">
                  <c:v>dic-24</c:v>
                </c:pt>
              </c:strCache>
            </c:strRef>
          </c:tx>
          <c:spPr>
            <a:ln w="28575" cap="rnd">
              <a:solidFill>
                <a:schemeClr val="accent1"/>
              </a:solidFill>
              <a:round/>
            </a:ln>
            <a:effectLst/>
          </c:spPr>
          <c:invertIfNegative val="0"/>
          <c:dLbls>
            <c:dLbl>
              <c:idx val="3"/>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0-3721-43A5-BC58-DAFC33002CF6}"/>
                </c:ext>
              </c:extLst>
            </c:dLbl>
            <c:dLbl>
              <c:idx val="4"/>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1-3721-43A5-BC58-DAFC33002CF6}"/>
                </c:ext>
              </c:extLst>
            </c:dLbl>
            <c:dLbl>
              <c:idx val="5"/>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2-3721-43A5-BC58-DAFC33002CF6}"/>
                </c:ext>
              </c:extLst>
            </c:dLbl>
            <c:dLbl>
              <c:idx val="8"/>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3-3721-43A5-BC58-DAFC33002CF6}"/>
                </c:ext>
              </c:extLst>
            </c:dLbl>
            <c:dLbl>
              <c:idx val="1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4-3721-43A5-BC58-DAFC33002CF6}"/>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Ramos Totales'!$A$10:$A$20</c:f>
              <c:strCache>
                <c:ptCount val="11"/>
                <c:pt idx="0">
                  <c:v>Vida</c:v>
                </c:pt>
                <c:pt idx="1">
                  <c:v>Vida Individual</c:v>
                </c:pt>
                <c:pt idx="2">
                  <c:v>Vida Colectivo</c:v>
                </c:pt>
                <c:pt idx="3">
                  <c:v>Accidentes y Enfermedades</c:v>
                </c:pt>
                <c:pt idx="4">
                  <c:v>Accidentes Personales</c:v>
                </c:pt>
                <c:pt idx="5">
                  <c:v>Salud y Hospitalización</c:v>
                </c:pt>
                <c:pt idx="6">
                  <c:v>Seguros Generales</c:v>
                </c:pt>
                <c:pt idx="7">
                  <c:v>Incendio y Líneas Aliadas</c:v>
                </c:pt>
                <c:pt idx="8">
                  <c:v>Vehículos Automotores</c:v>
                </c:pt>
                <c:pt idx="9">
                  <c:v>Otros Seguros Generales</c:v>
                </c:pt>
                <c:pt idx="10">
                  <c:v>Fianzas</c:v>
                </c:pt>
              </c:strCache>
            </c:strRef>
          </c:cat>
          <c:val>
            <c:numRef>
              <c:f>'1. Ramos Totales'!$J$10:$J$20</c:f>
              <c:numCache>
                <c:formatCode>0.0%</c:formatCode>
                <c:ptCount val="11"/>
                <c:pt idx="0">
                  <c:v>0.27618179451524366</c:v>
                </c:pt>
                <c:pt idx="1">
                  <c:v>0.21740516601996859</c:v>
                </c:pt>
                <c:pt idx="2">
                  <c:v>0.28457906412774087</c:v>
                </c:pt>
                <c:pt idx="3">
                  <c:v>0.68809640867011279</c:v>
                </c:pt>
                <c:pt idx="4">
                  <c:v>0.18546627106098074</c:v>
                </c:pt>
                <c:pt idx="5">
                  <c:v>0.75286699324422468</c:v>
                </c:pt>
                <c:pt idx="6">
                  <c:v>0.41919860242863183</c:v>
                </c:pt>
                <c:pt idx="7">
                  <c:v>0.28598879434636915</c:v>
                </c:pt>
                <c:pt idx="8">
                  <c:v>0.58935547156878931</c:v>
                </c:pt>
                <c:pt idx="9">
                  <c:v>0.34395607924549904</c:v>
                </c:pt>
                <c:pt idx="10">
                  <c:v>4.5096057948722901E-2</c:v>
                </c:pt>
              </c:numCache>
            </c:numRef>
          </c:val>
          <c:extLst>
            <c:ext xmlns:c16="http://schemas.microsoft.com/office/drawing/2014/chart" uri="{C3380CC4-5D6E-409C-BE32-E72D297353CC}">
              <c16:uniqueId val="{00000005-3721-43A5-BC58-DAFC33002CF6}"/>
            </c:ext>
          </c:extLst>
        </c:ser>
        <c:ser>
          <c:idx val="1"/>
          <c:order val="1"/>
          <c:tx>
            <c:strRef>
              <c:f>'1. Ramos Totales'!$K$9</c:f>
              <c:strCache>
                <c:ptCount val="1"/>
                <c:pt idx="0">
                  <c:v>dic-25</c:v>
                </c:pt>
              </c:strCache>
            </c:strRef>
          </c:tx>
          <c:spPr>
            <a:solidFill>
              <a:srgbClr val="00B0F0"/>
            </a:solidFill>
            <a:ln w="25400">
              <a:noFill/>
            </a:ln>
          </c:spPr>
          <c:invertIfNegative val="0"/>
          <c:dLbls>
            <c:dLbl>
              <c:idx val="1"/>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6-3721-43A5-BC58-DAFC33002CF6}"/>
                </c:ext>
              </c:extLst>
            </c:dLbl>
            <c:dLbl>
              <c:idx val="3"/>
              <c:layout>
                <c:manualLayout>
                  <c:x val="0"/>
                  <c:y val="-2.9585093923666927E-2"/>
                </c:manualLayout>
              </c:layout>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21-43A5-BC58-DAFC33002CF6}"/>
                </c:ext>
              </c:extLst>
            </c:dLbl>
            <c:dLbl>
              <c:idx val="4"/>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8-3721-43A5-BC58-DAFC33002CF6}"/>
                </c:ext>
              </c:extLst>
            </c:dLbl>
            <c:dLbl>
              <c:idx val="5"/>
              <c:layout>
                <c:manualLayout>
                  <c:x val="2.6899798251513113E-3"/>
                  <c:y val="-1.5900056785917091E-2"/>
                </c:manualLayout>
              </c:layout>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21-43A5-BC58-DAFC33002CF6}"/>
                </c:ext>
              </c:extLst>
            </c:dLbl>
            <c:dLbl>
              <c:idx val="8"/>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A-3721-43A5-BC58-DAFC33002CF6}"/>
                </c:ext>
              </c:extLst>
            </c:dLbl>
            <c:dLbl>
              <c:idx val="1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extLst>
                <c:ext xmlns:c16="http://schemas.microsoft.com/office/drawing/2014/chart" uri="{C3380CC4-5D6E-409C-BE32-E72D297353CC}">
                  <c16:uniqueId val="{0000000B-3721-43A5-BC58-DAFC33002CF6}"/>
                </c:ext>
              </c:extLst>
            </c:dLbl>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Ramos Totales'!$A$10:$A$20</c:f>
              <c:strCache>
                <c:ptCount val="11"/>
                <c:pt idx="0">
                  <c:v>Vida</c:v>
                </c:pt>
                <c:pt idx="1">
                  <c:v>Vida Individual</c:v>
                </c:pt>
                <c:pt idx="2">
                  <c:v>Vida Colectivo</c:v>
                </c:pt>
                <c:pt idx="3">
                  <c:v>Accidentes y Enfermedades</c:v>
                </c:pt>
                <c:pt idx="4">
                  <c:v>Accidentes Personales</c:v>
                </c:pt>
                <c:pt idx="5">
                  <c:v>Salud y Hospitalización</c:v>
                </c:pt>
                <c:pt idx="6">
                  <c:v>Seguros Generales</c:v>
                </c:pt>
                <c:pt idx="7">
                  <c:v>Incendio y Líneas Aliadas</c:v>
                </c:pt>
                <c:pt idx="8">
                  <c:v>Vehículos Automotores</c:v>
                </c:pt>
                <c:pt idx="9">
                  <c:v>Otros Seguros Generales</c:v>
                </c:pt>
                <c:pt idx="10">
                  <c:v>Fianzas</c:v>
                </c:pt>
              </c:strCache>
            </c:strRef>
          </c:cat>
          <c:val>
            <c:numRef>
              <c:f>'1. Ramos Totales'!$K$10:$K$20</c:f>
              <c:numCache>
                <c:formatCode>0.0%</c:formatCode>
                <c:ptCount val="11"/>
                <c:pt idx="0">
                  <c:v>0.29132489620846957</c:v>
                </c:pt>
                <c:pt idx="1">
                  <c:v>0.28443411192186202</c:v>
                </c:pt>
                <c:pt idx="2">
                  <c:v>0.29174496586984694</c:v>
                </c:pt>
                <c:pt idx="3">
                  <c:v>0.68254094377260055</c:v>
                </c:pt>
                <c:pt idx="4">
                  <c:v>0.18185535157977692</c:v>
                </c:pt>
                <c:pt idx="5">
                  <c:v>0.75587561693453642</c:v>
                </c:pt>
                <c:pt idx="6">
                  <c:v>0.50084959331648893</c:v>
                </c:pt>
                <c:pt idx="7">
                  <c:v>0.42501464440924519</c:v>
                </c:pt>
                <c:pt idx="8">
                  <c:v>0.59761715177337515</c:v>
                </c:pt>
                <c:pt idx="9">
                  <c:v>0.23301809150929742</c:v>
                </c:pt>
                <c:pt idx="10">
                  <c:v>0.14224789655753003</c:v>
                </c:pt>
              </c:numCache>
            </c:numRef>
          </c:val>
          <c:extLst>
            <c:ext xmlns:c16="http://schemas.microsoft.com/office/drawing/2014/chart" uri="{C3380CC4-5D6E-409C-BE32-E72D297353CC}">
              <c16:uniqueId val="{0000000C-3721-43A5-BC58-DAFC33002CF6}"/>
            </c:ext>
          </c:extLst>
        </c:ser>
        <c:dLbls>
          <c:showLegendKey val="0"/>
          <c:showVal val="0"/>
          <c:showCatName val="0"/>
          <c:showSerName val="0"/>
          <c:showPercent val="0"/>
          <c:showBubbleSize val="0"/>
        </c:dLbls>
        <c:gapWidth val="150"/>
        <c:axId val="551015472"/>
        <c:axId val="1"/>
      </c:barChart>
      <c:catAx>
        <c:axId val="5510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720000" vert="horz"/>
          <a:lstStyle/>
          <a:p>
            <a:pPr>
              <a:defRPr sz="800" b="0" i="0" u="none" strike="noStrike" baseline="0">
                <a:solidFill>
                  <a:srgbClr val="333333"/>
                </a:solidFill>
                <a:latin typeface="Calibri"/>
                <a:ea typeface="Calibri"/>
                <a:cs typeface="Calibri"/>
              </a:defRPr>
            </a:pPr>
            <a:endParaRPr lang="es-HN"/>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HN"/>
          </a:p>
        </c:txPr>
        <c:crossAx val="551015472"/>
        <c:crosses val="autoZero"/>
        <c:crossBetween val="between"/>
      </c:valAx>
      <c:spPr>
        <a:noFill/>
        <a:ln w="25400">
          <a:noFill/>
        </a:ln>
      </c:spPr>
    </c:plotArea>
    <c:legend>
      <c:legendPos val="r"/>
      <c:layout>
        <c:manualLayout>
          <c:xMode val="edge"/>
          <c:yMode val="edge"/>
          <c:x val="2.1191376078058596E-2"/>
          <c:y val="1.1027091365750652E-3"/>
          <c:w val="0.22503210140792881"/>
          <c:h val="5.4516265985989736E-2"/>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s-H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H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lgn="l">
              <a:defRPr sz="1600" b="0">
                <a:solidFill>
                  <a:srgbClr val="002060"/>
                </a:solidFill>
                <a:latin typeface="Aptos Display" panose="020B0004020202020204" pitchFamily="34" charset="0"/>
              </a:defRPr>
            </a:pPr>
            <a:r>
              <a:rPr lang="es-HN" sz="1600" b="0">
                <a:solidFill>
                  <a:srgbClr val="002060"/>
                </a:solidFill>
                <a:latin typeface="Aptos Display" panose="020B0004020202020204" pitchFamily="34" charset="0"/>
              </a:rPr>
              <a:t>Participación de Mercado</a:t>
            </a:r>
          </a:p>
          <a:p>
            <a:pPr algn="l">
              <a:defRPr sz="1600" b="0">
                <a:solidFill>
                  <a:srgbClr val="002060"/>
                </a:solidFill>
                <a:latin typeface="Aptos Display" panose="020B0004020202020204" pitchFamily="34" charset="0"/>
              </a:defRPr>
            </a:pPr>
            <a:r>
              <a:rPr lang="es-HN" sz="1400" b="0">
                <a:solidFill>
                  <a:srgbClr val="002060"/>
                </a:solidFill>
                <a:latin typeface="Aptos Display" panose="020B0004020202020204" pitchFamily="34" charset="0"/>
              </a:rPr>
              <a:t>A Diceimbre 2025</a:t>
            </a:r>
          </a:p>
          <a:p>
            <a:pPr algn="l">
              <a:defRPr sz="1600" b="0">
                <a:solidFill>
                  <a:srgbClr val="002060"/>
                </a:solidFill>
                <a:latin typeface="Aptos Display" panose="020B0004020202020204" pitchFamily="34" charset="0"/>
              </a:defRPr>
            </a:pPr>
            <a:r>
              <a:rPr lang="es-HN" sz="1400" b="0">
                <a:solidFill>
                  <a:srgbClr val="002060"/>
                </a:solidFill>
                <a:latin typeface="Aptos Display" panose="020B0004020202020204" pitchFamily="34" charset="0"/>
              </a:rPr>
              <a:t>Compañías</a:t>
            </a:r>
            <a:r>
              <a:rPr lang="es-HN" sz="1400" b="0" baseline="0">
                <a:solidFill>
                  <a:srgbClr val="002060"/>
                </a:solidFill>
                <a:latin typeface="Aptos Display" panose="020B0004020202020204" pitchFamily="34" charset="0"/>
              </a:rPr>
              <a:t> de seguros</a:t>
            </a:r>
            <a:endParaRPr lang="es-HN" sz="1400" b="0">
              <a:solidFill>
                <a:srgbClr val="002060"/>
              </a:solidFill>
              <a:latin typeface="Aptos Display" panose="020B0004020202020204" pitchFamily="34" charset="0"/>
            </a:endParaRPr>
          </a:p>
        </c:rich>
      </c:tx>
      <c:layout>
        <c:manualLayout>
          <c:xMode val="edge"/>
          <c:yMode val="edge"/>
          <c:x val="9.082646165292297E-3"/>
          <c:y val="7.097791357349204E-3"/>
        </c:manualLayout>
      </c:layout>
      <c:overlay val="0"/>
    </c:title>
    <c:autoTitleDeleted val="0"/>
    <c:plotArea>
      <c:layout/>
      <c:pieChart>
        <c:varyColors val="1"/>
        <c:ser>
          <c:idx val="0"/>
          <c:order val="0"/>
          <c:dPt>
            <c:idx val="0"/>
            <c:bubble3D val="0"/>
            <c:spPr>
              <a:solidFill>
                <a:schemeClr val="accent1">
                  <a:shade val="40000"/>
                </a:schemeClr>
              </a:solidFill>
              <a:ln w="19050">
                <a:solidFill>
                  <a:schemeClr val="lt1"/>
                </a:solidFill>
              </a:ln>
              <a:effectLst/>
            </c:spPr>
            <c:extLst>
              <c:ext xmlns:c16="http://schemas.microsoft.com/office/drawing/2014/chart" uri="{C3380CC4-5D6E-409C-BE32-E72D297353CC}">
                <c16:uniqueId val="{00000001-97AD-4D97-99DB-B08A9C4E988F}"/>
              </c:ext>
            </c:extLst>
          </c:dPt>
          <c:dPt>
            <c:idx val="1"/>
            <c:bubble3D val="0"/>
            <c:spPr>
              <a:solidFill>
                <a:schemeClr val="accent1">
                  <a:shade val="51000"/>
                </a:schemeClr>
              </a:solidFill>
              <a:ln w="19050">
                <a:solidFill>
                  <a:schemeClr val="lt1"/>
                </a:solidFill>
              </a:ln>
              <a:effectLst/>
            </c:spPr>
            <c:extLst>
              <c:ext xmlns:c16="http://schemas.microsoft.com/office/drawing/2014/chart" uri="{C3380CC4-5D6E-409C-BE32-E72D297353CC}">
                <c16:uniqueId val="{00000003-97AD-4D97-99DB-B08A9C4E988F}"/>
              </c:ext>
            </c:extLst>
          </c:dPt>
          <c:dPt>
            <c:idx val="2"/>
            <c:bubble3D val="0"/>
            <c:spPr>
              <a:solidFill>
                <a:schemeClr val="accent1">
                  <a:shade val="62000"/>
                </a:schemeClr>
              </a:solidFill>
              <a:ln w="19050">
                <a:solidFill>
                  <a:schemeClr val="lt1"/>
                </a:solidFill>
              </a:ln>
              <a:effectLst/>
            </c:spPr>
            <c:extLst>
              <c:ext xmlns:c16="http://schemas.microsoft.com/office/drawing/2014/chart" uri="{C3380CC4-5D6E-409C-BE32-E72D297353CC}">
                <c16:uniqueId val="{00000005-97AD-4D97-99DB-B08A9C4E988F}"/>
              </c:ext>
            </c:extLst>
          </c:dPt>
          <c:dPt>
            <c:idx val="3"/>
            <c:bubble3D val="0"/>
            <c:spPr>
              <a:solidFill>
                <a:schemeClr val="accent1">
                  <a:shade val="73000"/>
                </a:schemeClr>
              </a:solidFill>
              <a:ln w="19050">
                <a:solidFill>
                  <a:schemeClr val="lt1"/>
                </a:solidFill>
              </a:ln>
              <a:effectLst/>
            </c:spPr>
            <c:extLst>
              <c:ext xmlns:c16="http://schemas.microsoft.com/office/drawing/2014/chart" uri="{C3380CC4-5D6E-409C-BE32-E72D297353CC}">
                <c16:uniqueId val="{00000007-97AD-4D97-99DB-B08A9C4E988F}"/>
              </c:ext>
            </c:extLst>
          </c:dPt>
          <c:dPt>
            <c:idx val="4"/>
            <c:bubble3D val="0"/>
            <c:spPr>
              <a:solidFill>
                <a:schemeClr val="accent1">
                  <a:shade val="83000"/>
                </a:schemeClr>
              </a:solidFill>
              <a:ln w="19050">
                <a:solidFill>
                  <a:schemeClr val="lt1"/>
                </a:solidFill>
              </a:ln>
              <a:effectLst/>
            </c:spPr>
            <c:extLst>
              <c:ext xmlns:c16="http://schemas.microsoft.com/office/drawing/2014/chart" uri="{C3380CC4-5D6E-409C-BE32-E72D297353CC}">
                <c16:uniqueId val="{00000009-97AD-4D97-99DB-B08A9C4E988F}"/>
              </c:ext>
            </c:extLst>
          </c:dPt>
          <c:dPt>
            <c:idx val="5"/>
            <c:bubble3D val="0"/>
            <c:spPr>
              <a:solidFill>
                <a:schemeClr val="accent1">
                  <a:shade val="94000"/>
                </a:schemeClr>
              </a:solidFill>
              <a:ln w="19050">
                <a:solidFill>
                  <a:schemeClr val="lt1"/>
                </a:solidFill>
              </a:ln>
              <a:effectLst/>
            </c:spPr>
            <c:extLst>
              <c:ext xmlns:c16="http://schemas.microsoft.com/office/drawing/2014/chart" uri="{C3380CC4-5D6E-409C-BE32-E72D297353CC}">
                <c16:uniqueId val="{0000000B-97AD-4D97-99DB-B08A9C4E988F}"/>
              </c:ext>
            </c:extLst>
          </c:dPt>
          <c:dPt>
            <c:idx val="6"/>
            <c:bubble3D val="0"/>
            <c:spPr>
              <a:solidFill>
                <a:schemeClr val="accent1">
                  <a:tint val="95000"/>
                </a:schemeClr>
              </a:solidFill>
              <a:ln w="19050">
                <a:solidFill>
                  <a:schemeClr val="lt1"/>
                </a:solidFill>
              </a:ln>
              <a:effectLst/>
            </c:spPr>
            <c:extLst>
              <c:ext xmlns:c16="http://schemas.microsoft.com/office/drawing/2014/chart" uri="{C3380CC4-5D6E-409C-BE32-E72D297353CC}">
                <c16:uniqueId val="{0000000D-97AD-4D97-99DB-B08A9C4E988F}"/>
              </c:ext>
            </c:extLst>
          </c:dPt>
          <c:dPt>
            <c:idx val="7"/>
            <c:bubble3D val="0"/>
            <c:spPr>
              <a:solidFill>
                <a:schemeClr val="accent1">
                  <a:tint val="84000"/>
                </a:schemeClr>
              </a:solidFill>
              <a:ln w="19050">
                <a:solidFill>
                  <a:schemeClr val="lt1"/>
                </a:solidFill>
              </a:ln>
              <a:effectLst/>
            </c:spPr>
            <c:extLst>
              <c:ext xmlns:c16="http://schemas.microsoft.com/office/drawing/2014/chart" uri="{C3380CC4-5D6E-409C-BE32-E72D297353CC}">
                <c16:uniqueId val="{0000000F-97AD-4D97-99DB-B08A9C4E988F}"/>
              </c:ext>
            </c:extLst>
          </c:dPt>
          <c:dPt>
            <c:idx val="8"/>
            <c:bubble3D val="0"/>
            <c:spPr>
              <a:solidFill>
                <a:schemeClr val="accent1">
                  <a:tint val="74000"/>
                </a:schemeClr>
              </a:solidFill>
              <a:ln w="19050">
                <a:solidFill>
                  <a:schemeClr val="lt1"/>
                </a:solidFill>
              </a:ln>
              <a:effectLst/>
            </c:spPr>
            <c:extLst>
              <c:ext xmlns:c16="http://schemas.microsoft.com/office/drawing/2014/chart" uri="{C3380CC4-5D6E-409C-BE32-E72D297353CC}">
                <c16:uniqueId val="{00000011-97AD-4D97-99DB-B08A9C4E988F}"/>
              </c:ext>
            </c:extLst>
          </c:dPt>
          <c:dPt>
            <c:idx val="9"/>
            <c:bubble3D val="0"/>
            <c:spPr>
              <a:solidFill>
                <a:schemeClr val="accent1">
                  <a:tint val="63000"/>
                </a:schemeClr>
              </a:solidFill>
              <a:ln w="19050">
                <a:solidFill>
                  <a:schemeClr val="lt1"/>
                </a:solidFill>
              </a:ln>
              <a:effectLst/>
            </c:spPr>
            <c:extLst>
              <c:ext xmlns:c16="http://schemas.microsoft.com/office/drawing/2014/chart" uri="{C3380CC4-5D6E-409C-BE32-E72D297353CC}">
                <c16:uniqueId val="{00000013-97AD-4D97-99DB-B08A9C4E988F}"/>
              </c:ext>
            </c:extLst>
          </c:dPt>
          <c:dPt>
            <c:idx val="10"/>
            <c:bubble3D val="0"/>
            <c:spPr>
              <a:solidFill>
                <a:schemeClr val="accent1">
                  <a:tint val="52000"/>
                </a:schemeClr>
              </a:solidFill>
              <a:ln w="19050">
                <a:solidFill>
                  <a:schemeClr val="lt1"/>
                </a:solidFill>
              </a:ln>
              <a:effectLst/>
            </c:spPr>
            <c:extLst>
              <c:ext xmlns:c16="http://schemas.microsoft.com/office/drawing/2014/chart" uri="{C3380CC4-5D6E-409C-BE32-E72D297353CC}">
                <c16:uniqueId val="{00000015-97AD-4D97-99DB-B08A9C4E988F}"/>
              </c:ext>
            </c:extLst>
          </c:dPt>
          <c:dPt>
            <c:idx val="11"/>
            <c:bubble3D val="0"/>
            <c:spPr>
              <a:solidFill>
                <a:schemeClr val="accent1">
                  <a:tint val="41000"/>
                </a:schemeClr>
              </a:solidFill>
              <a:ln w="19050">
                <a:solidFill>
                  <a:schemeClr val="lt1"/>
                </a:solidFill>
              </a:ln>
              <a:effectLst/>
            </c:spPr>
            <c:extLst>
              <c:ext xmlns:c16="http://schemas.microsoft.com/office/drawing/2014/chart" uri="{C3380CC4-5D6E-409C-BE32-E72D297353CC}">
                <c16:uniqueId val="{00000017-97AD-4D97-99DB-B08A9C4E988F}"/>
              </c:ext>
            </c:extLst>
          </c:dPt>
          <c:dLbls>
            <c:dLbl>
              <c:idx val="0"/>
              <c:layout>
                <c:manualLayout>
                  <c:x val="5.4753782405611122E-2"/>
                  <c:y val="2.6288398237003401E-2"/>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7AD-4D97-99DB-B08A9C4E988F}"/>
                </c:ext>
              </c:extLst>
            </c:dLbl>
            <c:dLbl>
              <c:idx val="1"/>
              <c:layout>
                <c:manualLayout>
                  <c:x val="3.8227741056759398E-2"/>
                  <c:y val="1.7133112975065569E-2"/>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7AD-4D97-99DB-B08A9C4E988F}"/>
                </c:ext>
              </c:extLst>
            </c:dLbl>
            <c:dLbl>
              <c:idx val="2"/>
              <c:layout>
                <c:manualLayout>
                  <c:x val="0.13568160440084231"/>
                  <c:y val="-8.3934734029195712E-3"/>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7AD-4D97-99DB-B08A9C4E988F}"/>
                </c:ext>
              </c:extLst>
            </c:dLbl>
            <c:dLbl>
              <c:idx val="3"/>
              <c:layout>
                <c:manualLayout>
                  <c:x val="-1.2593387223234753E-2"/>
                  <c:y val="1.39923010821504E-2"/>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7AD-4D97-99DB-B08A9C4E988F}"/>
                </c:ext>
              </c:extLst>
            </c:dLbl>
            <c:dLbl>
              <c:idx val="4"/>
              <c:layout>
                <c:manualLayout>
                  <c:x val="1.9917282723953757E-3"/>
                  <c:y val="1.1178582894754966E-2"/>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97AD-4D97-99DB-B08A9C4E988F}"/>
                </c:ext>
              </c:extLst>
            </c:dLbl>
            <c:dLbl>
              <c:idx val="5"/>
              <c:layout>
                <c:manualLayout>
                  <c:x val="6.0827621779011489E-3"/>
                  <c:y val="-1.2840359593643501E-3"/>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97AD-4D97-99DB-B08A9C4E988F}"/>
                </c:ext>
              </c:extLst>
            </c:dLbl>
            <c:dLbl>
              <c:idx val="6"/>
              <c:layout>
                <c:manualLayout>
                  <c:x val="-0.11366124799245782"/>
                  <c:y val="8.3086946792125145E-3"/>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97AD-4D97-99DB-B08A9C4E988F}"/>
                </c:ext>
              </c:extLst>
            </c:dLbl>
            <c:dLbl>
              <c:idx val="7"/>
              <c:layout>
                <c:manualLayout>
                  <c:x val="-0.15096521718106154"/>
                  <c:y val="4.7862171075054735E-2"/>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97AD-4D97-99DB-B08A9C4E988F}"/>
                </c:ext>
              </c:extLst>
            </c:dLbl>
            <c:dLbl>
              <c:idx val="9"/>
              <c:layout>
                <c:manualLayout>
                  <c:x val="-5.0946767124013199E-2"/>
                  <c:y val="-1.3804578592148432E-3"/>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3-97AD-4D97-99DB-B08A9C4E988F}"/>
                </c:ext>
              </c:extLst>
            </c:dLbl>
            <c:dLbl>
              <c:idx val="10"/>
              <c:layout>
                <c:manualLayout>
                  <c:x val="3.71279293922138E-2"/>
                  <c:y val="0"/>
                </c:manualLayout>
              </c:layout>
              <c:numFmt formatCode="0.0%" sourceLinked="0"/>
              <c:spPr>
                <a:noFill/>
                <a:ln w="25400">
                  <a:noFill/>
                </a:ln>
              </c:spPr>
              <c:txPr>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5-97AD-4D97-99DB-B08A9C4E988F}"/>
                </c:ext>
              </c:extLst>
            </c:dLbl>
            <c:numFmt formatCode="0.0%" sourceLinked="0"/>
            <c:spPr>
              <a:noFill/>
              <a:ln w="25400">
                <a:noFill/>
              </a:ln>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s-HN"/>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 Primas y Siniestros Totales'!$B$10:$B$21</c:f>
              <c:strCache>
                <c:ptCount val="12"/>
                <c:pt idx="0">
                  <c:v>FICOHSA SEGUROS</c:v>
                </c:pt>
                <c:pt idx="1">
                  <c:v>MAPFRE SEGUROS</c:v>
                </c:pt>
                <c:pt idx="2">
                  <c:v>SEGUROS ATLÁNTIDA</c:v>
                </c:pt>
                <c:pt idx="3">
                  <c:v>CREFISA</c:v>
                </c:pt>
                <c:pt idx="4">
                  <c:v>SEGUROS DAVIVIENDA</c:v>
                </c:pt>
                <c:pt idx="5">
                  <c:v>PALIC</c:v>
                </c:pt>
                <c:pt idx="6">
                  <c:v>SEGUROS DEL PAÍS</c:v>
                </c:pt>
                <c:pt idx="7">
                  <c:v>ASSA CIA. DE SEGUROS</c:v>
                </c:pt>
                <c:pt idx="8">
                  <c:v>SEGUROS CONTINENTAL</c:v>
                </c:pt>
                <c:pt idx="9">
                  <c:v>SEGUROS EQUIDAD</c:v>
                </c:pt>
                <c:pt idx="10">
                  <c:v>ASEGURADORA RURAL</c:v>
                </c:pt>
                <c:pt idx="11">
                  <c:v>SEGUROS LAFISE</c:v>
                </c:pt>
              </c:strCache>
            </c:strRef>
          </c:cat>
          <c:val>
            <c:numRef>
              <c:f>'8. Primas y Siniestros Totales'!$D$10:$D$21</c:f>
              <c:numCache>
                <c:formatCode>_ * #,##0.0_ ;_ * \-#,##0.0_ ;_ * "-"??_ ;_ @_ </c:formatCode>
                <c:ptCount val="12"/>
                <c:pt idx="0">
                  <c:v>4850.8032757700003</c:v>
                </c:pt>
                <c:pt idx="1">
                  <c:v>3127.48645773</c:v>
                </c:pt>
                <c:pt idx="2">
                  <c:v>2738.0758226300004</c:v>
                </c:pt>
                <c:pt idx="3">
                  <c:v>1663.4790588599999</c:v>
                </c:pt>
                <c:pt idx="4">
                  <c:v>1624.8432821099998</c:v>
                </c:pt>
                <c:pt idx="5">
                  <c:v>1450.0814752200001</c:v>
                </c:pt>
                <c:pt idx="6">
                  <c:v>1376.0558212399999</c:v>
                </c:pt>
                <c:pt idx="7">
                  <c:v>1080.2732791199999</c:v>
                </c:pt>
                <c:pt idx="8">
                  <c:v>614.12831284000004</c:v>
                </c:pt>
                <c:pt idx="9">
                  <c:v>597.42208491999997</c:v>
                </c:pt>
                <c:pt idx="10">
                  <c:v>544.68799659000001</c:v>
                </c:pt>
                <c:pt idx="11">
                  <c:v>514.39845188999993</c:v>
                </c:pt>
              </c:numCache>
            </c:numRef>
          </c:val>
          <c:extLst>
            <c:ext xmlns:c16="http://schemas.microsoft.com/office/drawing/2014/chart" uri="{C3380CC4-5D6E-409C-BE32-E72D297353CC}">
              <c16:uniqueId val="{00000018-97AD-4D97-99DB-B08A9C4E988F}"/>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solidFill>
      <a:schemeClr val="bg1"/>
    </a:solidFill>
    <a:ln w="9525" cap="flat" cmpd="sng" algn="ctr">
      <a:solidFill>
        <a:schemeClr val="bg2"/>
      </a:solidFill>
      <a:round/>
    </a:ln>
    <a:effectLst/>
  </c:spPr>
  <c:txPr>
    <a:bodyPr/>
    <a:lstStyle/>
    <a:p>
      <a:pPr>
        <a:defRPr sz="1000" b="0" i="0" u="none" strike="noStrike" baseline="0">
          <a:solidFill>
            <a:srgbClr val="000000"/>
          </a:solidFill>
          <a:latin typeface="Calibri"/>
          <a:ea typeface="Calibri"/>
          <a:cs typeface="Calibri"/>
        </a:defRPr>
      </a:pPr>
      <a:endParaRPr lang="es-H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2060"/>
                </a:solidFill>
                <a:latin typeface="Aptos Display" panose="020B0004020202020204" pitchFamily="34" charset="0"/>
                <a:ea typeface="Calibri"/>
                <a:cs typeface="Calibri"/>
              </a:defRPr>
            </a:pPr>
            <a:r>
              <a:rPr lang="es-MX" sz="1600" b="0" i="0" u="none" strike="noStrike" baseline="0">
                <a:solidFill>
                  <a:srgbClr val="002060"/>
                </a:solidFill>
                <a:latin typeface="Aptos Display" panose="020B0004020202020204" pitchFamily="34" charset="0"/>
                <a:ea typeface="Calibri"/>
                <a:cs typeface="Calibri"/>
              </a:rPr>
              <a:t>Primas y Siniestros Totales por Compañía Diciembre  2025</a:t>
            </a:r>
          </a:p>
        </c:rich>
      </c:tx>
      <c:layout>
        <c:manualLayout>
          <c:xMode val="edge"/>
          <c:yMode val="edge"/>
          <c:x val="0.24889703187980947"/>
          <c:y val="2.15633423180593E-2"/>
        </c:manualLayout>
      </c:layout>
      <c:overlay val="0"/>
      <c:spPr>
        <a:noFill/>
        <a:ln w="25400">
          <a:noFill/>
        </a:ln>
      </c:spPr>
    </c:title>
    <c:autoTitleDeleted val="0"/>
    <c:plotArea>
      <c:layout>
        <c:manualLayout>
          <c:layoutTarget val="inner"/>
          <c:xMode val="edge"/>
          <c:yMode val="edge"/>
          <c:x val="0.14517598764512277"/>
          <c:y val="0.10233291223527034"/>
          <c:w val="0.83563797023485387"/>
          <c:h val="0.70586222714195013"/>
        </c:manualLayout>
      </c:layout>
      <c:barChart>
        <c:barDir val="col"/>
        <c:grouping val="clustered"/>
        <c:varyColors val="0"/>
        <c:ser>
          <c:idx val="0"/>
          <c:order val="0"/>
          <c:tx>
            <c:strRef>
              <c:f>'8. Primas y Siniestros Totales'!$C$8:$F$8</c:f>
              <c:strCache>
                <c:ptCount val="1"/>
                <c:pt idx="0">
                  <c:v>Primas</c:v>
                </c:pt>
              </c:strCache>
            </c:strRef>
          </c:tx>
          <c:spPr>
            <a:solidFill>
              <a:srgbClr val="4F81BD"/>
            </a:solidFill>
            <a:ln w="25400">
              <a:noFill/>
            </a:ln>
          </c:spPr>
          <c:invertIfNegative val="0"/>
          <c:cat>
            <c:strRef>
              <c:f>'8. Primas y Siniestros Totales'!$B$10:$B$21</c:f>
              <c:strCache>
                <c:ptCount val="12"/>
                <c:pt idx="0">
                  <c:v>FICOHSA SEGUROS</c:v>
                </c:pt>
                <c:pt idx="1">
                  <c:v>MAPFRE SEGUROS</c:v>
                </c:pt>
                <c:pt idx="2">
                  <c:v>SEGUROS ATLÁNTIDA</c:v>
                </c:pt>
                <c:pt idx="3">
                  <c:v>CREFISA</c:v>
                </c:pt>
                <c:pt idx="4">
                  <c:v>SEGUROS DAVIVIENDA</c:v>
                </c:pt>
                <c:pt idx="5">
                  <c:v>PALIC</c:v>
                </c:pt>
                <c:pt idx="6">
                  <c:v>SEGUROS DEL PAÍS</c:v>
                </c:pt>
                <c:pt idx="7">
                  <c:v>ASSA CIA. DE SEGUROS</c:v>
                </c:pt>
                <c:pt idx="8">
                  <c:v>SEGUROS CONTINENTAL</c:v>
                </c:pt>
                <c:pt idx="9">
                  <c:v>SEGUROS EQUIDAD</c:v>
                </c:pt>
                <c:pt idx="10">
                  <c:v>ASEGURADORA RURAL</c:v>
                </c:pt>
                <c:pt idx="11">
                  <c:v>SEGUROS LAFISE</c:v>
                </c:pt>
              </c:strCache>
            </c:strRef>
          </c:cat>
          <c:val>
            <c:numRef>
              <c:f>'8. Primas y Siniestros Totales'!$D$10:$D$21</c:f>
              <c:numCache>
                <c:formatCode>_ * #,##0.0_ ;_ * \-#,##0.0_ ;_ * "-"??_ ;_ @_ </c:formatCode>
                <c:ptCount val="12"/>
                <c:pt idx="0">
                  <c:v>4850.8032757700003</c:v>
                </c:pt>
                <c:pt idx="1">
                  <c:v>3127.48645773</c:v>
                </c:pt>
                <c:pt idx="2">
                  <c:v>2738.0758226300004</c:v>
                </c:pt>
                <c:pt idx="3">
                  <c:v>1663.4790588599999</c:v>
                </c:pt>
                <c:pt idx="4">
                  <c:v>1624.8432821099998</c:v>
                </c:pt>
                <c:pt idx="5">
                  <c:v>1450.0814752200001</c:v>
                </c:pt>
                <c:pt idx="6">
                  <c:v>1376.0558212399999</c:v>
                </c:pt>
                <c:pt idx="7">
                  <c:v>1080.2732791199999</c:v>
                </c:pt>
                <c:pt idx="8">
                  <c:v>614.12831284000004</c:v>
                </c:pt>
                <c:pt idx="9">
                  <c:v>597.42208491999997</c:v>
                </c:pt>
                <c:pt idx="10">
                  <c:v>544.68799659000001</c:v>
                </c:pt>
                <c:pt idx="11">
                  <c:v>514.39845188999993</c:v>
                </c:pt>
              </c:numCache>
            </c:numRef>
          </c:val>
          <c:extLst>
            <c:ext xmlns:c16="http://schemas.microsoft.com/office/drawing/2014/chart" uri="{C3380CC4-5D6E-409C-BE32-E72D297353CC}">
              <c16:uniqueId val="{00000000-392E-457F-BC77-C0452A13A7EF}"/>
            </c:ext>
          </c:extLst>
        </c:ser>
        <c:dLbls>
          <c:showLegendKey val="0"/>
          <c:showVal val="0"/>
          <c:showCatName val="0"/>
          <c:showSerName val="0"/>
          <c:showPercent val="0"/>
          <c:showBubbleSize val="0"/>
        </c:dLbls>
        <c:gapWidth val="150"/>
        <c:axId val="556069264"/>
        <c:axId val="1"/>
      </c:barChart>
      <c:lineChart>
        <c:grouping val="standard"/>
        <c:varyColors val="0"/>
        <c:ser>
          <c:idx val="1"/>
          <c:order val="1"/>
          <c:tx>
            <c:strRef>
              <c:f>'8. Primas y Siniestros Totales'!$G$8:$J$8</c:f>
              <c:strCache>
                <c:ptCount val="1"/>
                <c:pt idx="0">
                  <c:v>Siniestros</c:v>
                </c:pt>
              </c:strCache>
            </c:strRef>
          </c:tx>
          <c:spPr>
            <a:ln w="28575" cap="rnd" cmpd="sng" algn="ctr">
              <a:solidFill>
                <a:srgbClr val="FFC000"/>
              </a:solidFill>
              <a:prstDash val="solid"/>
              <a:round/>
            </a:ln>
            <a:effectLst/>
          </c:spPr>
          <c:marker>
            <c:symbol val="none"/>
          </c:marker>
          <c:cat>
            <c:strRef>
              <c:f>'8. Primas y Siniestros Totales'!$B$10:$B$21</c:f>
              <c:strCache>
                <c:ptCount val="12"/>
                <c:pt idx="0">
                  <c:v>FICOHSA SEGUROS</c:v>
                </c:pt>
                <c:pt idx="1">
                  <c:v>MAPFRE SEGUROS</c:v>
                </c:pt>
                <c:pt idx="2">
                  <c:v>SEGUROS ATLÁNTIDA</c:v>
                </c:pt>
                <c:pt idx="3">
                  <c:v>CREFISA</c:v>
                </c:pt>
                <c:pt idx="4">
                  <c:v>SEGUROS DAVIVIENDA</c:v>
                </c:pt>
                <c:pt idx="5">
                  <c:v>PALIC</c:v>
                </c:pt>
                <c:pt idx="6">
                  <c:v>SEGUROS DEL PAÍS</c:v>
                </c:pt>
                <c:pt idx="7">
                  <c:v>ASSA CIA. DE SEGUROS</c:v>
                </c:pt>
                <c:pt idx="8">
                  <c:v>SEGUROS CONTINENTAL</c:v>
                </c:pt>
                <c:pt idx="9">
                  <c:v>SEGUROS EQUIDAD</c:v>
                </c:pt>
                <c:pt idx="10">
                  <c:v>ASEGURADORA RURAL</c:v>
                </c:pt>
                <c:pt idx="11">
                  <c:v>SEGUROS LAFISE</c:v>
                </c:pt>
              </c:strCache>
            </c:strRef>
          </c:cat>
          <c:val>
            <c:numRef>
              <c:f>'8. Primas y Siniestros Totales'!$H$10:$H$21</c:f>
              <c:numCache>
                <c:formatCode>_ * #,##0.0_ ;_ * \-#,##0.0_ ;_ * "-"??_ ;_ @_ </c:formatCode>
                <c:ptCount val="12"/>
                <c:pt idx="0">
                  <c:v>1723.9969134200001</c:v>
                </c:pt>
                <c:pt idx="1">
                  <c:v>1057.16371443</c:v>
                </c:pt>
                <c:pt idx="2">
                  <c:v>1105.7572927899998</c:v>
                </c:pt>
                <c:pt idx="3">
                  <c:v>669.86950808000006</c:v>
                </c:pt>
                <c:pt idx="4">
                  <c:v>663.21888046999993</c:v>
                </c:pt>
                <c:pt idx="5">
                  <c:v>583.63299532000008</c:v>
                </c:pt>
                <c:pt idx="6">
                  <c:v>617.92510048999998</c:v>
                </c:pt>
                <c:pt idx="7">
                  <c:v>1431.3444213299997</c:v>
                </c:pt>
                <c:pt idx="8">
                  <c:v>237.85134236000002</c:v>
                </c:pt>
                <c:pt idx="9">
                  <c:v>317.64589481000002</c:v>
                </c:pt>
                <c:pt idx="10">
                  <c:v>254.81371662999999</c:v>
                </c:pt>
                <c:pt idx="11">
                  <c:v>144.68328511000001</c:v>
                </c:pt>
              </c:numCache>
            </c:numRef>
          </c:val>
          <c:smooth val="1"/>
          <c:extLst>
            <c:ext xmlns:c16="http://schemas.microsoft.com/office/drawing/2014/chart" uri="{C3380CC4-5D6E-409C-BE32-E72D297353CC}">
              <c16:uniqueId val="{00000001-392E-457F-BC77-C0452A13A7EF}"/>
            </c:ext>
          </c:extLst>
        </c:ser>
        <c:dLbls>
          <c:showLegendKey val="0"/>
          <c:showVal val="0"/>
          <c:showCatName val="0"/>
          <c:showSerName val="0"/>
          <c:showPercent val="0"/>
          <c:showBubbleSize val="0"/>
        </c:dLbls>
        <c:marker val="1"/>
        <c:smooth val="0"/>
        <c:axId val="556069264"/>
        <c:axId val="1"/>
      </c:lineChart>
      <c:catAx>
        <c:axId val="5560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vert="horz"/>
          <a:lstStyle/>
          <a:p>
            <a:pPr>
              <a:defRPr sz="900" b="0" i="0" u="none" strike="noStrike" baseline="0">
                <a:solidFill>
                  <a:srgbClr val="000000"/>
                </a:solidFill>
                <a:latin typeface="Calibri"/>
                <a:ea typeface="Calibri"/>
                <a:cs typeface="Calibri"/>
              </a:defRPr>
            </a:pPr>
            <a:endParaRPr lang="es-HN"/>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_ * #,##0.0_ ;_ * \-#,##0.0_ ;_ * &quot;-&quot;??_ ;_ @_ "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HN"/>
          </a:p>
        </c:txPr>
        <c:crossAx val="556069264"/>
        <c:crosses val="autoZero"/>
        <c:crossBetween val="between"/>
      </c:valAx>
      <c:spPr>
        <a:noFill/>
        <a:ln w="25400">
          <a:noFill/>
        </a:ln>
      </c:spPr>
    </c:plotArea>
    <c:legend>
      <c:legendPos val="r"/>
      <c:layout>
        <c:manualLayout>
          <c:xMode val="edge"/>
          <c:yMode val="edge"/>
          <c:x val="0.38106392479834494"/>
          <c:y val="0.9481265093851412"/>
          <c:w val="0.25697248899163988"/>
          <c:h val="5.1365996440841832E-2"/>
        </c:manualLayout>
      </c:layout>
      <c:overlay val="0"/>
      <c:spPr>
        <a:noFill/>
        <a:ln w="25400">
          <a:noFill/>
        </a:ln>
      </c:spPr>
      <c:txPr>
        <a:bodyPr/>
        <a:lstStyle/>
        <a:p>
          <a:pPr>
            <a:defRPr sz="900" b="0" i="0" u="none" strike="noStrike" baseline="0">
              <a:solidFill>
                <a:srgbClr val="333333"/>
              </a:solidFill>
              <a:latin typeface="Calibri"/>
              <a:ea typeface="Calibri"/>
              <a:cs typeface="Calibri"/>
            </a:defRPr>
          </a:pPr>
          <a:endParaRPr lang="es-HN"/>
        </a:p>
      </c:txPr>
    </c:legend>
    <c:plotVisOnly val="1"/>
    <c:dispBlanksAs val="gap"/>
    <c:showDLblsOverMax val="0"/>
  </c:chart>
  <c:spPr>
    <a:solidFill>
      <a:schemeClr val="bg1"/>
    </a:solidFill>
    <a:ln w="9525" cap="flat" cmpd="sng" algn="ctr">
      <a:solidFill>
        <a:schemeClr val="bg2"/>
      </a:solidFill>
      <a:prstDash val="solid"/>
      <a:round/>
    </a:ln>
    <a:effectLst/>
  </c:spPr>
  <c:txPr>
    <a:bodyPr/>
    <a:lstStyle/>
    <a:p>
      <a:pPr>
        <a:defRPr sz="1000" b="0" i="0" u="none" strike="noStrike" baseline="0">
          <a:solidFill>
            <a:srgbClr val="000000"/>
          </a:solidFill>
          <a:latin typeface="Calibri"/>
          <a:ea typeface="Calibri"/>
          <a:cs typeface="Calibri"/>
        </a:defRPr>
      </a:pPr>
      <a:endParaRPr lang="es-HN"/>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438150</xdr:colOff>
      <xdr:row>22</xdr:row>
      <xdr:rowOff>9524</xdr:rowOff>
    </xdr:to>
    <xdr:graphicFrame macro="">
      <xdr:nvGraphicFramePr>
        <xdr:cNvPr id="3" name="Gráfico 2">
          <a:extLst>
            <a:ext uri="{FF2B5EF4-FFF2-40B4-BE49-F238E27FC236}">
              <a16:creationId xmlns:a16="http://schemas.microsoft.com/office/drawing/2014/main" id="{A6D03488-39CD-4BE8-8F15-65D4CAFBB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692152</xdr:colOff>
      <xdr:row>0</xdr:row>
      <xdr:rowOff>2</xdr:rowOff>
    </xdr:from>
    <xdr:to>
      <xdr:col>22</xdr:col>
      <xdr:colOff>211668</xdr:colOff>
      <xdr:row>21</xdr:row>
      <xdr:rowOff>179918</xdr:rowOff>
    </xdr:to>
    <xdr:graphicFrame macro="">
      <xdr:nvGraphicFramePr>
        <xdr:cNvPr id="4" name="Gráfico 1">
          <a:extLst>
            <a:ext uri="{FF2B5EF4-FFF2-40B4-BE49-F238E27FC236}">
              <a16:creationId xmlns:a16="http://schemas.microsoft.com/office/drawing/2014/main" id="{ABC09258-4E31-FC17-AE71-9A5B07E5B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61383</xdr:rowOff>
    </xdr:from>
    <xdr:to>
      <xdr:col>10</xdr:col>
      <xdr:colOff>444500</xdr:colOff>
      <xdr:row>54</xdr:row>
      <xdr:rowOff>95250</xdr:rowOff>
    </xdr:to>
    <xdr:graphicFrame macro="">
      <xdr:nvGraphicFramePr>
        <xdr:cNvPr id="5" name="Gráfico 1">
          <a:extLst>
            <a:ext uri="{FF2B5EF4-FFF2-40B4-BE49-F238E27FC236}">
              <a16:creationId xmlns:a16="http://schemas.microsoft.com/office/drawing/2014/main" id="{29C5A0E8-C809-89DC-BA46-74E22866F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669925</xdr:colOff>
      <xdr:row>23</xdr:row>
      <xdr:rowOff>126999</xdr:rowOff>
    </xdr:from>
    <xdr:to>
      <xdr:col>22</xdr:col>
      <xdr:colOff>190500</xdr:colOff>
      <xdr:row>54</xdr:row>
      <xdr:rowOff>111124</xdr:rowOff>
    </xdr:to>
    <xdr:graphicFrame macro="">
      <xdr:nvGraphicFramePr>
        <xdr:cNvPr id="6" name="Gráfico 1">
          <a:extLst>
            <a:ext uri="{FF2B5EF4-FFF2-40B4-BE49-F238E27FC236}">
              <a16:creationId xmlns:a16="http://schemas.microsoft.com/office/drawing/2014/main" id="{065075FD-118F-3026-73C1-5B01C1CDB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0.02783</cdr:x>
      <cdr:y>0.26875</cdr:y>
    </cdr:from>
    <cdr:to>
      <cdr:x>0.07411</cdr:x>
      <cdr:y>0.55825</cdr:y>
    </cdr:to>
    <cdr:sp macro="" textlink="">
      <cdr:nvSpPr>
        <cdr:cNvPr id="2" name="CuadroTexto 1"/>
        <cdr:cNvSpPr txBox="1"/>
      </cdr:nvSpPr>
      <cdr:spPr>
        <a:xfrm xmlns:a="http://schemas.openxmlformats.org/drawingml/2006/main" rot="16200000">
          <a:off x="-331608" y="1879602"/>
          <a:ext cx="1425222" cy="3386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HN" sz="1200" b="1"/>
            <a:t>Millones de Lempiras</a:t>
          </a: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5A4DD-F523-4D62-87D0-B4B99694A1D1}">
  <sheetPr>
    <tabColor theme="3"/>
  </sheetPr>
  <dimension ref="A1"/>
  <sheetViews>
    <sheetView showGridLines="0" zoomScale="80" zoomScaleNormal="80" workbookViewId="0">
      <selection activeCell="V23" sqref="V23"/>
    </sheetView>
  </sheetViews>
  <sheetFormatPr baseColWidth="10" defaultRowHeight="15"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70C0"/>
  </sheetPr>
  <dimension ref="A1:Q44"/>
  <sheetViews>
    <sheetView showGridLines="0" tabSelected="1" topLeftCell="A27" zoomScaleNormal="100" workbookViewId="0">
      <selection activeCell="A29" sqref="A29"/>
    </sheetView>
  </sheetViews>
  <sheetFormatPr baseColWidth="10" defaultRowHeight="15" x14ac:dyDescent="0.3"/>
  <cols>
    <col min="1" max="1" width="36.5703125" customWidth="1"/>
    <col min="2" max="3" width="9.7109375" customWidth="1"/>
    <col min="4" max="5" width="12.140625" customWidth="1"/>
    <col min="6" max="7" width="9.28515625" bestFit="1" customWidth="1"/>
    <col min="8" max="8" width="10.7109375" customWidth="1"/>
    <col min="9" max="9" width="9.140625" bestFit="1" customWidth="1"/>
    <col min="10" max="10" width="9.28515625" customWidth="1"/>
    <col min="11" max="11" width="8.7109375" customWidth="1"/>
    <col min="12" max="12" width="8.5703125" bestFit="1" customWidth="1"/>
  </cols>
  <sheetData>
    <row r="1" spans="1:17" s="502" customFormat="1" x14ac:dyDescent="0.25">
      <c r="A1" s="494" t="s">
        <v>0</v>
      </c>
      <c r="B1" s="505"/>
      <c r="C1" s="505"/>
      <c r="D1" s="505"/>
      <c r="E1" s="505"/>
      <c r="F1" s="505"/>
    </row>
    <row r="2" spans="1:17" s="502" customFormat="1" x14ac:dyDescent="0.25">
      <c r="A2" s="494" t="s">
        <v>1</v>
      </c>
      <c r="B2" s="505"/>
      <c r="C2" s="505"/>
      <c r="D2" s="505"/>
      <c r="E2" s="505"/>
      <c r="F2" s="505"/>
      <c r="G2" s="505"/>
      <c r="H2" s="505"/>
    </row>
    <row r="3" spans="1:17" s="502" customFormat="1" x14ac:dyDescent="0.25">
      <c r="A3" s="494" t="s">
        <v>372</v>
      </c>
      <c r="B3" s="505"/>
      <c r="C3" s="505"/>
      <c r="D3" s="509"/>
      <c r="E3" s="509"/>
      <c r="F3" s="509"/>
      <c r="G3" s="509"/>
      <c r="H3" s="509"/>
    </row>
    <row r="4" spans="1:17" s="502" customFormat="1" x14ac:dyDescent="0.25">
      <c r="A4" s="494" t="s">
        <v>2</v>
      </c>
      <c r="B4" s="505"/>
      <c r="C4" s="505"/>
      <c r="D4" s="506"/>
      <c r="E4" s="505"/>
      <c r="F4" s="505"/>
      <c r="G4" s="505"/>
      <c r="H4" s="505"/>
    </row>
    <row r="5" spans="1:17" s="496" customFormat="1" ht="7.5" customHeight="1" x14ac:dyDescent="0.25">
      <c r="A5" s="497"/>
      <c r="B5" s="498"/>
      <c r="C5" s="498"/>
      <c r="D5" s="498"/>
      <c r="E5" s="498"/>
      <c r="F5" s="498"/>
      <c r="G5" s="498"/>
      <c r="H5" s="498"/>
      <c r="I5" s="498"/>
    </row>
    <row r="6" spans="1:17" s="502" customFormat="1" x14ac:dyDescent="0.25">
      <c r="A6" s="499" t="s">
        <v>3</v>
      </c>
      <c r="B6" s="500"/>
      <c r="C6" s="500"/>
      <c r="D6" s="501"/>
      <c r="E6" s="501"/>
      <c r="F6" s="501"/>
      <c r="G6" s="501"/>
      <c r="H6" s="501"/>
      <c r="I6" s="501"/>
    </row>
    <row r="7" spans="1:17" ht="7.5" customHeight="1" thickBot="1" x14ac:dyDescent="0.35">
      <c r="A7" s="111"/>
      <c r="B7" s="110"/>
      <c r="C7" s="110"/>
      <c r="D7" s="110"/>
      <c r="E7" s="110"/>
      <c r="F7" s="110"/>
      <c r="G7" s="110"/>
      <c r="H7" s="110"/>
      <c r="I7" s="110"/>
      <c r="J7" s="110"/>
    </row>
    <row r="8" spans="1:17" s="2" customFormat="1" ht="15" customHeight="1" x14ac:dyDescent="0.3">
      <c r="A8" s="159" t="s">
        <v>4</v>
      </c>
      <c r="B8" s="661" t="s">
        <v>5</v>
      </c>
      <c r="C8" s="662"/>
      <c r="D8" s="662"/>
      <c r="E8" s="663"/>
      <c r="F8" s="660" t="s">
        <v>6</v>
      </c>
      <c r="G8" s="660"/>
      <c r="H8" s="660"/>
      <c r="I8" s="660"/>
      <c r="J8" s="661" t="s">
        <v>7</v>
      </c>
      <c r="K8" s="662"/>
      <c r="L8" s="662"/>
      <c r="M8" s="664"/>
      <c r="N8" s="660" t="s">
        <v>8</v>
      </c>
      <c r="O8" s="660"/>
      <c r="P8" s="660"/>
      <c r="Q8" s="660"/>
    </row>
    <row r="9" spans="1:17" x14ac:dyDescent="0.3">
      <c r="A9" s="160"/>
      <c r="B9" s="146">
        <v>45657</v>
      </c>
      <c r="C9" s="146">
        <v>46022</v>
      </c>
      <c r="D9" s="147" t="s">
        <v>9</v>
      </c>
      <c r="E9" s="147" t="s">
        <v>10</v>
      </c>
      <c r="F9" s="148">
        <f>B9</f>
        <v>45657</v>
      </c>
      <c r="G9" s="148">
        <f>C9</f>
        <v>46022</v>
      </c>
      <c r="H9" s="149" t="s">
        <v>9</v>
      </c>
      <c r="I9" s="149" t="s">
        <v>10</v>
      </c>
      <c r="J9" s="146">
        <f>B9</f>
        <v>45657</v>
      </c>
      <c r="K9" s="146">
        <f>C9</f>
        <v>46022</v>
      </c>
      <c r="L9" s="147" t="s">
        <v>9</v>
      </c>
      <c r="M9" s="147" t="s">
        <v>10</v>
      </c>
      <c r="N9" s="148">
        <f>B9</f>
        <v>45657</v>
      </c>
      <c r="O9" s="148">
        <f>C9</f>
        <v>46022</v>
      </c>
      <c r="P9" s="149" t="s">
        <v>9</v>
      </c>
      <c r="Q9" s="149" t="s">
        <v>10</v>
      </c>
    </row>
    <row r="10" spans="1:17" ht="15.75" x14ac:dyDescent="0.3">
      <c r="A10" s="161" t="s">
        <v>11</v>
      </c>
      <c r="B10" s="162">
        <f>'Primas Diciembre 2024'!D51/1000</f>
        <v>6507.7859165</v>
      </c>
      <c r="C10" s="162">
        <f>'Primas Diciembre 2025'!B51/1000</f>
        <v>6900.9688182</v>
      </c>
      <c r="D10" s="152">
        <f>IFERROR(E10/B10,0%)</f>
        <v>6.0417307321544558E-2</v>
      </c>
      <c r="E10" s="163">
        <f t="shared" ref="E10:E20" si="0">IFERROR(C10-B10,0)</f>
        <v>393.1829017</v>
      </c>
      <c r="F10" s="163">
        <f>'Siniestros Diciembre 2024'!E51/1000</f>
        <v>1797.3319927399998</v>
      </c>
      <c r="G10" s="277">
        <f>'Siniestros Diciembre  2025'!B51/1000</f>
        <v>2010.4240246999998</v>
      </c>
      <c r="H10" s="152">
        <f>IFERROR(I10/F10,0%)</f>
        <v>0.11856019523423998</v>
      </c>
      <c r="I10" s="163">
        <f t="shared" ref="I10:I20" si="1">IFERROR(G10-F10,0)</f>
        <v>213.09203195999999</v>
      </c>
      <c r="J10" s="150">
        <f>IFERROR((F10/B10),0%)</f>
        <v>0.27618179451524366</v>
      </c>
      <c r="K10" s="150">
        <f>IFERROR(G10/C10,0%)</f>
        <v>0.29132489620846957</v>
      </c>
      <c r="L10" s="150">
        <f>IFERROR(M10/J10,0%)</f>
        <v>5.4830195161144485E-2</v>
      </c>
      <c r="M10" s="151">
        <f>K10-J10</f>
        <v>1.5143101693225913E-2</v>
      </c>
      <c r="N10" s="152">
        <f>B10/$B$21</f>
        <v>0.35288352832596503</v>
      </c>
      <c r="O10" s="152">
        <f>C10/$C$21</f>
        <v>0.34194130034648068</v>
      </c>
      <c r="P10" s="152">
        <f>IFERROR(Q10/N10,0%)</f>
        <v>-3.1008044017789393E-2</v>
      </c>
      <c r="Q10" s="152">
        <f>IFERROR(O10-N10,0)</f>
        <v>-1.0942227979484354E-2</v>
      </c>
    </row>
    <row r="11" spans="1:17" ht="15.75" x14ac:dyDescent="0.3">
      <c r="A11" s="164" t="s">
        <v>12</v>
      </c>
      <c r="B11" s="165">
        <f>'Primas Diciembre 2024'!D55/1000</f>
        <v>904.40901901999985</v>
      </c>
      <c r="C11" s="165">
        <f>'Primas Diciembre 2025'!B55/1000</f>
        <v>957.52386688000001</v>
      </c>
      <c r="D11" s="155">
        <f t="shared" ref="D11:D20" si="2">IFERROR(E11/B11,0%)</f>
        <v>5.8728790561547464E-2</v>
      </c>
      <c r="E11" s="166">
        <f t="shared" si="0"/>
        <v>53.114847860000168</v>
      </c>
      <c r="F11" s="166">
        <f>'Siniestros Diciembre 2024'!E55/1000</f>
        <v>196.62319292999999</v>
      </c>
      <c r="G11" s="166">
        <f>'Siniestros Diciembre  2025'!B55/1000</f>
        <v>272.35245072000004</v>
      </c>
      <c r="H11" s="155">
        <f t="shared" ref="H11:H20" si="3">IFERROR(I11/F11,0%)</f>
        <v>0.38514916099933588</v>
      </c>
      <c r="I11" s="166">
        <f t="shared" si="1"/>
        <v>75.729257790000048</v>
      </c>
      <c r="J11" s="153">
        <f t="shared" ref="J11:J19" si="4">IFERROR((F11/B11),0%)</f>
        <v>0.21740516601996859</v>
      </c>
      <c r="K11" s="153">
        <f t="shared" ref="K11:K19" si="5">IFERROR(G11/C11,0%)</f>
        <v>0.28443411192186202</v>
      </c>
      <c r="L11" s="153">
        <f t="shared" ref="L11:L20" si="6">IFERROR(M11/J11,0%)</f>
        <v>0.30831349194221463</v>
      </c>
      <c r="M11" s="154">
        <f t="shared" ref="M11:M20" si="7">K11-J11</f>
        <v>6.7028945901893427E-2</v>
      </c>
      <c r="N11" s="155">
        <f t="shared" ref="N11:N20" si="8">B11/$B$21</f>
        <v>4.9041417430837578E-2</v>
      </c>
      <c r="O11" s="155">
        <f t="shared" ref="O11:O20" si="9">C11/$C$21</f>
        <v>4.7445071087734436E-2</v>
      </c>
      <c r="P11" s="155">
        <f t="shared" ref="P11:P20" si="10">IFERROR(Q11/N11,0%)</f>
        <v>-3.2550982959545297E-2</v>
      </c>
      <c r="Q11" s="155">
        <f t="shared" ref="Q11:Q20" si="11">IFERROR(O11-N11,0)</f>
        <v>-1.5963463431031416E-3</v>
      </c>
    </row>
    <row r="12" spans="1:17" ht="15.75" x14ac:dyDescent="0.3">
      <c r="A12" s="167" t="s">
        <v>13</v>
      </c>
      <c r="B12" s="165">
        <f>'Primas Diciembre 2024'!D54/1000</f>
        <v>5589.617263959999</v>
      </c>
      <c r="C12" s="183">
        <f>'Primas Diciembre 2025'!B54/1000</f>
        <v>5929.7598120399989</v>
      </c>
      <c r="D12" s="182">
        <f t="shared" si="2"/>
        <v>6.0852565035736231E-2</v>
      </c>
      <c r="E12" s="181">
        <f t="shared" si="0"/>
        <v>340.14254807999987</v>
      </c>
      <c r="F12" s="168">
        <f>'Siniestros Diciembre 2024'!E54/1000</f>
        <v>1590.6880498099999</v>
      </c>
      <c r="G12" s="181">
        <f>'Siniestros Diciembre  2025'!B54/1000</f>
        <v>1729.9775739799995</v>
      </c>
      <c r="H12" s="158">
        <f t="shared" si="3"/>
        <v>8.7565581564931647E-2</v>
      </c>
      <c r="I12" s="168">
        <f t="shared" si="1"/>
        <v>139.28952416999959</v>
      </c>
      <c r="J12" s="156">
        <f t="shared" si="4"/>
        <v>0.28457906412774087</v>
      </c>
      <c r="K12" s="156">
        <f t="shared" si="5"/>
        <v>0.29174496586984694</v>
      </c>
      <c r="L12" s="156">
        <f t="shared" si="6"/>
        <v>2.5180705980849906E-2</v>
      </c>
      <c r="M12" s="157">
        <f t="shared" si="7"/>
        <v>7.1659017421060733E-3</v>
      </c>
      <c r="N12" s="158">
        <f t="shared" si="8"/>
        <v>0.30309599722646802</v>
      </c>
      <c r="O12" s="158">
        <f t="shared" si="9"/>
        <v>0.29381813398776274</v>
      </c>
      <c r="P12" s="158">
        <f t="shared" si="10"/>
        <v>-3.0610312652110078E-2</v>
      </c>
      <c r="Q12" s="158">
        <f t="shared" si="11"/>
        <v>-9.2778632387052751E-3</v>
      </c>
    </row>
    <row r="13" spans="1:17" ht="15.75" x14ac:dyDescent="0.3">
      <c r="A13" s="161" t="s">
        <v>14</v>
      </c>
      <c r="B13" s="162">
        <f>'Primas Diciembre 2024'!D12/1000</f>
        <v>3667.9374357699994</v>
      </c>
      <c r="C13" s="162">
        <f>'Primas Diciembre 2025'!B12/1000</f>
        <v>4050.00655637</v>
      </c>
      <c r="D13" s="152">
        <f t="shared" si="2"/>
        <v>0.10416456858670325</v>
      </c>
      <c r="E13" s="163">
        <f t="shared" si="0"/>
        <v>382.06912060000059</v>
      </c>
      <c r="F13" s="163">
        <f>'Siniestros Diciembre 2024'!E12/1000</f>
        <v>2523.8945767799992</v>
      </c>
      <c r="G13" s="163">
        <f>'Siniestros Diciembre  2025'!B12/1000</f>
        <v>2764.2952972699995</v>
      </c>
      <c r="H13" s="152">
        <f t="shared" si="3"/>
        <v>9.5249905721777467E-2</v>
      </c>
      <c r="I13" s="163">
        <f t="shared" si="1"/>
        <v>240.40072049000037</v>
      </c>
      <c r="J13" s="150">
        <f t="shared" si="4"/>
        <v>0.68809640867011279</v>
      </c>
      <c r="K13" s="150">
        <f t="shared" si="5"/>
        <v>0.68254094377260055</v>
      </c>
      <c r="L13" s="150">
        <f t="shared" si="6"/>
        <v>-8.0736722754436614E-3</v>
      </c>
      <c r="M13" s="151">
        <f t="shared" si="7"/>
        <v>-5.5554648975122412E-3</v>
      </c>
      <c r="N13" s="152">
        <f t="shared" si="8"/>
        <v>0.19889325196326318</v>
      </c>
      <c r="O13" s="152">
        <f t="shared" si="9"/>
        <v>0.20067682448363075</v>
      </c>
      <c r="P13" s="152">
        <f t="shared" si="10"/>
        <v>8.9674863413516034E-3</v>
      </c>
      <c r="Q13" s="152">
        <f t="shared" si="11"/>
        <v>1.7835725203675656E-3</v>
      </c>
    </row>
    <row r="14" spans="1:17" ht="15.75" x14ac:dyDescent="0.3">
      <c r="A14" s="164" t="s">
        <v>15</v>
      </c>
      <c r="B14" s="165">
        <f>'Primas Diciembre 2024'!D14/1000</f>
        <v>413.14882086999995</v>
      </c>
      <c r="C14" s="165">
        <f>'Primas Diciembre 2025'!B14/1000</f>
        <v>510.89209233000003</v>
      </c>
      <c r="D14" s="176">
        <f t="shared" si="2"/>
        <v>0.23658126690080922</v>
      </c>
      <c r="E14" s="166">
        <f t="shared" si="0"/>
        <v>97.743271460000074</v>
      </c>
      <c r="F14" s="166">
        <f>'Siniestros Diciembre 2024'!E14/1000</f>
        <v>76.625171199999983</v>
      </c>
      <c r="G14" s="166">
        <f>'Siniestros Diciembre  2025'!B14/1000</f>
        <v>92.908461070000001</v>
      </c>
      <c r="H14" s="155">
        <f t="shared" si="3"/>
        <v>0.21250575515843054</v>
      </c>
      <c r="I14" s="166">
        <f t="shared" si="1"/>
        <v>16.283289870000019</v>
      </c>
      <c r="J14" s="153">
        <f t="shared" si="4"/>
        <v>0.18546627106098074</v>
      </c>
      <c r="K14" s="153">
        <f t="shared" si="5"/>
        <v>0.18185535157977692</v>
      </c>
      <c r="L14" s="153">
        <f t="shared" si="6"/>
        <v>-1.9469413282248813E-2</v>
      </c>
      <c r="M14" s="154">
        <f t="shared" si="7"/>
        <v>-3.610919481203817E-3</v>
      </c>
      <c r="N14" s="155">
        <f t="shared" si="8"/>
        <v>2.240292097849585E-2</v>
      </c>
      <c r="O14" s="155">
        <f t="shared" si="9"/>
        <v>2.5314576980456596E-2</v>
      </c>
      <c r="P14" s="155">
        <f t="shared" si="10"/>
        <v>0.12996769504992634</v>
      </c>
      <c r="Q14" s="155">
        <f t="shared" si="11"/>
        <v>2.9116560019607461E-3</v>
      </c>
    </row>
    <row r="15" spans="1:17" s="350" customFormat="1" ht="15.75" x14ac:dyDescent="0.3">
      <c r="A15" s="167" t="s">
        <v>16</v>
      </c>
      <c r="B15" s="165">
        <f>'Primas Diciembre 2024'!D15/1000</f>
        <v>3246.0557053100001</v>
      </c>
      <c r="C15" s="183">
        <f>'Primas Diciembre 2025'!B15/1000</f>
        <v>3528.0529574100001</v>
      </c>
      <c r="D15" s="182">
        <f t="shared" si="2"/>
        <v>8.6873817857993002E-2</v>
      </c>
      <c r="E15" s="181">
        <f t="shared" si="0"/>
        <v>281.99725209999997</v>
      </c>
      <c r="F15" s="168">
        <f>'Siniestros Diciembre 2024'!E15/1000</f>
        <v>2443.8481987600007</v>
      </c>
      <c r="G15" s="181">
        <f>'Siniestros Diciembre  2025'!B15/1000</f>
        <v>2666.7692057599997</v>
      </c>
      <c r="H15" s="158">
        <f t="shared" si="3"/>
        <v>9.1217206990642161E-2</v>
      </c>
      <c r="I15" s="181">
        <f t="shared" si="1"/>
        <v>222.92100699999901</v>
      </c>
      <c r="J15" s="156">
        <f t="shared" si="4"/>
        <v>0.75286699324422468</v>
      </c>
      <c r="K15" s="156">
        <f t="shared" si="5"/>
        <v>0.75587561693453642</v>
      </c>
      <c r="L15" s="156">
        <f t="shared" si="6"/>
        <v>3.9962220648657983E-3</v>
      </c>
      <c r="M15" s="157">
        <f t="shared" si="7"/>
        <v>3.0086236903117403E-3</v>
      </c>
      <c r="N15" s="158">
        <f t="shared" si="8"/>
        <v>0.17601679052289426</v>
      </c>
      <c r="O15" s="158">
        <f t="shared" si="9"/>
        <v>0.17481415258193961</v>
      </c>
      <c r="P15" s="158">
        <f t="shared" si="10"/>
        <v>-6.8325182920445787E-3</v>
      </c>
      <c r="Q15" s="158">
        <f t="shared" si="11"/>
        <v>-1.2026379409546539E-3</v>
      </c>
    </row>
    <row r="16" spans="1:17" ht="15.75" x14ac:dyDescent="0.3">
      <c r="A16" s="161" t="s">
        <v>17</v>
      </c>
      <c r="B16" s="162">
        <f>'Primas Diciembre 2024'!D57/1000</f>
        <v>6413.4994831899994</v>
      </c>
      <c r="C16" s="162">
        <f>'Primas Diciembre 2025'!B57/1000</f>
        <v>7125.1840115900004</v>
      </c>
      <c r="D16" s="152">
        <f t="shared" si="2"/>
        <v>0.11096664625378864</v>
      </c>
      <c r="E16" s="163">
        <f t="shared" si="0"/>
        <v>711.684528400001</v>
      </c>
      <c r="F16" s="163">
        <f>'Siniestros Diciembre 2024'!E57/1000</f>
        <v>2688.5300200300003</v>
      </c>
      <c r="G16" s="163">
        <f>'Siniestros Diciembre  2025'!B57/1000</f>
        <v>3568.6455145100008</v>
      </c>
      <c r="H16" s="152">
        <f t="shared" si="3"/>
        <v>0.32735937033359946</v>
      </c>
      <c r="I16" s="163">
        <f t="shared" si="1"/>
        <v>880.11549448000051</v>
      </c>
      <c r="J16" s="150">
        <f t="shared" si="4"/>
        <v>0.41919860242863183</v>
      </c>
      <c r="K16" s="150">
        <f t="shared" si="5"/>
        <v>0.50084959331648893</v>
      </c>
      <c r="L16" s="150">
        <f t="shared" si="6"/>
        <v>0.19477877649116948</v>
      </c>
      <c r="M16" s="151">
        <f t="shared" si="7"/>
        <v>8.16509908878571E-2</v>
      </c>
      <c r="N16" s="152">
        <f t="shared" si="8"/>
        <v>0.34777086332951135</v>
      </c>
      <c r="O16" s="152">
        <f t="shared" si="9"/>
        <v>0.35305110779598198</v>
      </c>
      <c r="P16" s="152">
        <f t="shared" si="10"/>
        <v>1.5183113432558095E-2</v>
      </c>
      <c r="Q16" s="152">
        <f t="shared" si="11"/>
        <v>5.2802444664706294E-3</v>
      </c>
    </row>
    <row r="17" spans="1:17" ht="15.75" x14ac:dyDescent="0.3">
      <c r="A17" s="164" t="s">
        <v>18</v>
      </c>
      <c r="B17" s="165">
        <f>'Primas Diciembre 2024'!D58/1000</f>
        <v>3597.3024535499994</v>
      </c>
      <c r="C17" s="183">
        <f>'Primas Diciembre 2025'!B58/1000</f>
        <v>3994.6503147199996</v>
      </c>
      <c r="D17" s="176">
        <f t="shared" si="2"/>
        <v>0.11045717347949915</v>
      </c>
      <c r="E17" s="175">
        <f t="shared" si="0"/>
        <v>397.34786117000021</v>
      </c>
      <c r="F17" s="166">
        <f>'Siniestros Diciembre 2024'!E58/1000</f>
        <v>1028.78819159</v>
      </c>
      <c r="G17" s="181">
        <f>'Siniestros Diciembre  2025'!B58/1000</f>
        <v>1697.78488305</v>
      </c>
      <c r="H17" s="155">
        <f t="shared" si="3"/>
        <v>0.65027640959414634</v>
      </c>
      <c r="I17" s="175">
        <f t="shared" si="1"/>
        <v>668.99669145999997</v>
      </c>
      <c r="J17" s="153">
        <f t="shared" si="4"/>
        <v>0.28598879434636915</v>
      </c>
      <c r="K17" s="153">
        <f t="shared" si="5"/>
        <v>0.42501464440924519</v>
      </c>
      <c r="L17" s="153">
        <f t="shared" si="6"/>
        <v>0.48612341745983895</v>
      </c>
      <c r="M17" s="154">
        <f t="shared" si="7"/>
        <v>0.13902585006287604</v>
      </c>
      <c r="N17" s="155">
        <f t="shared" si="8"/>
        <v>0.19506308267545094</v>
      </c>
      <c r="O17" s="155">
        <f t="shared" si="9"/>
        <v>0.19793393638331438</v>
      </c>
      <c r="P17" s="155">
        <f t="shared" si="10"/>
        <v>1.4717565561290821E-2</v>
      </c>
      <c r="Q17" s="155">
        <f t="shared" si="11"/>
        <v>2.8708537078634411E-3</v>
      </c>
    </row>
    <row r="18" spans="1:17" ht="15.75" x14ac:dyDescent="0.3">
      <c r="A18" s="164" t="s">
        <v>19</v>
      </c>
      <c r="B18" s="165">
        <f>'Primas Diciembre 2024'!D59/1000</f>
        <v>2816.1970296499999</v>
      </c>
      <c r="C18" s="165">
        <f>'Primas Diciembre 2025'!B59/1000</f>
        <v>3130.5336968799998</v>
      </c>
      <c r="D18" s="176">
        <f t="shared" si="2"/>
        <v>0.11161742730375154</v>
      </c>
      <c r="E18" s="175">
        <f t="shared" si="0"/>
        <v>314.33666722999988</v>
      </c>
      <c r="F18" s="166">
        <f>'Siniestros Diciembre 2024'!E59/1000</f>
        <v>1659.7411284399996</v>
      </c>
      <c r="G18" s="175">
        <f>'Siniestros Diciembre  2025'!B59/1000</f>
        <v>1870.8606314600001</v>
      </c>
      <c r="H18" s="155">
        <f t="shared" si="3"/>
        <v>0.12720025996971773</v>
      </c>
      <c r="I18" s="175">
        <f t="shared" si="1"/>
        <v>211.11950302000059</v>
      </c>
      <c r="J18" s="153">
        <f t="shared" si="4"/>
        <v>0.58935547156878931</v>
      </c>
      <c r="K18" s="153">
        <f t="shared" si="5"/>
        <v>0.59761715177337515</v>
      </c>
      <c r="L18" s="153">
        <f t="shared" si="6"/>
        <v>1.4018161539408975E-2</v>
      </c>
      <c r="M18" s="154">
        <f t="shared" si="7"/>
        <v>8.2616802045858417E-3</v>
      </c>
      <c r="N18" s="155">
        <f t="shared" si="8"/>
        <v>0.15270778065460267</v>
      </c>
      <c r="O18" s="155">
        <f t="shared" si="9"/>
        <v>0.15511717141316303</v>
      </c>
      <c r="P18" s="155">
        <f t="shared" si="10"/>
        <v>1.5777786490198363E-2</v>
      </c>
      <c r="Q18" s="155">
        <f t="shared" si="11"/>
        <v>2.4093907585603647E-3</v>
      </c>
    </row>
    <row r="19" spans="1:17" ht="15.75" x14ac:dyDescent="0.3">
      <c r="A19" s="161" t="s">
        <v>20</v>
      </c>
      <c r="B19" s="162">
        <f>'Primas Diciembre 2024'!D22/1000</f>
        <v>1619.8637771199999</v>
      </c>
      <c r="C19" s="162">
        <f>'Primas Diciembre 2025'!B22/1000</f>
        <v>1811.7784299300001</v>
      </c>
      <c r="D19" s="152">
        <f t="shared" si="2"/>
        <v>0.11847579748416286</v>
      </c>
      <c r="E19" s="163">
        <f t="shared" si="0"/>
        <v>191.91465281000023</v>
      </c>
      <c r="F19" s="163">
        <f>'Siniestros Diciembre 2024'!E22/1000</f>
        <v>557.16199369000003</v>
      </c>
      <c r="G19" s="163">
        <f>'Siniestros Diciembre  2025'!B22/1000</f>
        <v>422.17715197999996</v>
      </c>
      <c r="H19" s="152">
        <f t="shared" si="3"/>
        <v>-0.24227216364134205</v>
      </c>
      <c r="I19" s="163">
        <f t="shared" si="1"/>
        <v>-134.98484171000007</v>
      </c>
      <c r="J19" s="150">
        <f t="shared" si="4"/>
        <v>0.34395607924549904</v>
      </c>
      <c r="K19" s="150">
        <f t="shared" si="5"/>
        <v>0.23301809150929742</v>
      </c>
      <c r="L19" s="150">
        <f t="shared" si="6"/>
        <v>-0.32253533061417272</v>
      </c>
      <c r="M19" s="151">
        <f t="shared" si="7"/>
        <v>-0.11093798773620162</v>
      </c>
      <c r="N19" s="152">
        <f t="shared" si="8"/>
        <v>8.7836823831008728E-2</v>
      </c>
      <c r="O19" s="152">
        <f t="shared" si="9"/>
        <v>8.9773173679048898E-2</v>
      </c>
      <c r="P19" s="152">
        <f t="shared" si="10"/>
        <v>2.2044852757489929E-2</v>
      </c>
      <c r="Q19" s="152">
        <f t="shared" si="11"/>
        <v>1.9363498480401697E-3</v>
      </c>
    </row>
    <row r="20" spans="1:17" ht="15.75" x14ac:dyDescent="0.3">
      <c r="A20" s="161" t="s">
        <v>21</v>
      </c>
      <c r="B20" s="162">
        <f>'Primas Diciembre 2024'!D17/1000</f>
        <v>232.65235825999997</v>
      </c>
      <c r="C20" s="162">
        <f>'Primas Diciembre 2025'!B17/1000</f>
        <v>293.79750281999998</v>
      </c>
      <c r="D20" s="152">
        <f t="shared" si="2"/>
        <v>0.26281764353176007</v>
      </c>
      <c r="E20" s="163">
        <f t="shared" si="0"/>
        <v>61.145144560000006</v>
      </c>
      <c r="F20" s="163">
        <f>'Siniestros Diciembre 2024'!E17/1000</f>
        <v>10.49170423</v>
      </c>
      <c r="G20" s="163">
        <f>'Siniestros Diciembre  2025'!B17/1000</f>
        <v>41.792076789999996</v>
      </c>
      <c r="H20" s="152">
        <f t="shared" si="3"/>
        <v>2.9833449241258299</v>
      </c>
      <c r="I20" s="163">
        <f t="shared" si="1"/>
        <v>31.300372559999996</v>
      </c>
      <c r="J20" s="150">
        <f>IFERROR((F20/B20),0%)</f>
        <v>4.5096057948722901E-2</v>
      </c>
      <c r="K20" s="150">
        <f>IFERROR(G20/C20,0%)</f>
        <v>0.14224789655753003</v>
      </c>
      <c r="L20" s="150">
        <f t="shared" si="6"/>
        <v>2.1543310663489694</v>
      </c>
      <c r="M20" s="151">
        <f t="shared" si="7"/>
        <v>9.7151838608807134E-2</v>
      </c>
      <c r="N20" s="152">
        <f t="shared" si="8"/>
        <v>1.2615532549709261E-2</v>
      </c>
      <c r="O20" s="152">
        <f t="shared" si="9"/>
        <v>1.4557593694362365E-2</v>
      </c>
      <c r="P20" s="152">
        <f t="shared" si="10"/>
        <v>0.15394206602065807</v>
      </c>
      <c r="Q20" s="152">
        <f t="shared" si="11"/>
        <v>1.9420611446531039E-3</v>
      </c>
    </row>
    <row r="21" spans="1:17" ht="15.75" x14ac:dyDescent="0.3">
      <c r="A21" s="647" t="s">
        <v>22</v>
      </c>
      <c r="B21" s="648">
        <f>'Primas Diciembre 2024'!D61/1000</f>
        <v>18441.738970850001</v>
      </c>
      <c r="C21" s="648">
        <f>'Primas Diciembre 2025'!B61/1000</f>
        <v>20181.735318919997</v>
      </c>
      <c r="D21" s="641">
        <f>C21/B21-1</f>
        <v>9.4350991022068342E-2</v>
      </c>
      <c r="E21" s="648">
        <f>C21-B21</f>
        <v>1739.9963480699953</v>
      </c>
      <c r="F21" s="649">
        <f>'Siniestros Diciembre 2024'!E61/1000</f>
        <v>7577.4096874700008</v>
      </c>
      <c r="G21" s="649">
        <f>'Siniestros Diciembre  2025'!B61/1000</f>
        <v>8807.9030652399997</v>
      </c>
      <c r="H21" s="642">
        <f>G21/F21-1</f>
        <v>0.16238971212085063</v>
      </c>
      <c r="I21" s="646">
        <f>+G21-F21</f>
        <v>1230.4933777699989</v>
      </c>
      <c r="J21" s="190">
        <f>IFERROR((F21/B21),0%)</f>
        <v>0.41088368615602139</v>
      </c>
      <c r="K21" s="190">
        <f>IFERROR(G21/C21,0%)</f>
        <v>0.43642942125907064</v>
      </c>
      <c r="L21" s="190">
        <f>IFERROR(M21/J21,0%)</f>
        <v>6.217266823620976E-2</v>
      </c>
      <c r="M21" s="190">
        <f>K21-J21</f>
        <v>2.554573510304925E-2</v>
      </c>
      <c r="N21" s="188">
        <f>B21/$B$21</f>
        <v>1</v>
      </c>
      <c r="O21" s="188">
        <f>C21/$C$21</f>
        <v>1</v>
      </c>
      <c r="P21" s="645">
        <f>IFERROR(Q21/N21,0%)</f>
        <v>0</v>
      </c>
      <c r="Q21" s="645">
        <f>IFERROR(O21-N21,0)</f>
        <v>0</v>
      </c>
    </row>
    <row r="22" spans="1:17" s="640" customFormat="1" ht="15.75" x14ac:dyDescent="0.3">
      <c r="A22" s="656" t="s">
        <v>383</v>
      </c>
      <c r="B22" s="658">
        <f>B21/B27</f>
        <v>742.7382522467492</v>
      </c>
      <c r="C22" s="658">
        <f>C21/C27</f>
        <v>776.23253122817255</v>
      </c>
      <c r="D22" s="657">
        <f>C22/B22-1</f>
        <v>4.5095669813833839E-2</v>
      </c>
      <c r="E22" s="658">
        <f>C22-B22</f>
        <v>33.494278981423349</v>
      </c>
      <c r="F22" s="659">
        <f>F21/B27</f>
        <v>305.17903093222515</v>
      </c>
      <c r="G22" s="659">
        <f>G21/C27</f>
        <v>338.77071436637482</v>
      </c>
      <c r="H22" s="657">
        <f>G22/F22-1</f>
        <v>0.11007205616826865</v>
      </c>
      <c r="I22" s="658">
        <f>+G22-F22</f>
        <v>33.591683434149672</v>
      </c>
      <c r="J22" s="643"/>
      <c r="K22" s="643"/>
      <c r="L22" s="643"/>
      <c r="M22" s="643"/>
      <c r="N22" s="644"/>
      <c r="O22" s="644"/>
      <c r="P22" s="643"/>
      <c r="Q22" s="643"/>
    </row>
    <row r="23" spans="1:17" s="640" customFormat="1" ht="15.75" x14ac:dyDescent="0.3">
      <c r="A23" s="650"/>
      <c r="B23" s="651"/>
      <c r="C23" s="651"/>
      <c r="D23" s="643"/>
      <c r="E23" s="651"/>
      <c r="F23" s="652"/>
      <c r="G23" s="652"/>
      <c r="H23" s="643"/>
      <c r="I23" s="651"/>
      <c r="J23" s="643"/>
      <c r="K23" s="643"/>
      <c r="L23" s="643"/>
      <c r="M23" s="643"/>
      <c r="N23" s="644"/>
      <c r="O23" s="644"/>
      <c r="P23" s="643"/>
      <c r="Q23" s="643"/>
    </row>
    <row r="24" spans="1:17" ht="16.5" x14ac:dyDescent="0.3">
      <c r="A24" s="192" t="s">
        <v>373</v>
      </c>
      <c r="B24" s="192"/>
      <c r="C24" s="193"/>
      <c r="D24" s="572">
        <v>4.9799999999999997E-2</v>
      </c>
      <c r="F24" s="272" t="s">
        <v>374</v>
      </c>
      <c r="G24" s="272"/>
      <c r="H24" s="456"/>
      <c r="J24" s="456">
        <v>4.9799999999999997E-2</v>
      </c>
    </row>
    <row r="25" spans="1:17" ht="16.5" x14ac:dyDescent="0.3">
      <c r="A25" s="278" t="s">
        <v>23</v>
      </c>
      <c r="B25" s="278"/>
      <c r="C25" s="278"/>
      <c r="D25" s="279">
        <f>D21-D24</f>
        <v>4.4550991022068345E-2</v>
      </c>
    </row>
    <row r="27" spans="1:17" ht="31.5" x14ac:dyDescent="0.3">
      <c r="A27" s="654" t="s">
        <v>382</v>
      </c>
      <c r="B27" s="655">
        <v>24.82939166666667</v>
      </c>
      <c r="C27" s="655">
        <v>25.999600000000001</v>
      </c>
      <c r="D27" s="653"/>
    </row>
    <row r="29" spans="1:17" ht="15.75" x14ac:dyDescent="0.3">
      <c r="A29" s="680" t="s">
        <v>384</v>
      </c>
      <c r="B29" s="500"/>
      <c r="C29" s="500"/>
      <c r="D29" s="501"/>
      <c r="E29" s="501"/>
      <c r="F29" s="501"/>
      <c r="G29" s="501"/>
      <c r="H29" s="501"/>
      <c r="I29" s="501"/>
    </row>
    <row r="30" spans="1:17" ht="15.75" thickBot="1" x14ac:dyDescent="0.35">
      <c r="A30" s="111"/>
      <c r="B30" s="110"/>
      <c r="C30" s="110"/>
      <c r="D30" s="110"/>
      <c r="E30" s="110"/>
      <c r="F30" s="110"/>
      <c r="G30" s="110"/>
      <c r="H30" s="110"/>
      <c r="I30" s="110"/>
    </row>
    <row r="31" spans="1:17" x14ac:dyDescent="0.3">
      <c r="A31" s="159" t="s">
        <v>4</v>
      </c>
      <c r="B31" s="661" t="s">
        <v>5</v>
      </c>
      <c r="C31" s="662"/>
      <c r="D31" s="662"/>
      <c r="E31" s="663"/>
      <c r="F31" s="660" t="s">
        <v>6</v>
      </c>
      <c r="G31" s="660"/>
      <c r="H31" s="660"/>
      <c r="I31" s="660"/>
    </row>
    <row r="32" spans="1:17" x14ac:dyDescent="0.3">
      <c r="A32" s="160"/>
      <c r="B32" s="146">
        <v>45657</v>
      </c>
      <c r="C32" s="146">
        <v>46022</v>
      </c>
      <c r="D32" s="147" t="s">
        <v>9</v>
      </c>
      <c r="E32" s="147" t="s">
        <v>10</v>
      </c>
      <c r="F32" s="148">
        <f>B32</f>
        <v>45657</v>
      </c>
      <c r="G32" s="148">
        <f>C32</f>
        <v>46022</v>
      </c>
      <c r="H32" s="149" t="s">
        <v>9</v>
      </c>
      <c r="I32" s="149" t="s">
        <v>10</v>
      </c>
    </row>
    <row r="33" spans="1:9" ht="15.75" x14ac:dyDescent="0.3">
      <c r="A33" s="161" t="s">
        <v>11</v>
      </c>
      <c r="B33" s="162">
        <f>B10/$B$27</f>
        <v>262.10009507549347</v>
      </c>
      <c r="C33" s="162">
        <f>C10/$C$27</f>
        <v>265.42596109940155</v>
      </c>
      <c r="D33" s="152">
        <f>IFERROR(E33/B33,0%)</f>
        <v>1.2689297281445539E-2</v>
      </c>
      <c r="E33" s="163">
        <f t="shared" ref="E33" si="12">IFERROR(C33-B33,0)</f>
        <v>3.3258660239080768</v>
      </c>
      <c r="F33" s="163">
        <f>F10/$B$27</f>
        <v>72.387274600565775</v>
      </c>
      <c r="G33" s="163">
        <f>G10/$C$27</f>
        <v>77.32519056831643</v>
      </c>
      <c r="H33" s="152">
        <f>IFERROR(I33/F33,0%)</f>
        <v>6.8215249088989197E-2</v>
      </c>
      <c r="I33" s="163">
        <f t="shared" ref="I33" si="13">IFERROR(G33-F33,0)</f>
        <v>4.937915967750655</v>
      </c>
    </row>
    <row r="34" spans="1:9" ht="15.75" x14ac:dyDescent="0.3">
      <c r="A34" s="164" t="s">
        <v>12</v>
      </c>
      <c r="B34" s="165">
        <f t="shared" ref="B34:B43" si="14">B11/$B$27</f>
        <v>36.424936670283564</v>
      </c>
      <c r="C34" s="165">
        <f t="shared" ref="C34:C43" si="15">C11/$C$27</f>
        <v>36.828407624732691</v>
      </c>
      <c r="D34" s="155">
        <f t="shared" ref="D34:D43" si="16">IFERROR(E34/B34,0%)</f>
        <v>1.1076778474629134E-2</v>
      </c>
      <c r="E34" s="166">
        <f t="shared" ref="E34:E43" si="17">IFERROR(C34-B34,0)</f>
        <v>0.4034709544491264</v>
      </c>
      <c r="F34" s="166">
        <f t="shared" ref="F34:F43" si="18">F11/$B$27</f>
        <v>7.9189694040698395</v>
      </c>
      <c r="G34" s="166">
        <f t="shared" ref="G34:G43" si="19">G11/$C$27</f>
        <v>10.475255416237173</v>
      </c>
      <c r="H34" s="155">
        <f t="shared" ref="H34:H43" si="20">IFERROR(I34/F34,0%)</f>
        <v>0.32280539066782704</v>
      </c>
      <c r="I34" s="166">
        <f t="shared" ref="I34:I43" si="21">IFERROR(G34-F34,0)</f>
        <v>2.5562860121673339</v>
      </c>
    </row>
    <row r="35" spans="1:9" ht="15.75" x14ac:dyDescent="0.3">
      <c r="A35" s="167" t="s">
        <v>13</v>
      </c>
      <c r="B35" s="165">
        <f t="shared" si="14"/>
        <v>225.12099124297239</v>
      </c>
      <c r="C35" s="183">
        <f t="shared" si="15"/>
        <v>228.07119386605942</v>
      </c>
      <c r="D35" s="182">
        <f t="shared" si="16"/>
        <v>1.3104964609465841E-2</v>
      </c>
      <c r="E35" s="181">
        <f t="shared" si="17"/>
        <v>2.9502026230870229</v>
      </c>
      <c r="F35" s="168">
        <f t="shared" si="18"/>
        <v>64.064721003434428</v>
      </c>
      <c r="G35" s="181">
        <f t="shared" si="19"/>
        <v>66.538622670348758</v>
      </c>
      <c r="H35" s="158">
        <f t="shared" si="20"/>
        <v>3.8615662851036327E-2</v>
      </c>
      <c r="I35" s="168">
        <f t="shared" si="21"/>
        <v>2.4739016669143297</v>
      </c>
    </row>
    <row r="36" spans="1:9" ht="15.75" x14ac:dyDescent="0.3">
      <c r="A36" s="161" t="s">
        <v>14</v>
      </c>
      <c r="B36" s="162">
        <f t="shared" si="14"/>
        <v>147.72562634686642</v>
      </c>
      <c r="C36" s="162">
        <f t="shared" si="15"/>
        <v>155.77187942776041</v>
      </c>
      <c r="D36" s="152">
        <f t="shared" si="16"/>
        <v>5.4467550958294982E-2</v>
      </c>
      <c r="E36" s="163">
        <f t="shared" si="17"/>
        <v>8.0462530808939903</v>
      </c>
      <c r="F36" s="163">
        <f t="shared" si="18"/>
        <v>101.64947295782179</v>
      </c>
      <c r="G36" s="163">
        <f t="shared" si="19"/>
        <v>106.32068559785533</v>
      </c>
      <c r="H36" s="152">
        <f t="shared" si="20"/>
        <v>4.5954125526767933E-2</v>
      </c>
      <c r="I36" s="163">
        <f t="shared" si="21"/>
        <v>4.671212640033545</v>
      </c>
    </row>
    <row r="37" spans="1:9" ht="15.75" x14ac:dyDescent="0.3">
      <c r="A37" s="164" t="s">
        <v>15</v>
      </c>
      <c r="B37" s="165">
        <f t="shared" si="14"/>
        <v>16.639506372790038</v>
      </c>
      <c r="C37" s="165">
        <f t="shared" si="15"/>
        <v>19.649998166510255</v>
      </c>
      <c r="D37" s="176">
        <f t="shared" si="16"/>
        <v>0.18092434512619684</v>
      </c>
      <c r="E37" s="166">
        <f t="shared" si="17"/>
        <v>3.0104917937202167</v>
      </c>
      <c r="F37" s="166">
        <f t="shared" si="18"/>
        <v>3.0860671992567936</v>
      </c>
      <c r="G37" s="166">
        <f t="shared" si="19"/>
        <v>3.573457325112694</v>
      </c>
      <c r="H37" s="155">
        <f t="shared" si="20"/>
        <v>0.15793244099586579</v>
      </c>
      <c r="I37" s="166">
        <f t="shared" si="21"/>
        <v>0.48739012585590036</v>
      </c>
    </row>
    <row r="38" spans="1:9" ht="15.75" x14ac:dyDescent="0.3">
      <c r="A38" s="167" t="s">
        <v>16</v>
      </c>
      <c r="B38" s="165">
        <f t="shared" si="14"/>
        <v>130.73440335905664</v>
      </c>
      <c r="C38" s="183">
        <f t="shared" si="15"/>
        <v>135.69643215318698</v>
      </c>
      <c r="D38" s="182">
        <f t="shared" si="16"/>
        <v>3.7955034532894345E-2</v>
      </c>
      <c r="E38" s="181">
        <f t="shared" si="17"/>
        <v>4.9620287941303332</v>
      </c>
      <c r="F38" s="168">
        <f t="shared" si="18"/>
        <v>98.425617170510634</v>
      </c>
      <c r="G38" s="181">
        <f t="shared" si="19"/>
        <v>102.56962436960568</v>
      </c>
      <c r="H38" s="158">
        <f t="shared" si="20"/>
        <v>4.2102933344233394E-2</v>
      </c>
      <c r="I38" s="181">
        <f t="shared" si="21"/>
        <v>4.1440071990950429</v>
      </c>
    </row>
    <row r="39" spans="1:9" ht="15.75" x14ac:dyDescent="0.3">
      <c r="A39" s="161" t="s">
        <v>17</v>
      </c>
      <c r="B39" s="162">
        <f t="shared" si="14"/>
        <v>258.30272321170435</v>
      </c>
      <c r="C39" s="162">
        <f t="shared" si="15"/>
        <v>274.04975505738548</v>
      </c>
      <c r="D39" s="152">
        <f t="shared" si="16"/>
        <v>6.0963475916492378E-2</v>
      </c>
      <c r="E39" s="163">
        <f t="shared" si="17"/>
        <v>15.747031845681136</v>
      </c>
      <c r="F39" s="163">
        <f t="shared" si="18"/>
        <v>108.28014057385619</v>
      </c>
      <c r="G39" s="163">
        <f t="shared" si="19"/>
        <v>137.25770836897493</v>
      </c>
      <c r="H39" s="152">
        <f t="shared" si="20"/>
        <v>0.26761664365732513</v>
      </c>
      <c r="I39" s="163">
        <f t="shared" si="21"/>
        <v>28.977567795118745</v>
      </c>
    </row>
    <row r="40" spans="1:9" ht="15.75" x14ac:dyDescent="0.3">
      <c r="A40" s="164" t="s">
        <v>18</v>
      </c>
      <c r="B40" s="165">
        <f t="shared" si="14"/>
        <v>144.88081310422757</v>
      </c>
      <c r="C40" s="183">
        <f t="shared" si="15"/>
        <v>153.64276045477621</v>
      </c>
      <c r="D40" s="176">
        <f t="shared" si="16"/>
        <v>6.0476933852140063E-2</v>
      </c>
      <c r="E40" s="175">
        <f t="shared" si="17"/>
        <v>8.7619473505486383</v>
      </c>
      <c r="F40" s="166">
        <f t="shared" si="18"/>
        <v>41.434289063599685</v>
      </c>
      <c r="G40" s="181">
        <f t="shared" si="19"/>
        <v>65.300423200741548</v>
      </c>
      <c r="H40" s="155">
        <f t="shared" si="20"/>
        <v>0.57599960507367387</v>
      </c>
      <c r="I40" s="175">
        <f t="shared" si="21"/>
        <v>23.866134137141863</v>
      </c>
    </row>
    <row r="41" spans="1:9" ht="15.75" x14ac:dyDescent="0.3">
      <c r="A41" s="164" t="s">
        <v>19</v>
      </c>
      <c r="B41" s="165">
        <f t="shared" si="14"/>
        <v>113.42191010787953</v>
      </c>
      <c r="C41" s="165">
        <f t="shared" si="15"/>
        <v>120.40699460299388</v>
      </c>
      <c r="D41" s="176">
        <f t="shared" si="16"/>
        <v>6.1584966153987293E-2</v>
      </c>
      <c r="E41" s="175">
        <f t="shared" si="17"/>
        <v>6.98508449511435</v>
      </c>
      <c r="F41" s="166">
        <f t="shared" si="18"/>
        <v>66.84582331786217</v>
      </c>
      <c r="G41" s="175">
        <f t="shared" si="19"/>
        <v>71.957285168233355</v>
      </c>
      <c r="H41" s="155">
        <f t="shared" si="20"/>
        <v>7.6466435697341892E-2</v>
      </c>
      <c r="I41" s="175">
        <f t="shared" si="21"/>
        <v>5.1114618503711853</v>
      </c>
    </row>
    <row r="42" spans="1:9" ht="15.75" x14ac:dyDescent="0.3">
      <c r="A42" s="161" t="s">
        <v>20</v>
      </c>
      <c r="B42" s="162">
        <f t="shared" si="14"/>
        <v>65.239769015149037</v>
      </c>
      <c r="C42" s="162">
        <f t="shared" si="15"/>
        <v>69.684857841274479</v>
      </c>
      <c r="D42" s="152">
        <f t="shared" si="16"/>
        <v>6.8134649972369885E-2</v>
      </c>
      <c r="E42" s="163">
        <f t="shared" si="17"/>
        <v>4.445088826125442</v>
      </c>
      <c r="F42" s="163">
        <f t="shared" si="18"/>
        <v>22.439615161332654</v>
      </c>
      <c r="G42" s="163">
        <f t="shared" si="19"/>
        <v>16.237832581270478</v>
      </c>
      <c r="H42" s="152">
        <f t="shared" si="20"/>
        <v>-0.27637651249692208</v>
      </c>
      <c r="I42" s="163">
        <f t="shared" si="21"/>
        <v>-6.2017825800621758</v>
      </c>
    </row>
    <row r="43" spans="1:9" ht="15.75" x14ac:dyDescent="0.3">
      <c r="A43" s="161" t="s">
        <v>21</v>
      </c>
      <c r="B43" s="162">
        <f t="shared" si="14"/>
        <v>9.370038597133032</v>
      </c>
      <c r="C43" s="162">
        <f t="shared" si="15"/>
        <v>11.300077801966182</v>
      </c>
      <c r="D43" s="152">
        <f t="shared" si="16"/>
        <v>0.20597985641421881</v>
      </c>
      <c r="E43" s="163">
        <f t="shared" si="17"/>
        <v>1.9300392048331503</v>
      </c>
      <c r="F43" s="163">
        <f t="shared" si="18"/>
        <v>0.42255180355808147</v>
      </c>
      <c r="G43" s="163">
        <f t="shared" si="19"/>
        <v>1.607412298266127</v>
      </c>
      <c r="H43" s="152">
        <f t="shared" si="20"/>
        <v>2.8040597264784402</v>
      </c>
      <c r="I43" s="163">
        <f t="shared" si="21"/>
        <v>1.1848604947080454</v>
      </c>
    </row>
    <row r="44" spans="1:9" ht="15.75" x14ac:dyDescent="0.3">
      <c r="A44" s="647" t="s">
        <v>22</v>
      </c>
      <c r="B44" s="648">
        <f>B21/B27</f>
        <v>742.7382522467492</v>
      </c>
      <c r="C44" s="648">
        <f>C21/C27</f>
        <v>776.23253122817255</v>
      </c>
      <c r="D44" s="641">
        <f>C44/B44-1</f>
        <v>4.5095669813833839E-2</v>
      </c>
      <c r="E44" s="648">
        <f>C44-B44</f>
        <v>33.494278981423349</v>
      </c>
      <c r="F44" s="649">
        <f>F21/B27</f>
        <v>305.17903093222515</v>
      </c>
      <c r="G44" s="649">
        <f>G21/C27</f>
        <v>338.77071436637482</v>
      </c>
      <c r="H44" s="642">
        <f>G44/F44-1</f>
        <v>0.11007205616826865</v>
      </c>
      <c r="I44" s="646">
        <f>+G44-F44</f>
        <v>33.591683434149672</v>
      </c>
    </row>
  </sheetData>
  <mergeCells count="6">
    <mergeCell ref="N8:Q8"/>
    <mergeCell ref="B8:E8"/>
    <mergeCell ref="F8:I8"/>
    <mergeCell ref="J8:M8"/>
    <mergeCell ref="B31:E31"/>
    <mergeCell ref="F31:I3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R182"/>
  <sheetViews>
    <sheetView showGridLines="0" zoomScale="90" zoomScaleNormal="90" workbookViewId="0">
      <selection activeCell="F30" sqref="F30"/>
    </sheetView>
  </sheetViews>
  <sheetFormatPr baseColWidth="10" defaultRowHeight="15" x14ac:dyDescent="0.3"/>
  <cols>
    <col min="1" max="1" width="4.85546875" customWidth="1"/>
    <col min="2" max="2" width="22.7109375" bestFit="1" customWidth="1"/>
    <col min="3" max="3" width="10.140625" customWidth="1"/>
    <col min="4" max="4" width="13.42578125" customWidth="1"/>
    <col min="5" max="6" width="13.5703125" customWidth="1"/>
    <col min="7" max="7" width="10.28515625" bestFit="1" customWidth="1"/>
    <col min="8" max="8" width="9.140625" customWidth="1"/>
    <col min="9" max="10" width="13.5703125" customWidth="1"/>
    <col min="11" max="11" width="15.7109375" customWidth="1"/>
    <col min="12" max="12" width="11.42578125" customWidth="1"/>
    <col min="13" max="14" width="13.5703125" customWidth="1"/>
  </cols>
  <sheetData>
    <row r="1" spans="1:18" s="502" customFormat="1" x14ac:dyDescent="0.25">
      <c r="A1" s="494" t="s">
        <v>0</v>
      </c>
      <c r="B1" s="505"/>
      <c r="C1" s="505"/>
      <c r="D1" s="505"/>
      <c r="E1" s="505"/>
      <c r="F1" s="505"/>
      <c r="G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5.25" customHeight="1" x14ac:dyDescent="0.25">
      <c r="A5" s="497"/>
      <c r="B5" s="498"/>
      <c r="C5" s="498"/>
      <c r="D5" s="498"/>
      <c r="E5" s="498"/>
      <c r="F5" s="498"/>
      <c r="G5" s="498"/>
      <c r="H5" s="498"/>
      <c r="I5" s="498"/>
    </row>
    <row r="6" spans="1:18" s="502" customFormat="1" x14ac:dyDescent="0.25">
      <c r="A6" s="502" t="s">
        <v>24</v>
      </c>
      <c r="C6" s="501"/>
      <c r="D6" s="501"/>
      <c r="E6" s="501"/>
      <c r="F6" s="501"/>
      <c r="G6" s="501"/>
      <c r="H6" s="501"/>
      <c r="I6" s="501"/>
    </row>
    <row r="7" spans="1:18" ht="3" customHeight="1" x14ac:dyDescent="0.3">
      <c r="A7" s="111"/>
      <c r="B7" s="110"/>
      <c r="C7" s="110"/>
      <c r="D7" s="110"/>
      <c r="E7" s="110"/>
      <c r="F7" s="110"/>
      <c r="G7" s="110"/>
      <c r="H7" s="110"/>
      <c r="I7" s="110"/>
      <c r="J7" s="110"/>
      <c r="K7" s="108"/>
    </row>
    <row r="8" spans="1:18" ht="15" customHeight="1"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ht="15.75" x14ac:dyDescent="0.3">
      <c r="A10" s="173">
        <v>1</v>
      </c>
      <c r="B10" s="174" t="str">
        <f>'Primas Diciembre 2024'!$I11</f>
        <v>MAPFRE SEGUROS</v>
      </c>
      <c r="C10" s="175">
        <f>'Primas Diciembre 2024'!I51/1000</f>
        <v>1431.9607786199999</v>
      </c>
      <c r="D10" s="175">
        <f>'Primas Diciembre 2025'!E51/1000</f>
        <v>1465.5880285399999</v>
      </c>
      <c r="E10" s="176">
        <f t="shared" ref="E10:E22" si="0">IFERROR(F10/C10,0%)</f>
        <v>2.3483359615761947E-2</v>
      </c>
      <c r="F10" s="175">
        <f t="shared" ref="F10:F21" si="1">IFERROR(D10-C10,0)</f>
        <v>33.62724991999994</v>
      </c>
      <c r="G10" s="365">
        <f>'Siniestros Diciembre 2024'!K51/1000</f>
        <v>323.77838799</v>
      </c>
      <c r="H10" s="365">
        <f>'Siniestros Diciembre  2025'!H51/1000</f>
        <v>338.41863561000002</v>
      </c>
      <c r="I10" s="176">
        <f t="shared" ref="I10:I22" si="2">IFERROR(J10/G10,0%)</f>
        <v>4.5216877231633493E-2</v>
      </c>
      <c r="J10" s="175">
        <f t="shared" ref="J10:J21" si="3">IFERROR(H10-G10,0)</f>
        <v>14.640247620000025</v>
      </c>
      <c r="K10" s="155">
        <f t="shared" ref="K10:K22" si="4">IFERROR((G10/C10),0%)</f>
        <v>0.22610841918591487</v>
      </c>
      <c r="L10" s="155">
        <f t="shared" ref="L10:L22" si="5">IFERROR(H10/D10,0%)</f>
        <v>0.23090979799222866</v>
      </c>
      <c r="M10" s="155">
        <f t="shared" ref="M10:M22" si="6">IFERROR(N10/K10,0%)</f>
        <v>2.1234851951116043E-2</v>
      </c>
      <c r="N10" s="177">
        <f t="shared" ref="N10:N22" si="7">L10-K10</f>
        <v>4.8013788063137885E-3</v>
      </c>
      <c r="O10" s="226">
        <f t="shared" ref="O10:O21" si="8">C10/$C$22</f>
        <v>0.22003808929690993</v>
      </c>
      <c r="P10" s="226">
        <f t="shared" ref="P10:P21" si="9">D10/$D$22</f>
        <v>0.21237424297220248</v>
      </c>
      <c r="Q10" s="176">
        <f t="shared" ref="Q10:Q21" si="10">IFERROR(R10/O10,0%)</f>
        <v>-3.4829634947275846E-2</v>
      </c>
      <c r="R10" s="176">
        <f t="shared" ref="R10:R21" si="11">IFERROR(P10-O10,0)</f>
        <v>-7.6638463247074573E-3</v>
      </c>
    </row>
    <row r="11" spans="1:18" ht="15.75" x14ac:dyDescent="0.3">
      <c r="A11" s="173">
        <v>2</v>
      </c>
      <c r="B11" s="178" t="str">
        <f>'Primas Diciembre 2024'!$J11</f>
        <v>FICOHSA SEGUROS</v>
      </c>
      <c r="C11" s="175">
        <f>'Primas Diciembre 2024'!J51/1000</f>
        <v>1124.4966725000002</v>
      </c>
      <c r="D11" s="175">
        <f>'Primas Diciembre 2025'!F51/1000</f>
        <v>1300.2513024500001</v>
      </c>
      <c r="E11" s="176">
        <f t="shared" si="0"/>
        <v>0.15629626502963259</v>
      </c>
      <c r="F11" s="175">
        <f t="shared" si="1"/>
        <v>175.75462994999998</v>
      </c>
      <c r="G11" s="365">
        <f>'Siniestros Diciembre 2024'!M51/1000</f>
        <v>332.94247077999995</v>
      </c>
      <c r="H11" s="365">
        <f>'Siniestros Diciembre  2025'!J51/1000</f>
        <v>311.91989107000001</v>
      </c>
      <c r="I11" s="176">
        <f t="shared" si="2"/>
        <v>-6.3141778400182355E-2</v>
      </c>
      <c r="J11" s="175">
        <f t="shared" si="3"/>
        <v>-21.022579709999945</v>
      </c>
      <c r="K11" s="155">
        <f t="shared" si="4"/>
        <v>0.29608133036071738</v>
      </c>
      <c r="L11" s="155">
        <f t="shared" si="5"/>
        <v>0.23989200432429067</v>
      </c>
      <c r="M11" s="155">
        <f t="shared" si="6"/>
        <v>-0.18977666024389639</v>
      </c>
      <c r="N11" s="177">
        <f t="shared" si="7"/>
        <v>-5.6189326036426707E-2</v>
      </c>
      <c r="O11" s="226">
        <f t="shared" si="8"/>
        <v>0.17279251145138683</v>
      </c>
      <c r="P11" s="226">
        <f t="shared" si="9"/>
        <v>0.18841576258406403</v>
      </c>
      <c r="Q11" s="182">
        <f t="shared" si="10"/>
        <v>9.0416251268346362E-2</v>
      </c>
      <c r="R11" s="176">
        <f t="shared" si="11"/>
        <v>1.5623251132677207E-2</v>
      </c>
    </row>
    <row r="12" spans="1:18" s="350" customFormat="1" ht="15.75" x14ac:dyDescent="0.3">
      <c r="A12" s="28">
        <v>3</v>
      </c>
      <c r="B12" s="180" t="str">
        <f>'Primas Diciembre 2024'!$L11</f>
        <v>SEGUROS ATLÁNTIDA</v>
      </c>
      <c r="C12" s="181">
        <f>'Primas Diciembre 2024'!L51/1000</f>
        <v>774.12862094000002</v>
      </c>
      <c r="D12" s="181">
        <f>'Primas Diciembre 2025'!H51/1000</f>
        <v>770.5331666699999</v>
      </c>
      <c r="E12" s="182">
        <f t="shared" si="0"/>
        <v>-4.6445179428119725E-3</v>
      </c>
      <c r="F12" s="181">
        <f t="shared" si="1"/>
        <v>-3.5954542700001184</v>
      </c>
      <c r="G12" s="183">
        <f>'Siniestros Diciembre 2024'!Q51/1000</f>
        <v>240.98384765</v>
      </c>
      <c r="H12" s="183">
        <f>'Siniestros Diciembre  2025'!N51/1000</f>
        <v>285.83677858999999</v>
      </c>
      <c r="I12" s="182">
        <f t="shared" si="2"/>
        <v>0.18612422109362065</v>
      </c>
      <c r="J12" s="181">
        <f t="shared" si="3"/>
        <v>44.852930939999993</v>
      </c>
      <c r="K12" s="155">
        <f t="shared" si="4"/>
        <v>0.31129691001138921</v>
      </c>
      <c r="L12" s="155">
        <f t="shared" si="5"/>
        <v>0.37095973405699839</v>
      </c>
      <c r="M12" s="155">
        <f t="shared" si="6"/>
        <v>0.1916589022468175</v>
      </c>
      <c r="N12" s="177">
        <f t="shared" si="7"/>
        <v>5.9662824045609186E-2</v>
      </c>
      <c r="O12" s="226">
        <f t="shared" si="8"/>
        <v>0.11895422358274807</v>
      </c>
      <c r="P12" s="226">
        <f t="shared" si="9"/>
        <v>0.11165579601488192</v>
      </c>
      <c r="Q12" s="182">
        <f t="shared" si="10"/>
        <v>-6.1354925853382175E-2</v>
      </c>
      <c r="R12" s="176">
        <f t="shared" si="11"/>
        <v>-7.2984275678661531E-3</v>
      </c>
    </row>
    <row r="13" spans="1:18" s="350" customFormat="1" ht="15.75" x14ac:dyDescent="0.3">
      <c r="A13" s="28">
        <v>4</v>
      </c>
      <c r="B13" s="180" t="str">
        <f>'Primas Diciembre 2024'!$G11</f>
        <v>SEGUROS DAVIVIENDA</v>
      </c>
      <c r="C13" s="181">
        <f>'Primas Diciembre 2024'!G51/1000</f>
        <v>727.74247467999999</v>
      </c>
      <c r="D13" s="181">
        <f>'Primas Diciembre 2025'!C51/1000</f>
        <v>739.87358151000001</v>
      </c>
      <c r="E13" s="182">
        <f t="shared" si="0"/>
        <v>1.666950501320438E-2</v>
      </c>
      <c r="F13" s="181">
        <f t="shared" si="1"/>
        <v>12.131106830000022</v>
      </c>
      <c r="G13" s="183">
        <f>'Siniestros Diciembre 2024'!G51/1000</f>
        <v>152.22861452000001</v>
      </c>
      <c r="H13" s="183">
        <f>'Siniestros Diciembre  2025'!D51/1000</f>
        <v>240.64329068000001</v>
      </c>
      <c r="I13" s="182">
        <f t="shared" si="2"/>
        <v>0.58080195000647505</v>
      </c>
      <c r="J13" s="181">
        <f t="shared" si="3"/>
        <v>88.414676159999999</v>
      </c>
      <c r="K13" s="158">
        <f t="shared" si="4"/>
        <v>0.20917923553512163</v>
      </c>
      <c r="L13" s="158">
        <f t="shared" si="5"/>
        <v>0.32524920026050086</v>
      </c>
      <c r="M13" s="158">
        <f t="shared" si="6"/>
        <v>0.55488282299363711</v>
      </c>
      <c r="N13" s="184">
        <f t="shared" si="7"/>
        <v>0.11606996472537923</v>
      </c>
      <c r="O13" s="226">
        <f t="shared" si="8"/>
        <v>0.11182643129591338</v>
      </c>
      <c r="P13" s="226">
        <f t="shared" si="9"/>
        <v>0.1072130016815499</v>
      </c>
      <c r="Q13" s="176">
        <f t="shared" si="10"/>
        <v>-4.1255269983135674E-2</v>
      </c>
      <c r="R13" s="176">
        <f t="shared" si="11"/>
        <v>-4.613429614363479E-3</v>
      </c>
    </row>
    <row r="14" spans="1:18" ht="15.75" x14ac:dyDescent="0.3">
      <c r="A14" s="173">
        <v>5</v>
      </c>
      <c r="B14" s="180" t="str">
        <f>'Primas Diciembre 2024'!$H11</f>
        <v>PALIC</v>
      </c>
      <c r="C14" s="181">
        <f>'Primas Diciembre 2024'!H51/1000</f>
        <v>708.21102527999994</v>
      </c>
      <c r="D14" s="181">
        <f>'Primas Diciembre 2025'!D51/1000</f>
        <v>736.63881980999986</v>
      </c>
      <c r="E14" s="176">
        <f t="shared" si="0"/>
        <v>4.0140288014805528E-2</v>
      </c>
      <c r="F14" s="175">
        <f t="shared" si="1"/>
        <v>28.427794529999915</v>
      </c>
      <c r="G14" s="183">
        <f>'Siniestros Diciembre 2024'!I51/1000</f>
        <v>109.11350353</v>
      </c>
      <c r="H14" s="183">
        <f>'Siniestros Diciembre  2025'!F51/1000</f>
        <v>129.06297305000001</v>
      </c>
      <c r="I14" s="176">
        <f t="shared" si="2"/>
        <v>0.18283226983464096</v>
      </c>
      <c r="J14" s="175">
        <f t="shared" si="3"/>
        <v>19.949469520000008</v>
      </c>
      <c r="K14" s="155">
        <f t="shared" si="4"/>
        <v>0.1540691963766882</v>
      </c>
      <c r="L14" s="155">
        <f t="shared" si="5"/>
        <v>0.1752052289116246</v>
      </c>
      <c r="M14" s="155">
        <f t="shared" si="6"/>
        <v>0.13718532342610723</v>
      </c>
      <c r="N14" s="177">
        <f t="shared" si="7"/>
        <v>2.11360325349364E-2</v>
      </c>
      <c r="O14" s="226">
        <f t="shared" si="8"/>
        <v>0.1088251879159676</v>
      </c>
      <c r="P14" s="226">
        <f t="shared" si="9"/>
        <v>0.10674426145315341</v>
      </c>
      <c r="Q14" s="176">
        <f t="shared" si="10"/>
        <v>-1.9121735534433738E-2</v>
      </c>
      <c r="R14" s="176">
        <f t="shared" si="11"/>
        <v>-2.0809264628141866E-3</v>
      </c>
    </row>
    <row r="15" spans="1:18" s="350" customFormat="1" ht="15.75" x14ac:dyDescent="0.3">
      <c r="A15" s="28">
        <v>6</v>
      </c>
      <c r="B15" s="178" t="str">
        <f>'Primas Diciembre 2024'!$M11</f>
        <v>CREFISA</v>
      </c>
      <c r="C15" s="175">
        <f>'Primas Diciembre 2024'!M51/1000</f>
        <v>368.06353039999999</v>
      </c>
      <c r="D15" s="175">
        <f>'Primas Diciembre 2025'!I51/1000</f>
        <v>408.60057936999999</v>
      </c>
      <c r="E15" s="176">
        <f t="shared" si="0"/>
        <v>0.11013601082928699</v>
      </c>
      <c r="F15" s="175">
        <f t="shared" si="1"/>
        <v>40.537048970000001</v>
      </c>
      <c r="G15" s="365">
        <f>'Siniestros Diciembre 2024'!S51/1000</f>
        <v>115.52163686</v>
      </c>
      <c r="H15" s="365">
        <f>'Siniestros Diciembre  2025'!P51/1000</f>
        <v>146.72311777000002</v>
      </c>
      <c r="I15" s="176">
        <f t="shared" si="2"/>
        <v>0.2700920949364049</v>
      </c>
      <c r="J15" s="175">
        <f t="shared" si="3"/>
        <v>31.201480910000015</v>
      </c>
      <c r="K15" s="155">
        <f t="shared" si="4"/>
        <v>0.31386330706129639</v>
      </c>
      <c r="L15" s="155">
        <f t="shared" si="5"/>
        <v>0.35908690583900976</v>
      </c>
      <c r="M15" s="155">
        <f t="shared" si="6"/>
        <v>0.14408692497744363</v>
      </c>
      <c r="N15" s="177">
        <f t="shared" si="7"/>
        <v>4.522359877771337E-2</v>
      </c>
      <c r="O15" s="226">
        <f t="shared" si="8"/>
        <v>5.655741217098164E-2</v>
      </c>
      <c r="P15" s="226">
        <f t="shared" si="9"/>
        <v>5.9209161805280623E-2</v>
      </c>
      <c r="Q15" s="176">
        <f t="shared" si="10"/>
        <v>4.6885978910816174E-2</v>
      </c>
      <c r="R15" s="176">
        <f t="shared" si="11"/>
        <v>2.6517496342989832E-3</v>
      </c>
    </row>
    <row r="16" spans="1:18" ht="15.75" x14ac:dyDescent="0.3">
      <c r="A16" s="173">
        <v>7</v>
      </c>
      <c r="B16" s="180" t="str">
        <f>'Primas Diciembre 2024'!$N11</f>
        <v>SEGUROS EQUIDAD</v>
      </c>
      <c r="C16" s="181">
        <f>'Primas Diciembre 2024'!N51/1000</f>
        <v>492.61278325000001</v>
      </c>
      <c r="D16" s="181">
        <f>'Primas Diciembre 2025'!J51/1000</f>
        <v>401.65466781999999</v>
      </c>
      <c r="E16" s="182">
        <f t="shared" si="0"/>
        <v>-0.184644244978594</v>
      </c>
      <c r="F16" s="181">
        <f t="shared" si="1"/>
        <v>-90.958115430000021</v>
      </c>
      <c r="G16" s="183">
        <f>'Siniestros Diciembre 2024'!U51/1000</f>
        <v>243.98002192000001</v>
      </c>
      <c r="H16" s="183">
        <f>'Siniestros Diciembre  2025'!R51/1000</f>
        <v>228.24946686000001</v>
      </c>
      <c r="I16" s="182">
        <f t="shared" si="2"/>
        <v>-6.4474766975625486E-2</v>
      </c>
      <c r="J16" s="181">
        <f t="shared" si="3"/>
        <v>-15.73055506</v>
      </c>
      <c r="K16" s="158">
        <f t="shared" si="4"/>
        <v>0.49527748815276001</v>
      </c>
      <c r="L16" s="158">
        <f t="shared" si="5"/>
        <v>0.56827290990749579</v>
      </c>
      <c r="M16" s="158">
        <f t="shared" si="6"/>
        <v>0.14738287828705343</v>
      </c>
      <c r="N16" s="184">
        <f t="shared" si="7"/>
        <v>7.2995421754735779E-2</v>
      </c>
      <c r="O16" s="226">
        <f t="shared" si="8"/>
        <v>7.569591095506345E-2</v>
      </c>
      <c r="P16" s="226">
        <f t="shared" si="9"/>
        <v>5.8202649280302755E-2</v>
      </c>
      <c r="Q16" s="182">
        <f t="shared" si="10"/>
        <v>-0.23109916313901677</v>
      </c>
      <c r="R16" s="182">
        <f t="shared" si="11"/>
        <v>-1.7493261674760695E-2</v>
      </c>
    </row>
    <row r="17" spans="1:18" ht="15.75" x14ac:dyDescent="0.3">
      <c r="A17" s="173">
        <v>8</v>
      </c>
      <c r="B17" s="178" t="str">
        <f>'Primas Diciembre 2024'!$O11</f>
        <v>SEGUROS DEL PAÍS</v>
      </c>
      <c r="C17" s="175">
        <f>'Primas Diciembre 2024'!O51/1000</f>
        <v>293.76795322000004</v>
      </c>
      <c r="D17" s="175">
        <f>'Primas Diciembre 2025'!K51/1000</f>
        <v>321.79938996999999</v>
      </c>
      <c r="E17" s="176">
        <f t="shared" si="0"/>
        <v>9.5420335822020308E-2</v>
      </c>
      <c r="F17" s="175">
        <f t="shared" si="1"/>
        <v>28.031436749999955</v>
      </c>
      <c r="G17" s="365">
        <f>'Siniestros Diciembre 2024'!W51/1000</f>
        <v>58.031663170000002</v>
      </c>
      <c r="H17" s="365">
        <f>'Siniestros Diciembre  2025'!T51/1000</f>
        <v>79.050756660000005</v>
      </c>
      <c r="I17" s="176">
        <f t="shared" si="2"/>
        <v>0.36220043234718136</v>
      </c>
      <c r="J17" s="175">
        <f t="shared" si="3"/>
        <v>21.019093490000003</v>
      </c>
      <c r="K17" s="155">
        <f t="shared" si="4"/>
        <v>0.19754252475095757</v>
      </c>
      <c r="L17" s="155">
        <f t="shared" si="5"/>
        <v>0.24565228873606496</v>
      </c>
      <c r="M17" s="155">
        <f t="shared" si="6"/>
        <v>0.2435413035535488</v>
      </c>
      <c r="N17" s="177">
        <f t="shared" si="7"/>
        <v>4.8109763985107384E-2</v>
      </c>
      <c r="O17" s="226">
        <f t="shared" si="8"/>
        <v>4.5140998334805942E-2</v>
      </c>
      <c r="P17" s="226">
        <f t="shared" si="9"/>
        <v>4.6631045357184479E-2</v>
      </c>
      <c r="Q17" s="176">
        <f t="shared" si="10"/>
        <v>3.3008729920570627E-2</v>
      </c>
      <c r="R17" s="176">
        <f t="shared" si="11"/>
        <v>1.4900470223785378E-3</v>
      </c>
    </row>
    <row r="18" spans="1:18" s="350" customFormat="1" ht="15.75" x14ac:dyDescent="0.3">
      <c r="A18" s="28">
        <v>9</v>
      </c>
      <c r="B18" s="180" t="str">
        <f>'Primas Diciembre 2024'!$Q11</f>
        <v>ASEGURADORA RURAL</v>
      </c>
      <c r="C18" s="181">
        <f>'Primas Diciembre 2024'!Q51/1000</f>
        <v>285.62993826999997</v>
      </c>
      <c r="D18" s="181">
        <f>'Primas Diciembre 2025'!M51/1000</f>
        <v>316.46012924000001</v>
      </c>
      <c r="E18" s="182">
        <f t="shared" si="0"/>
        <v>0.10793753328776381</v>
      </c>
      <c r="F18" s="181">
        <f t="shared" si="1"/>
        <v>30.830190970000046</v>
      </c>
      <c r="G18" s="183">
        <f>'Siniestros Diciembre 2024'!AA51/1000</f>
        <v>133.92160731999999</v>
      </c>
      <c r="H18" s="183">
        <f>'Siniestros Diciembre  2025'!X51/1000</f>
        <v>128.56251225</v>
      </c>
      <c r="I18" s="182">
        <f t="shared" si="2"/>
        <v>-4.0016657335919401E-2</v>
      </c>
      <c r="J18" s="181">
        <f t="shared" si="3"/>
        <v>-5.3590950699999951</v>
      </c>
      <c r="K18" s="158">
        <f t="shared" si="4"/>
        <v>0.46886404181275532</v>
      </c>
      <c r="L18" s="158">
        <f t="shared" si="5"/>
        <v>0.40625184777226564</v>
      </c>
      <c r="M18" s="158">
        <f t="shared" si="6"/>
        <v>-0.13354019173322396</v>
      </c>
      <c r="N18" s="184">
        <f t="shared" si="7"/>
        <v>-6.2612194040489677E-2</v>
      </c>
      <c r="O18" s="226">
        <f t="shared" si="8"/>
        <v>4.3890493930632664E-2</v>
      </c>
      <c r="P18" s="226">
        <f t="shared" si="9"/>
        <v>4.5857348087908506E-2</v>
      </c>
      <c r="Q18" s="182">
        <f t="shared" si="10"/>
        <v>4.4812759691982139E-2</v>
      </c>
      <c r="R18" s="182">
        <f t="shared" si="11"/>
        <v>1.9668541572758422E-3</v>
      </c>
    </row>
    <row r="19" spans="1:18" s="350" customFormat="1" ht="15.75" x14ac:dyDescent="0.3">
      <c r="A19" s="28">
        <v>10</v>
      </c>
      <c r="B19" s="180" t="str">
        <f>'Primas Diciembre 2024'!$P11</f>
        <v>SEGUROS LAFISE</v>
      </c>
      <c r="C19" s="181">
        <f>'Primas Diciembre 2024'!P51/1000</f>
        <v>200.55150822999997</v>
      </c>
      <c r="D19" s="181">
        <f>'Primas Diciembre 2025'!L51/1000</f>
        <v>192.84463900999998</v>
      </c>
      <c r="E19" s="182">
        <f t="shared" si="0"/>
        <v>-3.8428378265604773E-2</v>
      </c>
      <c r="F19" s="181">
        <f t="shared" si="1"/>
        <v>-7.7068692199999873</v>
      </c>
      <c r="G19" s="183">
        <f>'Siniestros Diciembre 2024'!Y51/1000</f>
        <v>53.214254479999994</v>
      </c>
      <c r="H19" s="183">
        <f>'Siniestros Diciembre  2025'!V51/1000</f>
        <v>68.584484000000003</v>
      </c>
      <c r="I19" s="182">
        <f t="shared" si="2"/>
        <v>0.28883669742618956</v>
      </c>
      <c r="J19" s="181">
        <f t="shared" si="3"/>
        <v>15.370229520000009</v>
      </c>
      <c r="K19" s="158">
        <f t="shared" si="4"/>
        <v>0.26533958756855569</v>
      </c>
      <c r="L19" s="158">
        <f t="shared" si="5"/>
        <v>0.35564630861448809</v>
      </c>
      <c r="M19" s="158">
        <f t="shared" si="6"/>
        <v>0.34034394141281271</v>
      </c>
      <c r="N19" s="184">
        <f t="shared" si="7"/>
        <v>9.0306721045932403E-2</v>
      </c>
      <c r="O19" s="226">
        <f t="shared" si="8"/>
        <v>3.0817164363307767E-2</v>
      </c>
      <c r="P19" s="226">
        <f t="shared" si="9"/>
        <v>2.7944574753244605E-2</v>
      </c>
      <c r="Q19" s="182">
        <f t="shared" si="10"/>
        <v>-9.3213949739106738E-2</v>
      </c>
      <c r="R19" s="182">
        <f t="shared" si="11"/>
        <v>-2.8725896100631615E-3</v>
      </c>
    </row>
    <row r="20" spans="1:18" ht="14.45" customHeight="1" x14ac:dyDescent="0.3">
      <c r="A20" s="173">
        <v>11</v>
      </c>
      <c r="B20" s="178" t="str">
        <f>'Primas Diciembre 2024'!$R11</f>
        <v>ASSA CIA. DE SEGUROS</v>
      </c>
      <c r="C20" s="175">
        <f>'Primas Diciembre 2024'!R51/1000</f>
        <v>18.600111109999997</v>
      </c>
      <c r="D20" s="175">
        <f>'Primas Diciembre 2025'!N51/1000</f>
        <v>157.07301371</v>
      </c>
      <c r="E20" s="176">
        <f t="shared" si="0"/>
        <v>7.4447352373907414</v>
      </c>
      <c r="F20" s="175">
        <f t="shared" si="1"/>
        <v>138.4729026</v>
      </c>
      <c r="G20" s="365">
        <f>'Siniestros Diciembre 2024'!AC51/1000</f>
        <v>7.8655090899999998</v>
      </c>
      <c r="H20" s="365">
        <f>'Siniestros Diciembre  2025'!Z51/1000</f>
        <v>25.16919292</v>
      </c>
      <c r="I20" s="176">
        <f t="shared" si="2"/>
        <v>2.1999445467553329</v>
      </c>
      <c r="J20" s="175">
        <f t="shared" si="3"/>
        <v>17.303683830000001</v>
      </c>
      <c r="K20" s="155">
        <f t="shared" si="4"/>
        <v>0.42287430669009596</v>
      </c>
      <c r="L20" s="155">
        <f t="shared" si="5"/>
        <v>0.16023881076394991</v>
      </c>
      <c r="M20" s="155">
        <f t="shared" si="6"/>
        <v>-0.62107224716922527</v>
      </c>
      <c r="N20" s="177">
        <f t="shared" si="7"/>
        <v>-0.26263549592614605</v>
      </c>
      <c r="O20" s="226">
        <f t="shared" si="8"/>
        <v>2.8581319896895836E-3</v>
      </c>
      <c r="P20" s="226">
        <f t="shared" si="9"/>
        <v>2.2761009047852766E-2</v>
      </c>
      <c r="Q20" s="176">
        <f t="shared" si="10"/>
        <v>6.9635961984823505</v>
      </c>
      <c r="R20" s="176">
        <f t="shared" si="11"/>
        <v>1.9902877058163182E-2</v>
      </c>
    </row>
    <row r="21" spans="1:18" ht="15.75" x14ac:dyDescent="0.3">
      <c r="A21" s="173">
        <v>12</v>
      </c>
      <c r="B21" s="178" t="str">
        <f>'Primas Diciembre 2024'!$K11</f>
        <v>SEGUROS CONTINENTAL</v>
      </c>
      <c r="C21" s="175">
        <f>'Primas Diciembre 2024'!K51/1000</f>
        <v>82.020520000000005</v>
      </c>
      <c r="D21" s="175">
        <f>'Primas Diciembre 2025'!G51/1000</f>
        <v>89.651500099999993</v>
      </c>
      <c r="E21" s="176">
        <f t="shared" si="0"/>
        <v>9.3037450872049912E-2</v>
      </c>
      <c r="F21" s="175">
        <f t="shared" si="1"/>
        <v>7.6309800999999879</v>
      </c>
      <c r="G21" s="365">
        <f>'Siniestros Diciembre 2024'!O51/1000</f>
        <v>25.750475429999998</v>
      </c>
      <c r="H21" s="365">
        <f>'Siniestros Diciembre  2025'!L51/1000</f>
        <v>28.202925239999995</v>
      </c>
      <c r="I21" s="176">
        <f t="shared" si="2"/>
        <v>9.5239010893865952E-2</v>
      </c>
      <c r="J21" s="175">
        <f t="shared" si="3"/>
        <v>2.4524498099999974</v>
      </c>
      <c r="K21" s="155">
        <f t="shared" si="4"/>
        <v>0.31395162369124208</v>
      </c>
      <c r="L21" s="155">
        <f t="shared" si="5"/>
        <v>0.31458397470808186</v>
      </c>
      <c r="M21" s="155">
        <f t="shared" si="6"/>
        <v>2.0141670535256504E-3</v>
      </c>
      <c r="N21" s="177">
        <f t="shared" si="7"/>
        <v>6.3235101683978279E-4</v>
      </c>
      <c r="O21" s="226">
        <f t="shared" si="8"/>
        <v>1.2603444712593137E-2</v>
      </c>
      <c r="P21" s="226">
        <f t="shared" si="9"/>
        <v>1.2991146962374488E-2</v>
      </c>
      <c r="Q21" s="176">
        <f t="shared" si="10"/>
        <v>3.0761609910817882E-2</v>
      </c>
      <c r="R21" s="176">
        <f t="shared" si="11"/>
        <v>3.877022497813503E-4</v>
      </c>
    </row>
    <row r="22" spans="1:18" ht="15.75" x14ac:dyDescent="0.3">
      <c r="A22" s="665" t="s">
        <v>29</v>
      </c>
      <c r="B22" s="665"/>
      <c r="C22" s="185">
        <f>SUM(C10:C21)</f>
        <v>6507.7859165</v>
      </c>
      <c r="D22" s="185">
        <f>SUM(D10:D21)</f>
        <v>6900.9688182</v>
      </c>
      <c r="E22" s="186">
        <f t="shared" si="0"/>
        <v>6.0417307321544558E-2</v>
      </c>
      <c r="F22" s="185">
        <f>D22-C22</f>
        <v>393.1829017</v>
      </c>
      <c r="G22" s="187">
        <f>SUM(G10:G21)</f>
        <v>1797.33199274</v>
      </c>
      <c r="H22" s="187">
        <f>SUM(H10:H21)</f>
        <v>2010.4240247</v>
      </c>
      <c r="I22" s="188">
        <f t="shared" si="2"/>
        <v>0.11856019523423997</v>
      </c>
      <c r="J22" s="189">
        <f>H22-G22</f>
        <v>213.09203195999999</v>
      </c>
      <c r="K22" s="190">
        <f t="shared" si="4"/>
        <v>0.27618179451524372</v>
      </c>
      <c r="L22" s="190">
        <f t="shared" si="5"/>
        <v>0.29132489620846957</v>
      </c>
      <c r="M22" s="190">
        <f t="shared" si="6"/>
        <v>5.483019516114427E-2</v>
      </c>
      <c r="N22" s="190">
        <f t="shared" si="7"/>
        <v>1.5143101693225858E-2</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1.0617307321544561E-2</v>
      </c>
    </row>
    <row r="26" spans="1:18" ht="15.75" x14ac:dyDescent="0.3">
      <c r="A26" s="8"/>
      <c r="B26" s="9"/>
    </row>
    <row r="27" spans="1:18" ht="15.75" x14ac:dyDescent="0.3">
      <c r="A27" s="8"/>
      <c r="B27" s="9"/>
    </row>
    <row r="28" spans="1:18" ht="15.75" x14ac:dyDescent="0.3">
      <c r="A28" s="8"/>
      <c r="B28" s="9"/>
    </row>
    <row r="29" spans="1:18" ht="15.75" x14ac:dyDescent="0.3">
      <c r="A29" s="8"/>
      <c r="B29" s="9"/>
    </row>
    <row r="30" spans="1:18" ht="15.75" x14ac:dyDescent="0.3">
      <c r="A30" s="8"/>
      <c r="B30" s="9"/>
    </row>
    <row r="31" spans="1:18" ht="15.75" x14ac:dyDescent="0.3">
      <c r="A31" s="8"/>
      <c r="B31" s="9"/>
    </row>
    <row r="32" spans="1:18" ht="15.75" x14ac:dyDescent="0.3">
      <c r="A32" s="8"/>
      <c r="B32" s="9"/>
    </row>
    <row r="33" spans="1:2" ht="15.75" x14ac:dyDescent="0.3">
      <c r="A33" s="8"/>
      <c r="B33" s="9"/>
    </row>
    <row r="34" spans="1:2" ht="15.75" x14ac:dyDescent="0.3">
      <c r="A34" s="8"/>
      <c r="B34" s="9"/>
    </row>
    <row r="35" spans="1:2" ht="15.75" x14ac:dyDescent="0.3">
      <c r="A35" s="8"/>
      <c r="B35" s="9"/>
    </row>
    <row r="36" spans="1:2" ht="15.75" x14ac:dyDescent="0.3">
      <c r="A36" s="8"/>
      <c r="B36" s="9"/>
    </row>
    <row r="37" spans="1:2" ht="15.75" x14ac:dyDescent="0.3">
      <c r="A37" s="8"/>
      <c r="B37" s="9"/>
    </row>
    <row r="38" spans="1:2" ht="15.75" x14ac:dyDescent="0.3">
      <c r="A38" s="8"/>
      <c r="B38" s="9"/>
    </row>
    <row r="39" spans="1:2" ht="15.75" x14ac:dyDescent="0.3">
      <c r="A39" s="8"/>
      <c r="B39" s="9"/>
    </row>
    <row r="40" spans="1:2" ht="15.75" x14ac:dyDescent="0.3">
      <c r="A40" s="8"/>
      <c r="B40" s="9"/>
    </row>
    <row r="41" spans="1:2" ht="15.75" x14ac:dyDescent="0.3">
      <c r="A41" s="8"/>
      <c r="B41" s="9"/>
    </row>
    <row r="42" spans="1:2" ht="15.75" x14ac:dyDescent="0.3">
      <c r="A42" s="8"/>
      <c r="B42" s="9"/>
    </row>
    <row r="43" spans="1:2" ht="15.75" x14ac:dyDescent="0.3">
      <c r="A43" s="8"/>
      <c r="B43" s="9"/>
    </row>
    <row r="44" spans="1:2" ht="15.75" x14ac:dyDescent="0.3">
      <c r="A44" s="8"/>
      <c r="B44" s="9"/>
    </row>
    <row r="45" spans="1:2" ht="15.75" x14ac:dyDescent="0.3">
      <c r="A45" s="8"/>
      <c r="B45" s="9"/>
    </row>
    <row r="46" spans="1:2" ht="15.75" x14ac:dyDescent="0.3">
      <c r="A46" s="8"/>
      <c r="B46" s="9"/>
    </row>
    <row r="47" spans="1:2" ht="15.75" x14ac:dyDescent="0.3">
      <c r="A47" s="8"/>
      <c r="B47" s="9"/>
    </row>
    <row r="48" spans="1:2" ht="15.75" x14ac:dyDescent="0.3">
      <c r="A48" s="8"/>
      <c r="B48" s="9"/>
    </row>
    <row r="49" spans="1:2" ht="15.75" x14ac:dyDescent="0.3">
      <c r="A49" s="8"/>
      <c r="B49" s="9"/>
    </row>
    <row r="50" spans="1:2" ht="15.75" x14ac:dyDescent="0.3">
      <c r="A50" s="8"/>
      <c r="B50" s="9"/>
    </row>
    <row r="51" spans="1:2" ht="15.75" x14ac:dyDescent="0.3">
      <c r="A51" s="8"/>
      <c r="B51" s="9"/>
    </row>
    <row r="52" spans="1:2" ht="15.75" x14ac:dyDescent="0.3">
      <c r="A52" s="8"/>
      <c r="B52" s="9"/>
    </row>
    <row r="53" spans="1:2" ht="15.75" x14ac:dyDescent="0.3">
      <c r="A53" s="8"/>
      <c r="B53" s="9"/>
    </row>
    <row r="54" spans="1:2" ht="15.75" x14ac:dyDescent="0.3">
      <c r="A54" s="8"/>
      <c r="B54" s="9"/>
    </row>
    <row r="55" spans="1:2" ht="15.75" x14ac:dyDescent="0.3">
      <c r="A55" s="8"/>
      <c r="B55" s="9"/>
    </row>
    <row r="56" spans="1:2" ht="15.75" x14ac:dyDescent="0.3">
      <c r="A56" s="8"/>
      <c r="B56" s="9"/>
    </row>
    <row r="57" spans="1:2" ht="15.75" x14ac:dyDescent="0.3">
      <c r="A57" s="8"/>
      <c r="B57" s="9"/>
    </row>
    <row r="58" spans="1:2" ht="15.75" x14ac:dyDescent="0.3">
      <c r="A58" s="8"/>
      <c r="B58" s="9"/>
    </row>
    <row r="59" spans="1:2" ht="15.75" x14ac:dyDescent="0.3">
      <c r="A59" s="8"/>
      <c r="B59" s="9"/>
    </row>
    <row r="60" spans="1:2" ht="15.75" x14ac:dyDescent="0.3">
      <c r="A60" s="8"/>
      <c r="B60" s="9"/>
    </row>
    <row r="61" spans="1:2" ht="15.75" x14ac:dyDescent="0.3">
      <c r="A61" s="8"/>
      <c r="B61" s="9"/>
    </row>
    <row r="62" spans="1:2" ht="15.75" x14ac:dyDescent="0.3">
      <c r="A62" s="8"/>
      <c r="B62" s="9"/>
    </row>
    <row r="63" spans="1:2" ht="15.75" x14ac:dyDescent="0.3">
      <c r="A63" s="8"/>
      <c r="B63" s="9"/>
    </row>
    <row r="64" spans="1:2" ht="15.75" x14ac:dyDescent="0.3">
      <c r="A64" s="8"/>
      <c r="B64" s="9"/>
    </row>
    <row r="65" spans="1:2" ht="15.75" x14ac:dyDescent="0.3">
      <c r="A65" s="8"/>
      <c r="B65" s="9"/>
    </row>
    <row r="66" spans="1:2" ht="15.75" x14ac:dyDescent="0.3">
      <c r="A66" s="8"/>
      <c r="B66" s="9"/>
    </row>
    <row r="67" spans="1:2" ht="15.75" x14ac:dyDescent="0.3">
      <c r="A67" s="8"/>
      <c r="B67" s="9"/>
    </row>
    <row r="68" spans="1:2" ht="15.75" x14ac:dyDescent="0.3">
      <c r="A68" s="8"/>
      <c r="B68" s="9"/>
    </row>
    <row r="69" spans="1:2" ht="15.75" x14ac:dyDescent="0.3">
      <c r="A69" s="8"/>
      <c r="B69" s="9"/>
    </row>
    <row r="70" spans="1:2" ht="15.75" x14ac:dyDescent="0.3">
      <c r="A70" s="8"/>
      <c r="B70" s="9"/>
    </row>
    <row r="71" spans="1:2" ht="15.75" x14ac:dyDescent="0.3">
      <c r="A71" s="8"/>
      <c r="B71" s="9"/>
    </row>
    <row r="72" spans="1:2" ht="15.75" x14ac:dyDescent="0.3">
      <c r="A72" s="8"/>
      <c r="B72" s="9"/>
    </row>
    <row r="73" spans="1:2" ht="15.75" x14ac:dyDescent="0.3">
      <c r="A73" s="8"/>
      <c r="B73" s="9"/>
    </row>
    <row r="74" spans="1:2" ht="15.75" x14ac:dyDescent="0.3">
      <c r="A74" s="8"/>
      <c r="B74" s="9"/>
    </row>
    <row r="75" spans="1:2" ht="15.75" x14ac:dyDescent="0.3">
      <c r="A75" s="8"/>
      <c r="B75" s="9"/>
    </row>
    <row r="76" spans="1:2" ht="15.75" x14ac:dyDescent="0.3">
      <c r="A76" s="8"/>
      <c r="B76" s="9"/>
    </row>
    <row r="77" spans="1:2" ht="15.75" x14ac:dyDescent="0.3">
      <c r="A77" s="8"/>
      <c r="B77" s="9"/>
    </row>
    <row r="78" spans="1:2" ht="15.75" x14ac:dyDescent="0.3">
      <c r="A78" s="8"/>
      <c r="B78" s="9"/>
    </row>
    <row r="79" spans="1:2" ht="15.75" x14ac:dyDescent="0.3">
      <c r="A79" s="8"/>
      <c r="B79" s="9"/>
    </row>
    <row r="80" spans="1:2" ht="15.75" x14ac:dyDescent="0.3">
      <c r="A80" s="8"/>
      <c r="B80" s="9"/>
    </row>
    <row r="81" spans="1:2" ht="15.75" x14ac:dyDescent="0.3">
      <c r="A81" s="8"/>
      <c r="B81" s="9"/>
    </row>
    <row r="82" spans="1:2" ht="15.75" x14ac:dyDescent="0.3">
      <c r="A82" s="8"/>
      <c r="B82" s="9"/>
    </row>
    <row r="83" spans="1:2" ht="15.75" x14ac:dyDescent="0.3">
      <c r="A83" s="8"/>
      <c r="B83" s="9"/>
    </row>
    <row r="84" spans="1:2" ht="15.75" x14ac:dyDescent="0.3">
      <c r="A84" s="8"/>
      <c r="B84" s="9"/>
    </row>
    <row r="85" spans="1:2" ht="15.75" x14ac:dyDescent="0.3">
      <c r="A85" s="8"/>
      <c r="B85" s="9"/>
    </row>
    <row r="86" spans="1:2" ht="15.75" x14ac:dyDescent="0.3">
      <c r="A86" s="8"/>
      <c r="B86" s="9"/>
    </row>
    <row r="87" spans="1:2" ht="15.75" x14ac:dyDescent="0.3">
      <c r="A87" s="8"/>
      <c r="B87" s="9"/>
    </row>
    <row r="88" spans="1:2" ht="15.75" x14ac:dyDescent="0.3">
      <c r="A88" s="8"/>
      <c r="B88" s="9"/>
    </row>
    <row r="89" spans="1:2" ht="15.75" x14ac:dyDescent="0.3">
      <c r="A89" s="8"/>
      <c r="B89" s="9"/>
    </row>
    <row r="90" spans="1:2" ht="15.75" x14ac:dyDescent="0.3">
      <c r="A90" s="8"/>
      <c r="B90" s="9"/>
    </row>
    <row r="91" spans="1:2" ht="15.75" x14ac:dyDescent="0.3">
      <c r="A91" s="8"/>
      <c r="B91" s="9"/>
    </row>
    <row r="92" spans="1:2" ht="15.75" x14ac:dyDescent="0.3">
      <c r="A92" s="8"/>
      <c r="B92" s="9"/>
    </row>
    <row r="93" spans="1:2" ht="15.75" x14ac:dyDescent="0.3">
      <c r="A93" s="8"/>
      <c r="B93" s="9"/>
    </row>
    <row r="94" spans="1:2" ht="15.75" x14ac:dyDescent="0.3">
      <c r="A94" s="8"/>
      <c r="B94" s="9"/>
    </row>
    <row r="95" spans="1:2" ht="15.75" x14ac:dyDescent="0.3">
      <c r="A95" s="8"/>
      <c r="B95" s="9"/>
    </row>
    <row r="96" spans="1:2" ht="15.75" x14ac:dyDescent="0.3">
      <c r="A96" s="8"/>
      <c r="B96" s="9"/>
    </row>
    <row r="97" spans="1:2" ht="15.75" x14ac:dyDescent="0.3">
      <c r="A97" s="8"/>
      <c r="B97" s="9"/>
    </row>
    <row r="98" spans="1:2" ht="15.75" x14ac:dyDescent="0.3">
      <c r="A98" s="8"/>
      <c r="B98" s="9"/>
    </row>
    <row r="99" spans="1:2" ht="15.75" x14ac:dyDescent="0.3">
      <c r="A99" s="8"/>
      <c r="B99" s="9"/>
    </row>
    <row r="100" spans="1:2" ht="15.75" x14ac:dyDescent="0.3">
      <c r="A100" s="8"/>
      <c r="B100" s="9"/>
    </row>
    <row r="101" spans="1:2" ht="15.75" x14ac:dyDescent="0.3">
      <c r="A101" s="8"/>
      <c r="B101" s="9"/>
    </row>
    <row r="102" spans="1:2" ht="15.75" x14ac:dyDescent="0.3">
      <c r="A102" s="8"/>
      <c r="B102" s="9"/>
    </row>
    <row r="103" spans="1:2" ht="15.75" x14ac:dyDescent="0.3">
      <c r="A103" s="8"/>
      <c r="B103" s="9"/>
    </row>
    <row r="104" spans="1:2" ht="15.75" x14ac:dyDescent="0.3">
      <c r="A104" s="8"/>
      <c r="B104" s="9"/>
    </row>
    <row r="105" spans="1:2" ht="15.75" x14ac:dyDescent="0.3">
      <c r="A105" s="8"/>
      <c r="B105" s="9"/>
    </row>
    <row r="106" spans="1:2" ht="15.75" x14ac:dyDescent="0.3">
      <c r="A106" s="8"/>
      <c r="B106" s="9"/>
    </row>
    <row r="107" spans="1:2" ht="15.75" x14ac:dyDescent="0.3">
      <c r="A107" s="8"/>
      <c r="B107" s="9"/>
    </row>
    <row r="108" spans="1:2" ht="15.75" x14ac:dyDescent="0.3">
      <c r="A108" s="8"/>
      <c r="B108" s="9"/>
    </row>
    <row r="109" spans="1:2" ht="15.75" x14ac:dyDescent="0.3">
      <c r="A109" s="8"/>
      <c r="B109" s="9"/>
    </row>
    <row r="110" spans="1:2" ht="15.75" x14ac:dyDescent="0.3">
      <c r="A110" s="8"/>
      <c r="B110" s="9"/>
    </row>
    <row r="111" spans="1:2" ht="15.75" x14ac:dyDescent="0.3">
      <c r="A111" s="8"/>
      <c r="B111" s="9"/>
    </row>
    <row r="112" spans="1:2" ht="15.75" x14ac:dyDescent="0.3">
      <c r="A112" s="8"/>
      <c r="B112" s="9"/>
    </row>
    <row r="113" spans="1:2" ht="15.75" x14ac:dyDescent="0.3">
      <c r="A113" s="8"/>
      <c r="B113" s="9"/>
    </row>
    <row r="114" spans="1:2" ht="15.75" x14ac:dyDescent="0.3">
      <c r="A114" s="8"/>
      <c r="B114" s="9"/>
    </row>
    <row r="115" spans="1:2" ht="15.75" x14ac:dyDescent="0.3">
      <c r="A115" s="8"/>
      <c r="B115" s="9"/>
    </row>
    <row r="116" spans="1:2" ht="15.75" x14ac:dyDescent="0.3">
      <c r="A116" s="8"/>
      <c r="B116" s="9"/>
    </row>
    <row r="117" spans="1:2" ht="15.75" x14ac:dyDescent="0.3">
      <c r="A117" s="8"/>
      <c r="B117" s="9"/>
    </row>
    <row r="118" spans="1:2" ht="15.75" x14ac:dyDescent="0.3">
      <c r="A118" s="8"/>
      <c r="B118" s="9"/>
    </row>
    <row r="119" spans="1:2" ht="15.75" x14ac:dyDescent="0.3">
      <c r="A119" s="8"/>
      <c r="B119" s="9"/>
    </row>
    <row r="120" spans="1:2" ht="15.75" x14ac:dyDescent="0.3">
      <c r="A120" s="8"/>
      <c r="B120" s="9"/>
    </row>
    <row r="121" spans="1:2" ht="15.75" x14ac:dyDescent="0.3">
      <c r="A121" s="8"/>
      <c r="B121" s="9"/>
    </row>
    <row r="122" spans="1:2" ht="15.75" x14ac:dyDescent="0.3">
      <c r="A122" s="8"/>
      <c r="B122" s="9"/>
    </row>
    <row r="123" spans="1:2" ht="15.75" x14ac:dyDescent="0.3">
      <c r="A123" s="8"/>
      <c r="B123" s="9"/>
    </row>
    <row r="124" spans="1:2" ht="15.75" x14ac:dyDescent="0.3">
      <c r="A124" s="8"/>
      <c r="B124" s="9"/>
    </row>
    <row r="125" spans="1:2" ht="15.75" x14ac:dyDescent="0.3">
      <c r="A125" s="8"/>
      <c r="B125" s="9"/>
    </row>
    <row r="126" spans="1:2" ht="15.75" x14ac:dyDescent="0.3">
      <c r="A126" s="8"/>
      <c r="B126" s="9"/>
    </row>
    <row r="127" spans="1:2" ht="15.75" x14ac:dyDescent="0.3">
      <c r="A127" s="8"/>
      <c r="B127" s="9"/>
    </row>
    <row r="128" spans="1:2" ht="15.75" x14ac:dyDescent="0.3">
      <c r="A128" s="8"/>
      <c r="B128" s="9"/>
    </row>
    <row r="129" spans="1:2" ht="15.75" x14ac:dyDescent="0.3">
      <c r="A129" s="8"/>
      <c r="B129" s="9"/>
    </row>
    <row r="130" spans="1:2" ht="15.75" x14ac:dyDescent="0.3">
      <c r="A130" s="8"/>
      <c r="B130" s="9"/>
    </row>
    <row r="131" spans="1:2" ht="15.75" x14ac:dyDescent="0.3">
      <c r="A131" s="8"/>
      <c r="B131" s="9"/>
    </row>
    <row r="132" spans="1:2" ht="15.75" x14ac:dyDescent="0.3">
      <c r="A132" s="8"/>
      <c r="B132" s="9"/>
    </row>
    <row r="133" spans="1:2" ht="15.75" x14ac:dyDescent="0.3">
      <c r="A133" s="8"/>
      <c r="B133" s="9"/>
    </row>
    <row r="134" spans="1:2" ht="15.75" x14ac:dyDescent="0.3">
      <c r="A134" s="8"/>
      <c r="B134" s="9"/>
    </row>
    <row r="135" spans="1:2" ht="15.75" x14ac:dyDescent="0.3">
      <c r="A135" s="8"/>
      <c r="B135" s="9"/>
    </row>
    <row r="136" spans="1:2" ht="15.75" x14ac:dyDescent="0.3">
      <c r="A136" s="8"/>
      <c r="B136" s="9"/>
    </row>
    <row r="137" spans="1:2" ht="15.75" x14ac:dyDescent="0.3">
      <c r="A137" s="8"/>
      <c r="B137" s="9"/>
    </row>
    <row r="138" spans="1:2" ht="15.75" x14ac:dyDescent="0.3">
      <c r="A138" s="8"/>
      <c r="B138" s="9"/>
    </row>
    <row r="139" spans="1:2" ht="15.75" x14ac:dyDescent="0.3">
      <c r="A139" s="8"/>
      <c r="B139" s="9"/>
    </row>
    <row r="140" spans="1:2" ht="15.75" x14ac:dyDescent="0.3">
      <c r="A140" s="8"/>
      <c r="B140" s="9"/>
    </row>
    <row r="141" spans="1:2" ht="15.75" x14ac:dyDescent="0.3">
      <c r="A141" s="8"/>
      <c r="B141" s="9"/>
    </row>
    <row r="142" spans="1:2" ht="15.75" x14ac:dyDescent="0.3">
      <c r="A142" s="8"/>
      <c r="B142" s="9"/>
    </row>
    <row r="143" spans="1:2" ht="15.75" x14ac:dyDescent="0.3">
      <c r="A143" s="8"/>
      <c r="B143" s="9"/>
    </row>
    <row r="144" spans="1:2" ht="15.75" x14ac:dyDescent="0.3">
      <c r="A144" s="8"/>
      <c r="B144" s="9"/>
    </row>
    <row r="145" spans="1:2" ht="15.75" x14ac:dyDescent="0.3">
      <c r="A145" s="8"/>
      <c r="B145" s="9"/>
    </row>
    <row r="146" spans="1:2" ht="15.75" x14ac:dyDescent="0.3">
      <c r="A146" s="8"/>
      <c r="B146" s="9"/>
    </row>
    <row r="147" spans="1:2" ht="15.75" x14ac:dyDescent="0.3">
      <c r="A147" s="8"/>
      <c r="B147" s="9"/>
    </row>
    <row r="148" spans="1:2" ht="15.75" x14ac:dyDescent="0.3">
      <c r="A148" s="8"/>
      <c r="B148" s="9"/>
    </row>
    <row r="149" spans="1:2" ht="15.75" x14ac:dyDescent="0.3">
      <c r="A149" s="8"/>
      <c r="B149" s="9"/>
    </row>
    <row r="150" spans="1:2" ht="15.75" x14ac:dyDescent="0.3">
      <c r="A150" s="8"/>
      <c r="B150" s="9"/>
    </row>
    <row r="151" spans="1:2" ht="15.75" x14ac:dyDescent="0.3">
      <c r="A151" s="8"/>
      <c r="B151" s="9"/>
    </row>
    <row r="152" spans="1:2" ht="15.75" x14ac:dyDescent="0.3">
      <c r="A152" s="8"/>
      <c r="B152" s="9"/>
    </row>
    <row r="153" spans="1:2" ht="15.75" x14ac:dyDescent="0.3">
      <c r="A153" s="8"/>
      <c r="B153" s="9"/>
    </row>
    <row r="154" spans="1:2" ht="15.75" x14ac:dyDescent="0.3">
      <c r="A154" s="8"/>
      <c r="B154" s="9"/>
    </row>
    <row r="155" spans="1:2" ht="15.75" x14ac:dyDescent="0.3">
      <c r="A155" s="8"/>
      <c r="B155" s="9"/>
    </row>
    <row r="156" spans="1:2" ht="15.75" x14ac:dyDescent="0.3">
      <c r="A156" s="8"/>
      <c r="B156" s="9"/>
    </row>
    <row r="157" spans="1:2" ht="15.75" x14ac:dyDescent="0.3">
      <c r="A157" s="8"/>
      <c r="B157" s="9"/>
    </row>
    <row r="158" spans="1:2" ht="15.75" x14ac:dyDescent="0.3">
      <c r="A158" s="8"/>
      <c r="B158" s="9"/>
    </row>
    <row r="159" spans="1:2" ht="15.75" x14ac:dyDescent="0.3">
      <c r="A159" s="8"/>
      <c r="B159" s="9"/>
    </row>
    <row r="160" spans="1:2" ht="15.75" x14ac:dyDescent="0.3">
      <c r="A160" s="8"/>
      <c r="B160" s="9"/>
    </row>
    <row r="161" spans="1:2" ht="15.75" x14ac:dyDescent="0.3">
      <c r="A161" s="8"/>
      <c r="B161" s="9"/>
    </row>
    <row r="162" spans="1:2" ht="15.75" x14ac:dyDescent="0.3">
      <c r="A162" s="8"/>
      <c r="B162" s="9"/>
    </row>
    <row r="163" spans="1:2" ht="15.75" x14ac:dyDescent="0.3">
      <c r="A163" s="8"/>
      <c r="B163" s="9"/>
    </row>
    <row r="164" spans="1:2" ht="15.75" x14ac:dyDescent="0.3">
      <c r="A164" s="8"/>
      <c r="B164" s="9"/>
    </row>
    <row r="165" spans="1:2" ht="15.75" x14ac:dyDescent="0.3">
      <c r="A165" s="8"/>
      <c r="B165" s="9"/>
    </row>
    <row r="166" spans="1:2" ht="15.75" x14ac:dyDescent="0.3">
      <c r="A166" s="8"/>
      <c r="B166" s="9"/>
    </row>
    <row r="167" spans="1:2" ht="15.75" x14ac:dyDescent="0.3">
      <c r="A167" s="8"/>
      <c r="B167" s="9"/>
    </row>
    <row r="168" spans="1:2" ht="15.75" x14ac:dyDescent="0.3">
      <c r="A168" s="8"/>
      <c r="B168" s="9"/>
    </row>
    <row r="169" spans="1:2" ht="15.75" x14ac:dyDescent="0.3">
      <c r="A169" s="8"/>
      <c r="B169" s="9"/>
    </row>
    <row r="170" spans="1:2" ht="15.75" x14ac:dyDescent="0.3">
      <c r="A170" s="8"/>
      <c r="B170" s="9"/>
    </row>
    <row r="171" spans="1:2" ht="15.75" x14ac:dyDescent="0.3">
      <c r="A171" s="8"/>
      <c r="B171" s="9"/>
    </row>
    <row r="172" spans="1:2" ht="15.75" x14ac:dyDescent="0.3">
      <c r="A172" s="8"/>
      <c r="B172" s="9"/>
    </row>
    <row r="173" spans="1:2" ht="15.75" x14ac:dyDescent="0.3">
      <c r="A173" s="8"/>
      <c r="B173" s="9"/>
    </row>
    <row r="174" spans="1:2" ht="15.75" x14ac:dyDescent="0.3">
      <c r="A174" s="8"/>
      <c r="B174" s="9"/>
    </row>
    <row r="175" spans="1:2" ht="15.75" x14ac:dyDescent="0.3">
      <c r="A175" s="8"/>
      <c r="B175" s="9"/>
    </row>
    <row r="176" spans="1:2" ht="15.75" x14ac:dyDescent="0.3">
      <c r="A176" s="8"/>
      <c r="B176" s="9"/>
    </row>
    <row r="177" spans="1:2" ht="15.75" x14ac:dyDescent="0.3">
      <c r="A177" s="8"/>
      <c r="B177" s="9"/>
    </row>
    <row r="178" spans="1:2" ht="15.75" x14ac:dyDescent="0.3">
      <c r="A178" s="8"/>
      <c r="B178" s="9"/>
    </row>
    <row r="179" spans="1:2" ht="15.75" x14ac:dyDescent="0.3">
      <c r="A179" s="8"/>
      <c r="B179" s="9"/>
    </row>
    <row r="180" spans="1:2" ht="15.75" x14ac:dyDescent="0.3">
      <c r="A180" s="8"/>
      <c r="B180" s="9"/>
    </row>
    <row r="181" spans="1:2" ht="15.75" x14ac:dyDescent="0.3">
      <c r="A181" s="8"/>
      <c r="B181" s="9"/>
    </row>
    <row r="182" spans="1:2" ht="15.75" x14ac:dyDescent="0.3">
      <c r="A182" s="8"/>
      <c r="B182" s="9"/>
    </row>
  </sheetData>
  <sortState xmlns:xlrd2="http://schemas.microsoft.com/office/spreadsheetml/2017/richdata2" ref="B10:R21">
    <sortCondition descending="1" ref="D10:D21"/>
  </sortState>
  <mergeCells count="6">
    <mergeCell ref="A22:B22"/>
    <mergeCell ref="O8:R8"/>
    <mergeCell ref="K8:N8"/>
    <mergeCell ref="A8:A9"/>
    <mergeCell ref="C8:F8"/>
    <mergeCell ref="G8:J8"/>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D5B7-83D4-41C8-8CD0-F1050039B076}">
  <sheetPr>
    <tabColor theme="0" tint="-0.249977111117893"/>
  </sheetPr>
  <dimension ref="A1:R182"/>
  <sheetViews>
    <sheetView showGridLines="0" zoomScaleNormal="100" workbookViewId="0">
      <selection activeCell="H25" sqref="H25"/>
    </sheetView>
  </sheetViews>
  <sheetFormatPr baseColWidth="10" defaultRowHeight="15" x14ac:dyDescent="0.3"/>
  <cols>
    <col min="1" max="1" width="4.85546875" customWidth="1"/>
    <col min="2" max="2" width="27.42578125" customWidth="1"/>
    <col min="3" max="8" width="9.7109375" customWidth="1"/>
    <col min="9" max="9" width="14.85546875" customWidth="1"/>
    <col min="10" max="12" width="9.7109375" customWidth="1"/>
    <col min="13" max="13" width="10.85546875" customWidth="1"/>
    <col min="14" max="14" width="9.7109375" customWidth="1"/>
  </cols>
  <sheetData>
    <row r="1" spans="1:18" s="502" customFormat="1" x14ac:dyDescent="0.25">
      <c r="A1" s="494" t="s">
        <v>0</v>
      </c>
      <c r="B1" s="505"/>
      <c r="C1" s="505"/>
      <c r="D1" s="505"/>
      <c r="E1" s="505"/>
      <c r="F1" s="505"/>
      <c r="G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5.25" customHeight="1" x14ac:dyDescent="0.25">
      <c r="A5" s="497"/>
      <c r="B5" s="498"/>
      <c r="C5" s="498"/>
      <c r="D5" s="498"/>
      <c r="E5" s="498"/>
      <c r="F5" s="498"/>
      <c r="G5" s="498"/>
      <c r="H5" s="498"/>
      <c r="I5" s="498"/>
    </row>
    <row r="6" spans="1:18" s="502" customFormat="1" x14ac:dyDescent="0.25">
      <c r="A6" s="502" t="s">
        <v>356</v>
      </c>
      <c r="C6" s="501"/>
      <c r="D6" s="501"/>
      <c r="E6" s="501"/>
      <c r="F6" s="501"/>
      <c r="G6" s="501"/>
      <c r="H6" s="501"/>
      <c r="I6" s="501"/>
    </row>
    <row r="7" spans="1:18" ht="3" customHeight="1" x14ac:dyDescent="0.3">
      <c r="A7" s="111"/>
      <c r="B7" s="110"/>
      <c r="C7" s="110"/>
      <c r="D7" s="110"/>
      <c r="E7" s="110"/>
      <c r="F7" s="110"/>
      <c r="G7" s="110"/>
      <c r="H7" s="110"/>
      <c r="I7" s="110"/>
      <c r="J7" s="110"/>
      <c r="K7" s="108"/>
    </row>
    <row r="8" spans="1:18" ht="15" customHeight="1"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ht="15.75" x14ac:dyDescent="0.3">
      <c r="A10" s="173">
        <v>1</v>
      </c>
      <c r="B10" s="195" t="str">
        <f>'Primas Diciembre 2024'!$H11</f>
        <v>PALIC</v>
      </c>
      <c r="C10" s="181">
        <f>'Primas Diciembre 2024'!H55/1000</f>
        <v>338.91513043999998</v>
      </c>
      <c r="D10" s="181">
        <f>'Primas Diciembre 2025'!D55/1000</f>
        <v>379.40606413999996</v>
      </c>
      <c r="E10" s="176">
        <f t="shared" ref="E10:E22" si="0">IFERROR(F10/C10,0%)</f>
        <v>0.11947219248498056</v>
      </c>
      <c r="F10" s="175">
        <f t="shared" ref="F10:F21" si="1">IFERROR(D10-C10,0)</f>
        <v>40.490933699999971</v>
      </c>
      <c r="G10" s="183">
        <f>'Siniestros Diciembre 2024'!I55/1000</f>
        <v>71.618303949999998</v>
      </c>
      <c r="H10" s="183">
        <f>'Siniestros Diciembre  2025'!F55/1000</f>
        <v>85.010820710000004</v>
      </c>
      <c r="I10" s="176">
        <f t="shared" ref="I10:I22" si="2">IFERROR(J10/G10,0%)</f>
        <v>0.1869985188332571</v>
      </c>
      <c r="J10" s="175">
        <f t="shared" ref="J10:J21" si="3">IFERROR(H10-G10,0)</f>
        <v>13.392516760000007</v>
      </c>
      <c r="K10" s="155">
        <f t="shared" ref="K10:K22" si="4">IFERROR((G10/C10),0%)</f>
        <v>0.21131633709306755</v>
      </c>
      <c r="L10" s="155">
        <f t="shared" ref="L10:L22" si="5">IFERROR(H10/D10,0%)</f>
        <v>0.22406289394107104</v>
      </c>
      <c r="M10" s="155">
        <f t="shared" ref="M10:M22" si="6">IFERROR(N10/K10,0%)</f>
        <v>6.031978891622411E-2</v>
      </c>
      <c r="N10" s="177">
        <f t="shared" ref="N10:N22" si="7">L10-K10</f>
        <v>1.2746556848003493E-2</v>
      </c>
      <c r="O10" s="226">
        <f t="shared" ref="O10:O21" si="8">C10/$C$22</f>
        <v>0.37473656643455605</v>
      </c>
      <c r="P10" s="226">
        <f t="shared" ref="P10:P21" si="9">D10/$D$22</f>
        <v>0.39623666549039493</v>
      </c>
      <c r="Q10" s="176">
        <f t="shared" ref="Q10:Q21" si="10">IFERROR(R10/O10,0%)</f>
        <v>5.7373902046449099E-2</v>
      </c>
      <c r="R10" s="176">
        <f t="shared" ref="R10:R21" si="11">IFERROR(P10-O10,0)</f>
        <v>2.1500099055838884E-2</v>
      </c>
    </row>
    <row r="11" spans="1:18" ht="15.75" x14ac:dyDescent="0.3">
      <c r="A11" s="173">
        <v>2</v>
      </c>
      <c r="B11" s="180" t="str">
        <f>'Primas Diciembre 2024'!$G11</f>
        <v>SEGUROS DAVIVIENDA</v>
      </c>
      <c r="C11" s="181">
        <f>'Primas Diciembre 2024'!G55/1000</f>
        <v>312.35542277999997</v>
      </c>
      <c r="D11" s="181">
        <f>'Primas Diciembre 2025'!C55/1000</f>
        <v>311.54639813</v>
      </c>
      <c r="E11" s="182">
        <f t="shared" si="0"/>
        <v>-2.5900771717025269E-3</v>
      </c>
      <c r="F11" s="181">
        <f t="shared" si="1"/>
        <v>-0.80902464999996937</v>
      </c>
      <c r="G11" s="183">
        <f>'Siniestros Diciembre 2024'!G55/1000</f>
        <v>69.066040209999997</v>
      </c>
      <c r="H11" s="183">
        <f>'Siniestros Diciembre  2025'!D55/1000</f>
        <v>116.46894463</v>
      </c>
      <c r="I11" s="182">
        <f t="shared" si="2"/>
        <v>0.68634171404453248</v>
      </c>
      <c r="J11" s="181">
        <f t="shared" si="3"/>
        <v>47.402904419999999</v>
      </c>
      <c r="K11" s="158">
        <f t="shared" si="4"/>
        <v>0.22111362625083991</v>
      </c>
      <c r="L11" s="158">
        <f t="shared" si="5"/>
        <v>0.37384140959126289</v>
      </c>
      <c r="M11" s="158">
        <f t="shared" si="6"/>
        <v>0.69072081142191855</v>
      </c>
      <c r="N11" s="184">
        <f t="shared" si="7"/>
        <v>0.15272778334042297</v>
      </c>
      <c r="O11" s="226">
        <f t="shared" si="8"/>
        <v>0.34536964604627912</v>
      </c>
      <c r="P11" s="226">
        <f t="shared" si="9"/>
        <v>0.32536671816353174</v>
      </c>
      <c r="Q11" s="182">
        <f t="shared" si="10"/>
        <v>-5.7917446167423212E-2</v>
      </c>
      <c r="R11" s="176">
        <f t="shared" si="11"/>
        <v>-2.0002927882747379E-2</v>
      </c>
    </row>
    <row r="12" spans="1:18" s="350" customFormat="1" ht="15.75" x14ac:dyDescent="0.3">
      <c r="A12" s="28">
        <v>3</v>
      </c>
      <c r="B12" s="178" t="str">
        <f>'Primas Diciembre 2024'!$J11</f>
        <v>FICOHSA SEGUROS</v>
      </c>
      <c r="C12" s="175">
        <f>'Primas Diciembre 2024'!J55/1000</f>
        <v>92.220254029999992</v>
      </c>
      <c r="D12" s="175">
        <f>'Primas Diciembre 2025'!F55/1000</f>
        <v>97.773838439999992</v>
      </c>
      <c r="E12" s="176">
        <f t="shared" si="0"/>
        <v>6.02208752124384E-2</v>
      </c>
      <c r="F12" s="175">
        <f t="shared" si="1"/>
        <v>5.5535844099999991</v>
      </c>
      <c r="G12" s="365">
        <f>'Siniestros Diciembre 2024'!M55/1000</f>
        <v>24.11775334</v>
      </c>
      <c r="H12" s="365">
        <f>'Siniestros Diciembre  2025'!J55/1000</f>
        <v>23.054899030000001</v>
      </c>
      <c r="I12" s="176">
        <f t="shared" si="2"/>
        <v>-4.4069374747158711E-2</v>
      </c>
      <c r="J12" s="175">
        <f t="shared" si="3"/>
        <v>-1.0628543099999987</v>
      </c>
      <c r="K12" s="155">
        <f t="shared" si="4"/>
        <v>0.26152338869240482</v>
      </c>
      <c r="L12" s="155">
        <f t="shared" si="5"/>
        <v>0.23579824007981334</v>
      </c>
      <c r="M12" s="155">
        <f t="shared" si="6"/>
        <v>-9.8366531350083386E-2</v>
      </c>
      <c r="N12" s="177">
        <f t="shared" si="7"/>
        <v>-2.5725148612591481E-2</v>
      </c>
      <c r="O12" s="226">
        <f t="shared" si="8"/>
        <v>0.10196741970787514</v>
      </c>
      <c r="P12" s="226">
        <f t="shared" si="9"/>
        <v>0.10211112414209236</v>
      </c>
      <c r="Q12" s="176">
        <f t="shared" si="10"/>
        <v>1.4093171586465824E-3</v>
      </c>
      <c r="R12" s="176">
        <f t="shared" si="11"/>
        <v>1.4370443421722612E-4</v>
      </c>
    </row>
    <row r="13" spans="1:18" s="350" customFormat="1" ht="15.75" x14ac:dyDescent="0.3">
      <c r="A13" s="28">
        <v>4</v>
      </c>
      <c r="B13" s="178" t="str">
        <f>'Primas Diciembre 2024'!$K11</f>
        <v>SEGUROS CONTINENTAL</v>
      </c>
      <c r="C13" s="175">
        <f>'Primas Diciembre 2024'!K55/1000</f>
        <v>58.81442071</v>
      </c>
      <c r="D13" s="175">
        <f>'Primas Diciembre 2025'!G55/1000</f>
        <v>67.270820299999997</v>
      </c>
      <c r="E13" s="176">
        <f t="shared" si="0"/>
        <v>0.14378105722908507</v>
      </c>
      <c r="F13" s="175">
        <f t="shared" si="1"/>
        <v>8.4563995899999966</v>
      </c>
      <c r="G13" s="429">
        <f>'Siniestros Diciembre 2024'!O55/1000</f>
        <v>8.3966539999999998</v>
      </c>
      <c r="H13" s="429">
        <f>'Siniestros Diciembre  2025'!L55/1000</f>
        <v>19.961437750000002</v>
      </c>
      <c r="I13" s="176">
        <f t="shared" si="2"/>
        <v>1.3773085981630304</v>
      </c>
      <c r="J13" s="175">
        <f t="shared" si="3"/>
        <v>11.564783750000002</v>
      </c>
      <c r="K13" s="155">
        <f t="shared" si="4"/>
        <v>0.14276522489955168</v>
      </c>
      <c r="L13" s="155">
        <f t="shared" si="5"/>
        <v>0.29673248610586667</v>
      </c>
      <c r="M13" s="155">
        <f t="shared" si="6"/>
        <v>1.0784647403780925</v>
      </c>
      <c r="N13" s="177">
        <f t="shared" si="7"/>
        <v>0.15396726120631499</v>
      </c>
      <c r="O13" s="226">
        <f t="shared" si="8"/>
        <v>6.5030776422077427E-2</v>
      </c>
      <c r="P13" s="226">
        <f t="shared" si="9"/>
        <v>7.0254980190933042E-2</v>
      </c>
      <c r="Q13" s="176">
        <f t="shared" si="10"/>
        <v>8.0334328702279481E-2</v>
      </c>
      <c r="R13" s="176">
        <f t="shared" si="11"/>
        <v>5.2242037688556148E-3</v>
      </c>
    </row>
    <row r="14" spans="1:18" ht="15.75" x14ac:dyDescent="0.3">
      <c r="A14" s="173">
        <v>5</v>
      </c>
      <c r="B14" s="178" t="str">
        <f>'Primas Diciembre 2024'!$I11</f>
        <v>MAPFRE SEGUROS</v>
      </c>
      <c r="C14" s="175">
        <f>'Primas Diciembre 2024'!I55/1000</f>
        <v>43.653249179999996</v>
      </c>
      <c r="D14" s="175">
        <f>'Primas Diciembre 2025'!E55/1000</f>
        <v>41.581409619999995</v>
      </c>
      <c r="E14" s="176">
        <f t="shared" si="0"/>
        <v>-4.7461290944391533E-2</v>
      </c>
      <c r="F14" s="175">
        <f t="shared" si="1"/>
        <v>-2.0718395600000008</v>
      </c>
      <c r="G14" s="365">
        <f>'Siniestros Diciembre 2024'!K55/1000</f>
        <v>10.273022300000001</v>
      </c>
      <c r="H14" s="365">
        <f>'Siniestros Diciembre  2025'!H55/1000</f>
        <v>16.269290179999999</v>
      </c>
      <c r="I14" s="176">
        <f t="shared" si="2"/>
        <v>0.58369072945553691</v>
      </c>
      <c r="J14" s="175">
        <f t="shared" si="3"/>
        <v>5.9962678799999978</v>
      </c>
      <c r="K14" s="155">
        <f t="shared" si="4"/>
        <v>0.23533236340873909</v>
      </c>
      <c r="L14" s="155">
        <f t="shared" si="5"/>
        <v>0.39126355572550697</v>
      </c>
      <c r="M14" s="155">
        <f t="shared" si="6"/>
        <v>0.66259986539096372</v>
      </c>
      <c r="N14" s="177">
        <f t="shared" si="7"/>
        <v>0.15593119231676789</v>
      </c>
      <c r="O14" s="226">
        <f t="shared" si="8"/>
        <v>4.8267153756717064E-2</v>
      </c>
      <c r="P14" s="226">
        <f t="shared" si="9"/>
        <v>4.34259772087865E-2</v>
      </c>
      <c r="Q14" s="176">
        <f t="shared" si="10"/>
        <v>-0.10029960689896379</v>
      </c>
      <c r="R14" s="176">
        <f t="shared" si="11"/>
        <v>-4.8411765479305646E-3</v>
      </c>
    </row>
    <row r="15" spans="1:18" ht="15.75" x14ac:dyDescent="0.3">
      <c r="A15" s="173">
        <v>6</v>
      </c>
      <c r="B15" s="178" t="str">
        <f>'Primas Diciembre 2024'!$O11</f>
        <v>SEGUROS DEL PAÍS</v>
      </c>
      <c r="C15" s="175">
        <f>'Primas Diciembre 2024'!O55/1000</f>
        <v>19.450307550000002</v>
      </c>
      <c r="D15" s="175">
        <f>'Primas Diciembre 2025'!K55/1000</f>
        <v>20.06330814</v>
      </c>
      <c r="E15" s="176">
        <f t="shared" si="0"/>
        <v>3.1516241500253221E-2</v>
      </c>
      <c r="F15" s="175">
        <f t="shared" si="1"/>
        <v>0.61300058999999862</v>
      </c>
      <c r="G15" s="365">
        <f>'Siniestros Diciembre 2024'!W55/1000</f>
        <v>5.7660791300000005</v>
      </c>
      <c r="H15" s="365">
        <f>'Siniestros Diciembre  2025'!T55/1000</f>
        <v>6.4556599200000004</v>
      </c>
      <c r="I15" s="176">
        <f t="shared" si="2"/>
        <v>0.11959266851060366</v>
      </c>
      <c r="J15" s="175">
        <f t="shared" si="3"/>
        <v>0.68958078999999994</v>
      </c>
      <c r="K15" s="155">
        <f t="shared" si="4"/>
        <v>0.29645182294302591</v>
      </c>
      <c r="L15" s="155">
        <f t="shared" si="5"/>
        <v>0.32176448046119677</v>
      </c>
      <c r="M15" s="155">
        <f t="shared" si="6"/>
        <v>8.5385400119585744E-2</v>
      </c>
      <c r="N15" s="177">
        <f t="shared" si="7"/>
        <v>2.5312657518170856E-2</v>
      </c>
      <c r="O15" s="226">
        <f t="shared" si="8"/>
        <v>2.1506096402130057E-2</v>
      </c>
      <c r="P15" s="226">
        <f t="shared" si="9"/>
        <v>2.095332433370499E-2</v>
      </c>
      <c r="Q15" s="176">
        <f t="shared" si="10"/>
        <v>-2.5703040574593477E-2</v>
      </c>
      <c r="R15" s="176">
        <f t="shared" si="11"/>
        <v>-5.5277206842506768E-4</v>
      </c>
    </row>
    <row r="16" spans="1:18" ht="15.75" x14ac:dyDescent="0.3">
      <c r="A16" s="173">
        <v>7</v>
      </c>
      <c r="B16" s="180" t="str">
        <f>'Primas Diciembre 2024'!$L11</f>
        <v>SEGUROS ATLÁNTIDA</v>
      </c>
      <c r="C16" s="181">
        <f>'Primas Diciembre 2024'!L55/1000</f>
        <v>16.370249350000002</v>
      </c>
      <c r="D16" s="181">
        <f>'Primas Diciembre 2025'!H55/1000</f>
        <v>17.343844399999998</v>
      </c>
      <c r="E16" s="182">
        <f t="shared" si="0"/>
        <v>5.9473440458009667E-2</v>
      </c>
      <c r="F16" s="181">
        <f t="shared" si="1"/>
        <v>0.97359504999999658</v>
      </c>
      <c r="G16" s="183">
        <f>'Siniestros Diciembre 2024'!Q55/1000</f>
        <v>6.7853399999999997</v>
      </c>
      <c r="H16" s="183">
        <f>'Siniestros Diciembre  2025'!N55/1000</f>
        <v>2.6063984999999996</v>
      </c>
      <c r="I16" s="182">
        <f t="shared" si="2"/>
        <v>-0.61587798105916591</v>
      </c>
      <c r="J16" s="181">
        <f t="shared" si="3"/>
        <v>-4.1789415000000005</v>
      </c>
      <c r="K16" s="158">
        <f t="shared" si="4"/>
        <v>0.41449215921686611</v>
      </c>
      <c r="L16" s="158">
        <f t="shared" si="5"/>
        <v>0.1502780144867997</v>
      </c>
      <c r="M16" s="158">
        <f t="shared" si="6"/>
        <v>-0.6374406339296449</v>
      </c>
      <c r="N16" s="184">
        <f t="shared" si="7"/>
        <v>-0.26421414473006644</v>
      </c>
      <c r="O16" s="226">
        <f t="shared" si="8"/>
        <v>1.810049325662241E-2</v>
      </c>
      <c r="P16" s="226">
        <f t="shared" si="9"/>
        <v>1.8113224118907093E-2</v>
      </c>
      <c r="Q16" s="182">
        <f t="shared" si="10"/>
        <v>7.0334338982866072E-4</v>
      </c>
      <c r="R16" s="176">
        <f t="shared" si="11"/>
        <v>1.2730862284683619E-5</v>
      </c>
    </row>
    <row r="17" spans="1:18" s="350" customFormat="1" ht="15.75" x14ac:dyDescent="0.3">
      <c r="A17" s="28">
        <v>8</v>
      </c>
      <c r="B17" s="180" t="str">
        <f>'Primas Diciembre 2024'!$P11</f>
        <v>SEGUROS LAFISE</v>
      </c>
      <c r="C17" s="181">
        <f>'Primas Diciembre 2024'!P55/1000</f>
        <v>17.873667960000002</v>
      </c>
      <c r="D17" s="181">
        <f>'Primas Diciembre 2025'!L55/1000</f>
        <v>17.279997099999996</v>
      </c>
      <c r="E17" s="182">
        <f t="shared" si="0"/>
        <v>-3.3214830964108759E-2</v>
      </c>
      <c r="F17" s="181">
        <f t="shared" si="1"/>
        <v>-0.59367086000000668</v>
      </c>
      <c r="G17" s="183">
        <f>'Siniestros Diciembre 2024'!Y55/1000</f>
        <v>0.6</v>
      </c>
      <c r="H17" s="183">
        <f>'Siniestros Diciembre  2025'!V55/1000</f>
        <v>2.5249999999999999</v>
      </c>
      <c r="I17" s="182">
        <f t="shared" si="2"/>
        <v>3.208333333333333</v>
      </c>
      <c r="J17" s="181">
        <f t="shared" si="3"/>
        <v>1.9249999999999998</v>
      </c>
      <c r="K17" s="158">
        <f t="shared" si="4"/>
        <v>3.3568935114088351E-2</v>
      </c>
      <c r="L17" s="158">
        <f t="shared" si="5"/>
        <v>0.14612270970809368</v>
      </c>
      <c r="M17" s="158">
        <f t="shared" si="6"/>
        <v>3.3529146578965592</v>
      </c>
      <c r="N17" s="184">
        <f t="shared" si="7"/>
        <v>0.11255377459400534</v>
      </c>
      <c r="O17" s="226">
        <f t="shared" si="8"/>
        <v>1.9762814815101643E-2</v>
      </c>
      <c r="P17" s="226">
        <f t="shared" si="9"/>
        <v>1.8046544527715237E-2</v>
      </c>
      <c r="Q17" s="182">
        <f t="shared" si="10"/>
        <v>-8.6843412916814217E-2</v>
      </c>
      <c r="R17" s="182">
        <f t="shared" si="11"/>
        <v>-1.7162702873864052E-3</v>
      </c>
    </row>
    <row r="18" spans="1:18" ht="15.75" x14ac:dyDescent="0.3">
      <c r="A18" s="173">
        <v>9</v>
      </c>
      <c r="B18" s="178" t="str">
        <f>'Primas Diciembre 2024'!$M11</f>
        <v>CREFISA</v>
      </c>
      <c r="C18" s="175">
        <f>'Primas Diciembre 2024'!M55/1000</f>
        <v>3.1895240500000002</v>
      </c>
      <c r="D18" s="175">
        <f>'Primas Diciembre 2025'!I55/1000</f>
        <v>3.0334318399999995</v>
      </c>
      <c r="E18" s="176">
        <f t="shared" si="0"/>
        <v>-4.8939029006538015E-2</v>
      </c>
      <c r="F18" s="175">
        <f t="shared" si="1"/>
        <v>-0.15609221000000062</v>
      </c>
      <c r="G18" s="365">
        <f>'Siniestros Diciembre 2024'!S55/1000</f>
        <v>0</v>
      </c>
      <c r="H18" s="365">
        <f>'Siniestros Diciembre  2025'!P55/1000</f>
        <v>0</v>
      </c>
      <c r="I18" s="176">
        <f t="shared" si="2"/>
        <v>0</v>
      </c>
      <c r="J18" s="175">
        <f t="shared" si="3"/>
        <v>0</v>
      </c>
      <c r="K18" s="155">
        <f t="shared" si="4"/>
        <v>0</v>
      </c>
      <c r="L18" s="155">
        <f t="shared" si="5"/>
        <v>0</v>
      </c>
      <c r="M18" s="155">
        <f t="shared" si="6"/>
        <v>0</v>
      </c>
      <c r="N18" s="177">
        <f t="shared" si="7"/>
        <v>0</v>
      </c>
      <c r="O18" s="226">
        <f t="shared" si="8"/>
        <v>3.5266389243399027E-3</v>
      </c>
      <c r="P18" s="226">
        <f t="shared" si="9"/>
        <v>3.1679960624732494E-3</v>
      </c>
      <c r="Q18" s="176">
        <f t="shared" si="10"/>
        <v>-0.10169537328911044</v>
      </c>
      <c r="R18" s="176">
        <f t="shared" si="11"/>
        <v>-3.5864286186665329E-4</v>
      </c>
    </row>
    <row r="19" spans="1:18" s="350" customFormat="1" ht="15.75" x14ac:dyDescent="0.3">
      <c r="A19" s="28">
        <v>10</v>
      </c>
      <c r="B19" s="180" t="str">
        <f>'Primas Diciembre 2024'!$Q11</f>
        <v>ASEGURADORA RURAL</v>
      </c>
      <c r="C19" s="181">
        <f>'Primas Diciembre 2024'!Q55/1000</f>
        <v>1.5667929700000001</v>
      </c>
      <c r="D19" s="181">
        <f>'Primas Diciembre 2025'!M55/1000</f>
        <v>2.2247547700000001</v>
      </c>
      <c r="E19" s="182">
        <f t="shared" si="0"/>
        <v>0.41994176167384772</v>
      </c>
      <c r="F19" s="181">
        <f t="shared" si="1"/>
        <v>0.65796180000000004</v>
      </c>
      <c r="G19" s="183">
        <f>'Siniestros Diciembre 2024'!AA55/1000</f>
        <v>0</v>
      </c>
      <c r="H19" s="183">
        <f>'Siniestros Diciembre  2025'!X55/1000</f>
        <v>0</v>
      </c>
      <c r="I19" s="182">
        <f t="shared" si="2"/>
        <v>0</v>
      </c>
      <c r="J19" s="181">
        <f t="shared" si="3"/>
        <v>0</v>
      </c>
      <c r="K19" s="158">
        <f t="shared" si="4"/>
        <v>0</v>
      </c>
      <c r="L19" s="158">
        <f t="shared" si="5"/>
        <v>0</v>
      </c>
      <c r="M19" s="158">
        <f t="shared" si="6"/>
        <v>0</v>
      </c>
      <c r="N19" s="184">
        <f t="shared" si="7"/>
        <v>0</v>
      </c>
      <c r="O19" s="226">
        <f t="shared" si="8"/>
        <v>1.7323942343009206E-3</v>
      </c>
      <c r="P19" s="226">
        <f t="shared" si="9"/>
        <v>2.3234457614609138E-3</v>
      </c>
      <c r="Q19" s="182">
        <f t="shared" si="10"/>
        <v>0.34117611075893606</v>
      </c>
      <c r="R19" s="182">
        <f t="shared" si="11"/>
        <v>5.9105152715999316E-4</v>
      </c>
    </row>
    <row r="20" spans="1:18" s="350" customFormat="1" ht="14.45" customHeight="1" x14ac:dyDescent="0.3">
      <c r="A20" s="28">
        <v>11</v>
      </c>
      <c r="B20" s="180" t="str">
        <f>'Primas Diciembre 2024'!$N11</f>
        <v>SEGUROS EQUIDAD</v>
      </c>
      <c r="C20" s="181">
        <f>'Primas Diciembre 2024'!N55/1000</f>
        <v>0</v>
      </c>
      <c r="D20" s="181">
        <f>'Primas Diciembre 2025'!J55/1000</f>
        <v>0</v>
      </c>
      <c r="E20" s="182">
        <f t="shared" si="0"/>
        <v>0</v>
      </c>
      <c r="F20" s="181">
        <f t="shared" si="1"/>
        <v>0</v>
      </c>
      <c r="G20" s="183">
        <f>'Siniestros Diciembre 2024'!U55/1000</f>
        <v>0</v>
      </c>
      <c r="H20" s="183">
        <f>'Siniestros Diciembre  2025'!H80/1000</f>
        <v>0</v>
      </c>
      <c r="I20" s="182">
        <f t="shared" si="2"/>
        <v>0</v>
      </c>
      <c r="J20" s="181">
        <f t="shared" si="3"/>
        <v>0</v>
      </c>
      <c r="K20" s="158">
        <f t="shared" si="4"/>
        <v>0</v>
      </c>
      <c r="L20" s="158">
        <f t="shared" si="5"/>
        <v>0</v>
      </c>
      <c r="M20" s="158">
        <f t="shared" si="6"/>
        <v>0</v>
      </c>
      <c r="N20" s="184">
        <f t="shared" si="7"/>
        <v>0</v>
      </c>
      <c r="O20" s="226">
        <f t="shared" si="8"/>
        <v>0</v>
      </c>
      <c r="P20" s="226">
        <f t="shared" si="9"/>
        <v>0</v>
      </c>
      <c r="Q20" s="182">
        <f t="shared" si="10"/>
        <v>0</v>
      </c>
      <c r="R20" s="182">
        <f t="shared" si="11"/>
        <v>0</v>
      </c>
    </row>
    <row r="21" spans="1:18" ht="15.75" x14ac:dyDescent="0.3">
      <c r="A21" s="173">
        <v>12</v>
      </c>
      <c r="B21" s="178" t="str">
        <f>'Primas Diciembre 2024'!$R11</f>
        <v>ASSA CIA. DE SEGUROS</v>
      </c>
      <c r="C21" s="175">
        <f>'Primas Diciembre 2024'!R55/1000</f>
        <v>0</v>
      </c>
      <c r="D21" s="175">
        <f>'Primas Diciembre 2025'!N55/1000</f>
        <v>0</v>
      </c>
      <c r="E21" s="176">
        <f t="shared" si="0"/>
        <v>0</v>
      </c>
      <c r="F21" s="175">
        <f t="shared" si="1"/>
        <v>0</v>
      </c>
      <c r="G21" s="365">
        <f>'Siniestros Diciembre 2024'!AC55/1000</f>
        <v>0</v>
      </c>
      <c r="H21" s="365">
        <f>'Siniestros Diciembre  2025'!Z55/1000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904.40901902000019</v>
      </c>
      <c r="D22" s="185">
        <f>SUM(D10:D21)</f>
        <v>957.5238668799999</v>
      </c>
      <c r="E22" s="186">
        <f t="shared" si="0"/>
        <v>5.8728790561546937E-2</v>
      </c>
      <c r="F22" s="185">
        <f>D22-C22</f>
        <v>53.114847859999713</v>
      </c>
      <c r="G22" s="187">
        <f>SUM(G10:G21)</f>
        <v>196.62319293000002</v>
      </c>
      <c r="H22" s="187">
        <f>SUM(H10:H21)</f>
        <v>272.35245071999998</v>
      </c>
      <c r="I22" s="188">
        <f t="shared" si="2"/>
        <v>0.38514916099933538</v>
      </c>
      <c r="J22" s="189">
        <f>H22-G22</f>
        <v>75.729257789999963</v>
      </c>
      <c r="K22" s="190">
        <f t="shared" si="4"/>
        <v>0.21740516601996854</v>
      </c>
      <c r="L22" s="190">
        <f t="shared" si="5"/>
        <v>0.28443411192186202</v>
      </c>
      <c r="M22" s="190">
        <f t="shared" si="6"/>
        <v>0.30831349194221497</v>
      </c>
      <c r="N22" s="190">
        <f t="shared" si="7"/>
        <v>6.7028945901893483E-2</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8.9287905615469398E-3</v>
      </c>
    </row>
    <row r="26" spans="1:18" ht="15.75" x14ac:dyDescent="0.3">
      <c r="A26" s="8"/>
      <c r="B26" s="9"/>
    </row>
    <row r="27" spans="1:18" ht="15.75" x14ac:dyDescent="0.3">
      <c r="A27" s="8"/>
      <c r="B27" s="9"/>
    </row>
    <row r="28" spans="1:18" ht="15.75" x14ac:dyDescent="0.3">
      <c r="A28" s="8"/>
      <c r="B28" s="9"/>
    </row>
    <row r="29" spans="1:18" ht="15.75" x14ac:dyDescent="0.3">
      <c r="A29" s="8"/>
      <c r="B29" s="9"/>
    </row>
    <row r="30" spans="1:18" ht="15.75" x14ac:dyDescent="0.3">
      <c r="A30" s="8"/>
      <c r="B30" s="9"/>
    </row>
    <row r="31" spans="1:18" ht="15.75" x14ac:dyDescent="0.3">
      <c r="A31" s="8"/>
      <c r="B31" s="9"/>
    </row>
    <row r="32" spans="1:18" ht="15.75" x14ac:dyDescent="0.3">
      <c r="A32" s="8"/>
      <c r="B32" s="9"/>
    </row>
    <row r="33" spans="1:2" ht="15.75" x14ac:dyDescent="0.3">
      <c r="A33" s="8"/>
      <c r="B33" s="9"/>
    </row>
    <row r="34" spans="1:2" ht="15.75" x14ac:dyDescent="0.3">
      <c r="A34" s="8"/>
      <c r="B34" s="9"/>
    </row>
    <row r="35" spans="1:2" ht="15.75" x14ac:dyDescent="0.3">
      <c r="A35" s="8"/>
      <c r="B35" s="9"/>
    </row>
    <row r="36" spans="1:2" ht="15.75" x14ac:dyDescent="0.3">
      <c r="A36" s="8"/>
      <c r="B36" s="9"/>
    </row>
    <row r="37" spans="1:2" ht="15.75" x14ac:dyDescent="0.3">
      <c r="A37" s="8"/>
      <c r="B37" s="9"/>
    </row>
    <row r="38" spans="1:2" ht="15.75" x14ac:dyDescent="0.3">
      <c r="A38" s="8"/>
      <c r="B38" s="9"/>
    </row>
    <row r="39" spans="1:2" ht="15.75" x14ac:dyDescent="0.3">
      <c r="A39" s="8"/>
      <c r="B39" s="9"/>
    </row>
    <row r="40" spans="1:2" ht="15.75" x14ac:dyDescent="0.3">
      <c r="A40" s="8"/>
      <c r="B40" s="9"/>
    </row>
    <row r="41" spans="1:2" ht="15.75" x14ac:dyDescent="0.3">
      <c r="A41" s="8"/>
      <c r="B41" s="9"/>
    </row>
    <row r="42" spans="1:2" ht="15.75" x14ac:dyDescent="0.3">
      <c r="A42" s="8"/>
      <c r="B42" s="9"/>
    </row>
    <row r="43" spans="1:2" ht="15.75" x14ac:dyDescent="0.3">
      <c r="A43" s="8"/>
      <c r="B43" s="9"/>
    </row>
    <row r="44" spans="1:2" ht="15.75" x14ac:dyDescent="0.3">
      <c r="A44" s="8"/>
      <c r="B44" s="9"/>
    </row>
    <row r="45" spans="1:2" ht="15.75" x14ac:dyDescent="0.3">
      <c r="A45" s="8"/>
      <c r="B45" s="9"/>
    </row>
    <row r="46" spans="1:2" ht="15.75" x14ac:dyDescent="0.3">
      <c r="A46" s="8"/>
      <c r="B46" s="9"/>
    </row>
    <row r="47" spans="1:2" ht="15.75" x14ac:dyDescent="0.3">
      <c r="A47" s="8"/>
      <c r="B47" s="9"/>
    </row>
    <row r="48" spans="1:2" ht="15.75" x14ac:dyDescent="0.3">
      <c r="A48" s="8"/>
      <c r="B48" s="9"/>
    </row>
    <row r="49" spans="1:2" ht="15.75" x14ac:dyDescent="0.3">
      <c r="A49" s="8"/>
      <c r="B49" s="9"/>
    </row>
    <row r="50" spans="1:2" ht="15.75" x14ac:dyDescent="0.3">
      <c r="A50" s="8"/>
      <c r="B50" s="9"/>
    </row>
    <row r="51" spans="1:2" ht="15.75" x14ac:dyDescent="0.3">
      <c r="A51" s="8"/>
      <c r="B51" s="9"/>
    </row>
    <row r="52" spans="1:2" ht="15.75" x14ac:dyDescent="0.3">
      <c r="A52" s="8"/>
      <c r="B52" s="9"/>
    </row>
    <row r="53" spans="1:2" ht="15.75" x14ac:dyDescent="0.3">
      <c r="A53" s="8"/>
      <c r="B53" s="9"/>
    </row>
    <row r="54" spans="1:2" ht="15.75" x14ac:dyDescent="0.3">
      <c r="A54" s="8"/>
      <c r="B54" s="9"/>
    </row>
    <row r="55" spans="1:2" ht="15.75" x14ac:dyDescent="0.3">
      <c r="A55" s="8"/>
      <c r="B55" s="9"/>
    </row>
    <row r="56" spans="1:2" ht="15.75" x14ac:dyDescent="0.3">
      <c r="A56" s="8"/>
      <c r="B56" s="9"/>
    </row>
    <row r="57" spans="1:2" ht="15.75" x14ac:dyDescent="0.3">
      <c r="A57" s="8"/>
      <c r="B57" s="9"/>
    </row>
    <row r="58" spans="1:2" ht="15.75" x14ac:dyDescent="0.3">
      <c r="A58" s="8"/>
      <c r="B58" s="9"/>
    </row>
    <row r="59" spans="1:2" ht="15.75" x14ac:dyDescent="0.3">
      <c r="A59" s="8"/>
      <c r="B59" s="9"/>
    </row>
    <row r="60" spans="1:2" ht="15.75" x14ac:dyDescent="0.3">
      <c r="A60" s="8"/>
      <c r="B60" s="9"/>
    </row>
    <row r="61" spans="1:2" ht="15.75" x14ac:dyDescent="0.3">
      <c r="A61" s="8"/>
      <c r="B61" s="9"/>
    </row>
    <row r="62" spans="1:2" ht="15.75" x14ac:dyDescent="0.3">
      <c r="A62" s="8"/>
      <c r="B62" s="9"/>
    </row>
    <row r="63" spans="1:2" ht="15.75" x14ac:dyDescent="0.3">
      <c r="A63" s="8"/>
      <c r="B63" s="9"/>
    </row>
    <row r="64" spans="1:2" ht="15.75" x14ac:dyDescent="0.3">
      <c r="A64" s="8"/>
      <c r="B64" s="9"/>
    </row>
    <row r="65" spans="1:2" ht="15.75" x14ac:dyDescent="0.3">
      <c r="A65" s="8"/>
      <c r="B65" s="9"/>
    </row>
    <row r="66" spans="1:2" ht="15.75" x14ac:dyDescent="0.3">
      <c r="A66" s="8"/>
      <c r="B66" s="9"/>
    </row>
    <row r="67" spans="1:2" ht="15.75" x14ac:dyDescent="0.3">
      <c r="A67" s="8"/>
      <c r="B67" s="9"/>
    </row>
    <row r="68" spans="1:2" ht="15.75" x14ac:dyDescent="0.3">
      <c r="A68" s="8"/>
      <c r="B68" s="9"/>
    </row>
    <row r="69" spans="1:2" ht="15.75" x14ac:dyDescent="0.3">
      <c r="A69" s="8"/>
      <c r="B69" s="9"/>
    </row>
    <row r="70" spans="1:2" ht="15.75" x14ac:dyDescent="0.3">
      <c r="A70" s="8"/>
      <c r="B70" s="9"/>
    </row>
    <row r="71" spans="1:2" ht="15.75" x14ac:dyDescent="0.3">
      <c r="A71" s="8"/>
      <c r="B71" s="9"/>
    </row>
    <row r="72" spans="1:2" ht="15.75" x14ac:dyDescent="0.3">
      <c r="A72" s="8"/>
      <c r="B72" s="9"/>
    </row>
    <row r="73" spans="1:2" ht="15.75" x14ac:dyDescent="0.3">
      <c r="A73" s="8"/>
      <c r="B73" s="9"/>
    </row>
    <row r="74" spans="1:2" ht="15.75" x14ac:dyDescent="0.3">
      <c r="A74" s="8"/>
      <c r="B74" s="9"/>
    </row>
    <row r="75" spans="1:2" ht="15.75" x14ac:dyDescent="0.3">
      <c r="A75" s="8"/>
      <c r="B75" s="9"/>
    </row>
    <row r="76" spans="1:2" ht="15.75" x14ac:dyDescent="0.3">
      <c r="A76" s="8"/>
      <c r="B76" s="9"/>
    </row>
    <row r="77" spans="1:2" ht="15.75" x14ac:dyDescent="0.3">
      <c r="A77" s="8"/>
      <c r="B77" s="9"/>
    </row>
    <row r="78" spans="1:2" ht="15.75" x14ac:dyDescent="0.3">
      <c r="A78" s="8"/>
      <c r="B78" s="9"/>
    </row>
    <row r="79" spans="1:2" ht="15.75" x14ac:dyDescent="0.3">
      <c r="A79" s="8"/>
      <c r="B79" s="9"/>
    </row>
    <row r="80" spans="1:2" ht="15.75" x14ac:dyDescent="0.3">
      <c r="A80" s="8"/>
      <c r="B80" s="9"/>
    </row>
    <row r="81" spans="1:2" ht="15.75" x14ac:dyDescent="0.3">
      <c r="A81" s="8"/>
      <c r="B81" s="9"/>
    </row>
    <row r="82" spans="1:2" ht="15.75" x14ac:dyDescent="0.3">
      <c r="A82" s="8"/>
      <c r="B82" s="9"/>
    </row>
    <row r="83" spans="1:2" ht="15.75" x14ac:dyDescent="0.3">
      <c r="A83" s="8"/>
      <c r="B83" s="9"/>
    </row>
    <row r="84" spans="1:2" ht="15.75" x14ac:dyDescent="0.3">
      <c r="A84" s="8"/>
      <c r="B84" s="9"/>
    </row>
    <row r="85" spans="1:2" ht="15.75" x14ac:dyDescent="0.3">
      <c r="A85" s="8"/>
      <c r="B85" s="9"/>
    </row>
    <row r="86" spans="1:2" ht="15.75" x14ac:dyDescent="0.3">
      <c r="A86" s="8"/>
      <c r="B86" s="9"/>
    </row>
    <row r="87" spans="1:2" ht="15.75" x14ac:dyDescent="0.3">
      <c r="A87" s="8"/>
      <c r="B87" s="9"/>
    </row>
    <row r="88" spans="1:2" ht="15.75" x14ac:dyDescent="0.3">
      <c r="A88" s="8"/>
      <c r="B88" s="9"/>
    </row>
    <row r="89" spans="1:2" ht="15.75" x14ac:dyDescent="0.3">
      <c r="A89" s="8"/>
      <c r="B89" s="9"/>
    </row>
    <row r="90" spans="1:2" ht="15.75" x14ac:dyDescent="0.3">
      <c r="A90" s="8"/>
      <c r="B90" s="9"/>
    </row>
    <row r="91" spans="1:2" ht="15.75" x14ac:dyDescent="0.3">
      <c r="A91" s="8"/>
      <c r="B91" s="9"/>
    </row>
    <row r="92" spans="1:2" ht="15.75" x14ac:dyDescent="0.3">
      <c r="A92" s="8"/>
      <c r="B92" s="9"/>
    </row>
    <row r="93" spans="1:2" ht="15.75" x14ac:dyDescent="0.3">
      <c r="A93" s="8"/>
      <c r="B93" s="9"/>
    </row>
    <row r="94" spans="1:2" ht="15.75" x14ac:dyDescent="0.3">
      <c r="A94" s="8"/>
      <c r="B94" s="9"/>
    </row>
    <row r="95" spans="1:2" ht="15.75" x14ac:dyDescent="0.3">
      <c r="A95" s="8"/>
      <c r="B95" s="9"/>
    </row>
    <row r="96" spans="1:2" ht="15.75" x14ac:dyDescent="0.3">
      <c r="A96" s="8"/>
      <c r="B96" s="9"/>
    </row>
    <row r="97" spans="1:2" ht="15.75" x14ac:dyDescent="0.3">
      <c r="A97" s="8"/>
      <c r="B97" s="9"/>
    </row>
    <row r="98" spans="1:2" ht="15.75" x14ac:dyDescent="0.3">
      <c r="A98" s="8"/>
      <c r="B98" s="9"/>
    </row>
    <row r="99" spans="1:2" ht="15.75" x14ac:dyDescent="0.3">
      <c r="A99" s="8"/>
      <c r="B99" s="9"/>
    </row>
    <row r="100" spans="1:2" ht="15.75" x14ac:dyDescent="0.3">
      <c r="A100" s="8"/>
      <c r="B100" s="9"/>
    </row>
    <row r="101" spans="1:2" ht="15.75" x14ac:dyDescent="0.3">
      <c r="A101" s="8"/>
      <c r="B101" s="9"/>
    </row>
    <row r="102" spans="1:2" ht="15.75" x14ac:dyDescent="0.3">
      <c r="A102" s="8"/>
      <c r="B102" s="9"/>
    </row>
    <row r="103" spans="1:2" ht="15.75" x14ac:dyDescent="0.3">
      <c r="A103" s="8"/>
      <c r="B103" s="9"/>
    </row>
    <row r="104" spans="1:2" ht="15.75" x14ac:dyDescent="0.3">
      <c r="A104" s="8"/>
      <c r="B104" s="9"/>
    </row>
    <row r="105" spans="1:2" ht="15.75" x14ac:dyDescent="0.3">
      <c r="A105" s="8"/>
      <c r="B105" s="9"/>
    </row>
    <row r="106" spans="1:2" ht="15.75" x14ac:dyDescent="0.3">
      <c r="A106" s="8"/>
      <c r="B106" s="9"/>
    </row>
    <row r="107" spans="1:2" ht="15.75" x14ac:dyDescent="0.3">
      <c r="A107" s="8"/>
      <c r="B107" s="9"/>
    </row>
    <row r="108" spans="1:2" ht="15.75" x14ac:dyDescent="0.3">
      <c r="A108" s="8"/>
      <c r="B108" s="9"/>
    </row>
    <row r="109" spans="1:2" ht="15.75" x14ac:dyDescent="0.3">
      <c r="A109" s="8"/>
      <c r="B109" s="9"/>
    </row>
    <row r="110" spans="1:2" ht="15.75" x14ac:dyDescent="0.3">
      <c r="A110" s="8"/>
      <c r="B110" s="9"/>
    </row>
    <row r="111" spans="1:2" ht="15.75" x14ac:dyDescent="0.3">
      <c r="A111" s="8"/>
      <c r="B111" s="9"/>
    </row>
    <row r="112" spans="1:2" ht="15.75" x14ac:dyDescent="0.3">
      <c r="A112" s="8"/>
      <c r="B112" s="9"/>
    </row>
    <row r="113" spans="1:2" ht="15.75" x14ac:dyDescent="0.3">
      <c r="A113" s="8"/>
      <c r="B113" s="9"/>
    </row>
    <row r="114" spans="1:2" ht="15.75" x14ac:dyDescent="0.3">
      <c r="A114" s="8"/>
      <c r="B114" s="9"/>
    </row>
    <row r="115" spans="1:2" ht="15.75" x14ac:dyDescent="0.3">
      <c r="A115" s="8"/>
      <c r="B115" s="9"/>
    </row>
    <row r="116" spans="1:2" ht="15.75" x14ac:dyDescent="0.3">
      <c r="A116" s="8"/>
      <c r="B116" s="9"/>
    </row>
    <row r="117" spans="1:2" ht="15.75" x14ac:dyDescent="0.3">
      <c r="A117" s="8"/>
      <c r="B117" s="9"/>
    </row>
    <row r="118" spans="1:2" ht="15.75" x14ac:dyDescent="0.3">
      <c r="A118" s="8"/>
      <c r="B118" s="9"/>
    </row>
    <row r="119" spans="1:2" ht="15.75" x14ac:dyDescent="0.3">
      <c r="A119" s="8"/>
      <c r="B119" s="9"/>
    </row>
    <row r="120" spans="1:2" ht="15.75" x14ac:dyDescent="0.3">
      <c r="A120" s="8"/>
      <c r="B120" s="9"/>
    </row>
    <row r="121" spans="1:2" ht="15.75" x14ac:dyDescent="0.3">
      <c r="A121" s="8"/>
      <c r="B121" s="9"/>
    </row>
    <row r="122" spans="1:2" ht="15.75" x14ac:dyDescent="0.3">
      <c r="A122" s="8"/>
      <c r="B122" s="9"/>
    </row>
    <row r="123" spans="1:2" ht="15.75" x14ac:dyDescent="0.3">
      <c r="A123" s="8"/>
      <c r="B123" s="9"/>
    </row>
    <row r="124" spans="1:2" ht="15.75" x14ac:dyDescent="0.3">
      <c r="A124" s="8"/>
      <c r="B124" s="9"/>
    </row>
    <row r="125" spans="1:2" ht="15.75" x14ac:dyDescent="0.3">
      <c r="A125" s="8"/>
      <c r="B125" s="9"/>
    </row>
    <row r="126" spans="1:2" ht="15.75" x14ac:dyDescent="0.3">
      <c r="A126" s="8"/>
      <c r="B126" s="9"/>
    </row>
    <row r="127" spans="1:2" ht="15.75" x14ac:dyDescent="0.3">
      <c r="A127" s="8"/>
      <c r="B127" s="9"/>
    </row>
    <row r="128" spans="1:2" ht="15.75" x14ac:dyDescent="0.3">
      <c r="A128" s="8"/>
      <c r="B128" s="9"/>
    </row>
    <row r="129" spans="1:2" ht="15.75" x14ac:dyDescent="0.3">
      <c r="A129" s="8"/>
      <c r="B129" s="9"/>
    </row>
    <row r="130" spans="1:2" ht="15.75" x14ac:dyDescent="0.3">
      <c r="A130" s="8"/>
      <c r="B130" s="9"/>
    </row>
    <row r="131" spans="1:2" ht="15.75" x14ac:dyDescent="0.3">
      <c r="A131" s="8"/>
      <c r="B131" s="9"/>
    </row>
    <row r="132" spans="1:2" ht="15.75" x14ac:dyDescent="0.3">
      <c r="A132" s="8"/>
      <c r="B132" s="9"/>
    </row>
    <row r="133" spans="1:2" ht="15.75" x14ac:dyDescent="0.3">
      <c r="A133" s="8"/>
      <c r="B133" s="9"/>
    </row>
    <row r="134" spans="1:2" ht="15.75" x14ac:dyDescent="0.3">
      <c r="A134" s="8"/>
      <c r="B134" s="9"/>
    </row>
    <row r="135" spans="1:2" ht="15.75" x14ac:dyDescent="0.3">
      <c r="A135" s="8"/>
      <c r="B135" s="9"/>
    </row>
    <row r="136" spans="1:2" ht="15.75" x14ac:dyDescent="0.3">
      <c r="A136" s="8"/>
      <c r="B136" s="9"/>
    </row>
    <row r="137" spans="1:2" ht="15.75" x14ac:dyDescent="0.3">
      <c r="A137" s="8"/>
      <c r="B137" s="9"/>
    </row>
    <row r="138" spans="1:2" ht="15.75" x14ac:dyDescent="0.3">
      <c r="A138" s="8"/>
      <c r="B138" s="9"/>
    </row>
    <row r="139" spans="1:2" ht="15.75" x14ac:dyDescent="0.3">
      <c r="A139" s="8"/>
      <c r="B139" s="9"/>
    </row>
    <row r="140" spans="1:2" ht="15.75" x14ac:dyDescent="0.3">
      <c r="A140" s="8"/>
      <c r="B140" s="9"/>
    </row>
    <row r="141" spans="1:2" ht="15.75" x14ac:dyDescent="0.3">
      <c r="A141" s="8"/>
      <c r="B141" s="9"/>
    </row>
    <row r="142" spans="1:2" ht="15.75" x14ac:dyDescent="0.3">
      <c r="A142" s="8"/>
      <c r="B142" s="9"/>
    </row>
    <row r="143" spans="1:2" ht="15.75" x14ac:dyDescent="0.3">
      <c r="A143" s="8"/>
      <c r="B143" s="9"/>
    </row>
    <row r="144" spans="1:2" ht="15.75" x14ac:dyDescent="0.3">
      <c r="A144" s="8"/>
      <c r="B144" s="9"/>
    </row>
    <row r="145" spans="1:2" ht="15.75" x14ac:dyDescent="0.3">
      <c r="A145" s="8"/>
      <c r="B145" s="9"/>
    </row>
    <row r="146" spans="1:2" ht="15.75" x14ac:dyDescent="0.3">
      <c r="A146" s="8"/>
      <c r="B146" s="9"/>
    </row>
    <row r="147" spans="1:2" ht="15.75" x14ac:dyDescent="0.3">
      <c r="A147" s="8"/>
      <c r="B147" s="9"/>
    </row>
    <row r="148" spans="1:2" ht="15.75" x14ac:dyDescent="0.3">
      <c r="A148" s="8"/>
      <c r="B148" s="9"/>
    </row>
    <row r="149" spans="1:2" ht="15.75" x14ac:dyDescent="0.3">
      <c r="A149" s="8"/>
      <c r="B149" s="9"/>
    </row>
    <row r="150" spans="1:2" ht="15.75" x14ac:dyDescent="0.3">
      <c r="A150" s="8"/>
      <c r="B150" s="9"/>
    </row>
    <row r="151" spans="1:2" ht="15.75" x14ac:dyDescent="0.3">
      <c r="A151" s="8"/>
      <c r="B151" s="9"/>
    </row>
    <row r="152" spans="1:2" ht="15.75" x14ac:dyDescent="0.3">
      <c r="A152" s="8"/>
      <c r="B152" s="9"/>
    </row>
    <row r="153" spans="1:2" ht="15.75" x14ac:dyDescent="0.3">
      <c r="A153" s="8"/>
      <c r="B153" s="9"/>
    </row>
    <row r="154" spans="1:2" ht="15.75" x14ac:dyDescent="0.3">
      <c r="A154" s="8"/>
      <c r="B154" s="9"/>
    </row>
    <row r="155" spans="1:2" ht="15.75" x14ac:dyDescent="0.3">
      <c r="A155" s="8"/>
      <c r="B155" s="9"/>
    </row>
    <row r="156" spans="1:2" ht="15.75" x14ac:dyDescent="0.3">
      <c r="A156" s="8"/>
      <c r="B156" s="9"/>
    </row>
    <row r="157" spans="1:2" ht="15.75" x14ac:dyDescent="0.3">
      <c r="A157" s="8"/>
      <c r="B157" s="9"/>
    </row>
    <row r="158" spans="1:2" ht="15.75" x14ac:dyDescent="0.3">
      <c r="A158" s="8"/>
      <c r="B158" s="9"/>
    </row>
    <row r="159" spans="1:2" ht="15.75" x14ac:dyDescent="0.3">
      <c r="A159" s="8"/>
      <c r="B159" s="9"/>
    </row>
    <row r="160" spans="1:2" ht="15.75" x14ac:dyDescent="0.3">
      <c r="A160" s="8"/>
      <c r="B160" s="9"/>
    </row>
    <row r="161" spans="1:2" ht="15.75" x14ac:dyDescent="0.3">
      <c r="A161" s="8"/>
      <c r="B161" s="9"/>
    </row>
    <row r="162" spans="1:2" ht="15.75" x14ac:dyDescent="0.3">
      <c r="A162" s="8"/>
      <c r="B162" s="9"/>
    </row>
    <row r="163" spans="1:2" ht="15.75" x14ac:dyDescent="0.3">
      <c r="A163" s="8"/>
      <c r="B163" s="9"/>
    </row>
    <row r="164" spans="1:2" ht="15.75" x14ac:dyDescent="0.3">
      <c r="A164" s="8"/>
      <c r="B164" s="9"/>
    </row>
    <row r="165" spans="1:2" ht="15.75" x14ac:dyDescent="0.3">
      <c r="A165" s="8"/>
      <c r="B165" s="9"/>
    </row>
    <row r="166" spans="1:2" ht="15.75" x14ac:dyDescent="0.3">
      <c r="A166" s="8"/>
      <c r="B166" s="9"/>
    </row>
    <row r="167" spans="1:2" ht="15.75" x14ac:dyDescent="0.3">
      <c r="A167" s="8"/>
      <c r="B167" s="9"/>
    </row>
    <row r="168" spans="1:2" ht="15.75" x14ac:dyDescent="0.3">
      <c r="A168" s="8"/>
      <c r="B168" s="9"/>
    </row>
    <row r="169" spans="1:2" ht="15.75" x14ac:dyDescent="0.3">
      <c r="A169" s="8"/>
      <c r="B169" s="9"/>
    </row>
    <row r="170" spans="1:2" ht="15.75" x14ac:dyDescent="0.3">
      <c r="A170" s="8"/>
      <c r="B170" s="9"/>
    </row>
    <row r="171" spans="1:2" ht="15.75" x14ac:dyDescent="0.3">
      <c r="A171" s="8"/>
      <c r="B171" s="9"/>
    </row>
    <row r="172" spans="1:2" ht="15.75" x14ac:dyDescent="0.3">
      <c r="A172" s="8"/>
      <c r="B172" s="9"/>
    </row>
    <row r="173" spans="1:2" ht="15.75" x14ac:dyDescent="0.3">
      <c r="A173" s="8"/>
      <c r="B173" s="9"/>
    </row>
    <row r="174" spans="1:2" ht="15.75" x14ac:dyDescent="0.3">
      <c r="A174" s="8"/>
      <c r="B174" s="9"/>
    </row>
    <row r="175" spans="1:2" ht="15.75" x14ac:dyDescent="0.3">
      <c r="A175" s="8"/>
      <c r="B175" s="9"/>
    </row>
    <row r="176" spans="1:2" ht="15.75" x14ac:dyDescent="0.3">
      <c r="A176" s="8"/>
      <c r="B176" s="9"/>
    </row>
    <row r="177" spans="1:2" ht="15.75" x14ac:dyDescent="0.3">
      <c r="A177" s="8"/>
      <c r="B177" s="9"/>
    </row>
    <row r="178" spans="1:2" ht="15.75" x14ac:dyDescent="0.3">
      <c r="A178" s="8"/>
      <c r="B178" s="9"/>
    </row>
    <row r="179" spans="1:2" ht="15.75" x14ac:dyDescent="0.3">
      <c r="A179" s="8"/>
      <c r="B179" s="9"/>
    </row>
    <row r="180" spans="1:2" ht="15.75" x14ac:dyDescent="0.3">
      <c r="A180" s="8"/>
      <c r="B180" s="9"/>
    </row>
    <row r="181" spans="1:2" ht="15.75" x14ac:dyDescent="0.3">
      <c r="A181" s="8"/>
      <c r="B181" s="9"/>
    </row>
    <row r="182" spans="1:2" ht="15.75" x14ac:dyDescent="0.3">
      <c r="A182" s="8"/>
      <c r="B182" s="9"/>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5258-EC96-4CFB-B307-E95E28A2D347}">
  <sheetPr>
    <tabColor theme="0" tint="-0.249977111117893"/>
  </sheetPr>
  <dimension ref="A1:R182"/>
  <sheetViews>
    <sheetView showGridLines="0" zoomScaleNormal="100" workbookViewId="0">
      <selection activeCell="G27" sqref="G27"/>
    </sheetView>
  </sheetViews>
  <sheetFormatPr baseColWidth="10" defaultRowHeight="15" x14ac:dyDescent="0.3"/>
  <cols>
    <col min="1" max="1" width="4.85546875" customWidth="1"/>
    <col min="2" max="2" width="22.7109375" bestFit="1" customWidth="1"/>
    <col min="3" max="14" width="14.140625" customWidth="1"/>
  </cols>
  <sheetData>
    <row r="1" spans="1:18" s="502" customFormat="1" x14ac:dyDescent="0.25">
      <c r="A1" s="494" t="s">
        <v>0</v>
      </c>
      <c r="B1" s="505"/>
      <c r="C1" s="505"/>
      <c r="D1" s="505"/>
      <c r="E1" s="505"/>
      <c r="F1" s="505"/>
      <c r="G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5.25" customHeight="1" x14ac:dyDescent="0.25">
      <c r="A5" s="497"/>
      <c r="B5" s="498"/>
      <c r="C5" s="498"/>
      <c r="D5" s="498"/>
      <c r="E5" s="498"/>
      <c r="F5" s="498"/>
      <c r="G5" s="498"/>
      <c r="H5" s="498"/>
      <c r="I5" s="498"/>
    </row>
    <row r="6" spans="1:18" s="502" customFormat="1" x14ac:dyDescent="0.25">
      <c r="A6" s="502" t="s">
        <v>357</v>
      </c>
      <c r="C6" s="501"/>
      <c r="D6" s="501"/>
      <c r="E6" s="501"/>
      <c r="F6" s="501"/>
      <c r="G6" s="501"/>
      <c r="H6" s="501"/>
      <c r="I6" s="501"/>
    </row>
    <row r="7" spans="1:18" ht="3" customHeight="1" x14ac:dyDescent="0.3">
      <c r="A7" s="111"/>
      <c r="B7" s="110"/>
      <c r="C7" s="110"/>
      <c r="D7" s="110"/>
      <c r="E7" s="110"/>
      <c r="F7" s="110"/>
      <c r="G7" s="110"/>
      <c r="H7" s="110"/>
      <c r="I7" s="110"/>
      <c r="J7" s="110"/>
      <c r="K7" s="108"/>
    </row>
    <row r="8" spans="1:18" ht="15" customHeight="1"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ht="15.75" x14ac:dyDescent="0.3">
      <c r="A10" s="173">
        <v>1</v>
      </c>
      <c r="B10" s="174" t="str">
        <f>'Primas Diciembre 2024'!$I11</f>
        <v>MAPFRE SEGUROS</v>
      </c>
      <c r="C10" s="175">
        <f>+'Primas Diciembre 2024'!I54/1000</f>
        <v>1388.3075294400001</v>
      </c>
      <c r="D10" s="175">
        <f>'Primas Diciembre 2025'!E54/1000</f>
        <v>1424.0066189199999</v>
      </c>
      <c r="E10" s="176">
        <f t="shared" ref="E10:E22" si="0">IFERROR(F10/C10,0%)</f>
        <v>2.5714107806070738E-2</v>
      </c>
      <c r="F10" s="175">
        <f t="shared" ref="F10:F21" si="1">IFERROR(D10-C10,0)</f>
        <v>35.699089479999884</v>
      </c>
      <c r="G10" s="365">
        <f>'Siniestros Diciembre 2024'!K54/1000</f>
        <v>313.50536569000002</v>
      </c>
      <c r="H10" s="365">
        <f>'Siniestros Diciembre  2025'!H54/1000</f>
        <v>322.14934542999998</v>
      </c>
      <c r="I10" s="176">
        <f t="shared" ref="I10:I22" si="2">IFERROR(J10/G10,0%)</f>
        <v>2.7572031250486771E-2</v>
      </c>
      <c r="J10" s="175">
        <f t="shared" ref="J10:J21" si="3">IFERROR(H10-G10,0)</f>
        <v>8.6439797399999634</v>
      </c>
      <c r="K10" s="155">
        <f t="shared" ref="K10:K22" si="4">IFERROR((G10/C10),0%)</f>
        <v>0.22581838608658869</v>
      </c>
      <c r="L10" s="155">
        <f t="shared" ref="L10:L22" si="5">IFERROR(H10/D10,0%)</f>
        <v>0.22622742138258151</v>
      </c>
      <c r="M10" s="155">
        <f t="shared" ref="M10:M22" si="6">IFERROR(N10/K10,0%)</f>
        <v>1.8113462906247746E-3</v>
      </c>
      <c r="N10" s="177">
        <f t="shared" ref="N10:N22" si="7">L10-K10</f>
        <v>4.0903529599281563E-4</v>
      </c>
      <c r="O10" s="226">
        <f t="shared" ref="O10:O21" si="8">C10/$C$22</f>
        <v>0.24837255645236159</v>
      </c>
      <c r="P10" s="226">
        <f t="shared" ref="P10:P21" si="9">D10/$D$22</f>
        <v>0.2401457502593351</v>
      </c>
      <c r="Q10" s="176">
        <f t="shared" ref="Q10:Q21" si="10">IFERROR(R10/O10,0%)</f>
        <v>-3.3122847026798657E-2</v>
      </c>
      <c r="R10" s="176">
        <f t="shared" ref="R10:R21" si="11">IFERROR(P10-O10,0)</f>
        <v>-8.2268061930264869E-3</v>
      </c>
    </row>
    <row r="11" spans="1:18" ht="15.75" x14ac:dyDescent="0.3">
      <c r="A11" s="173">
        <v>2</v>
      </c>
      <c r="B11" s="178" t="str">
        <f>'Primas Diciembre 2024'!$J11</f>
        <v>FICOHSA SEGUROS</v>
      </c>
      <c r="C11" s="175">
        <f>+'Primas Diciembre 2024'!J54/1000</f>
        <v>1032.27641847</v>
      </c>
      <c r="D11" s="175">
        <f>'Primas Diciembre 2025'!F54/1000</f>
        <v>1202.4774640099999</v>
      </c>
      <c r="E11" s="176">
        <f t="shared" si="0"/>
        <v>0.16487933124759876</v>
      </c>
      <c r="F11" s="175">
        <f t="shared" si="1"/>
        <v>170.20104554</v>
      </c>
      <c r="G11" s="365">
        <f>'Siniestros Diciembre 2024'!M54/1000</f>
        <v>308.82471743999997</v>
      </c>
      <c r="H11" s="365">
        <f>'Siniestros Diciembre  2025'!J54/1000</f>
        <v>288.86499204000006</v>
      </c>
      <c r="I11" s="176">
        <f t="shared" si="2"/>
        <v>-6.4631243138359828E-2</v>
      </c>
      <c r="J11" s="175">
        <f t="shared" si="3"/>
        <v>-19.959725399999911</v>
      </c>
      <c r="K11" s="155">
        <f t="shared" si="4"/>
        <v>0.29916862568431812</v>
      </c>
      <c r="L11" s="155">
        <f t="shared" si="5"/>
        <v>0.24022486964262793</v>
      </c>
      <c r="M11" s="155">
        <f t="shared" si="6"/>
        <v>-0.19702519242070349</v>
      </c>
      <c r="N11" s="177">
        <f t="shared" si="7"/>
        <v>-5.8943756041690193E-2</v>
      </c>
      <c r="O11" s="226">
        <f t="shared" si="8"/>
        <v>0.1846774778526924</v>
      </c>
      <c r="P11" s="226">
        <f t="shared" si="9"/>
        <v>0.20278687537536441</v>
      </c>
      <c r="Q11" s="182">
        <f t="shared" si="10"/>
        <v>9.8059588712365559E-2</v>
      </c>
      <c r="R11" s="176">
        <f t="shared" si="11"/>
        <v>1.8109397522672016E-2</v>
      </c>
    </row>
    <row r="12" spans="1:18" s="350" customFormat="1" ht="15.75" x14ac:dyDescent="0.3">
      <c r="A12" s="28">
        <v>3</v>
      </c>
      <c r="B12" s="180" t="str">
        <f>'Primas Diciembre 2024'!$L11</f>
        <v>SEGUROS ATLÁNTIDA</v>
      </c>
      <c r="C12" s="181">
        <f>+'Primas Diciembre 2024'!L54/1000</f>
        <v>757.75837159000002</v>
      </c>
      <c r="D12" s="181">
        <f>'Primas Diciembre 2025'!H54/1000</f>
        <v>753.18932227000005</v>
      </c>
      <c r="E12" s="182">
        <f t="shared" si="0"/>
        <v>-6.0296916422220006E-3</v>
      </c>
      <c r="F12" s="181">
        <f t="shared" si="1"/>
        <v>-4.5690493199999764</v>
      </c>
      <c r="G12" s="183">
        <f>'Siniestros Diciembre 2024'!Q54/1000</f>
        <v>234.19850765000001</v>
      </c>
      <c r="H12" s="183">
        <f>'Siniestros Diciembre  2025'!N54/1000</f>
        <v>283.23038008999998</v>
      </c>
      <c r="I12" s="182">
        <f t="shared" si="2"/>
        <v>0.20936031118215356</v>
      </c>
      <c r="J12" s="181">
        <f t="shared" si="3"/>
        <v>49.031872439999972</v>
      </c>
      <c r="K12" s="158">
        <f t="shared" si="4"/>
        <v>0.30906752921591962</v>
      </c>
      <c r="L12" s="158">
        <f t="shared" si="5"/>
        <v>0.37604141709867306</v>
      </c>
      <c r="M12" s="158">
        <f t="shared" si="6"/>
        <v>0.21669661660240078</v>
      </c>
      <c r="N12" s="184">
        <f t="shared" si="7"/>
        <v>6.6973887882753436E-2</v>
      </c>
      <c r="O12" s="226">
        <f t="shared" si="8"/>
        <v>0.13556534120426722</v>
      </c>
      <c r="P12" s="226">
        <f t="shared" si="9"/>
        <v>0.12701852117866511</v>
      </c>
      <c r="Q12" s="176">
        <f t="shared" si="10"/>
        <v>-6.3045760440523901E-2</v>
      </c>
      <c r="R12" s="176">
        <f t="shared" si="11"/>
        <v>-8.5468200256021143E-3</v>
      </c>
    </row>
    <row r="13" spans="1:18" s="350" customFormat="1" ht="15.75" x14ac:dyDescent="0.3">
      <c r="A13" s="28">
        <v>4</v>
      </c>
      <c r="B13" s="180" t="str">
        <f>'Primas Diciembre 2024'!$G11</f>
        <v>SEGUROS DAVIVIENDA</v>
      </c>
      <c r="C13" s="181">
        <f>+'Primas Diciembre 2024'!G54/1000</f>
        <v>415.38705189999996</v>
      </c>
      <c r="D13" s="181">
        <f>'Primas Diciembre 2025'!C54/1000</f>
        <v>428.32718338000001</v>
      </c>
      <c r="E13" s="182">
        <f t="shared" si="0"/>
        <v>3.115198565003718E-2</v>
      </c>
      <c r="F13" s="181">
        <f t="shared" si="1"/>
        <v>12.940131480000048</v>
      </c>
      <c r="G13" s="183">
        <f>'Siniestros Diciembre 2024'!G54/1000</f>
        <v>83.162574309999997</v>
      </c>
      <c r="H13" s="183">
        <f>'Siniestros Diciembre  2025'!D54/1000</f>
        <v>124.17434605</v>
      </c>
      <c r="I13" s="182">
        <f t="shared" si="2"/>
        <v>0.49315178228036749</v>
      </c>
      <c r="J13" s="181">
        <f t="shared" si="3"/>
        <v>41.01177174</v>
      </c>
      <c r="K13" s="158">
        <f t="shared" si="4"/>
        <v>0.20020502307332513</v>
      </c>
      <c r="L13" s="158">
        <f t="shared" si="5"/>
        <v>0.28990535942668844</v>
      </c>
      <c r="M13" s="158">
        <f t="shared" si="6"/>
        <v>0.44804238663138102</v>
      </c>
      <c r="N13" s="184">
        <f t="shared" si="7"/>
        <v>8.9700336353363302E-2</v>
      </c>
      <c r="O13" s="226">
        <f t="shared" si="8"/>
        <v>7.4314041961026214E-2</v>
      </c>
      <c r="P13" s="226">
        <f t="shared" si="9"/>
        <v>7.2233479425306377E-2</v>
      </c>
      <c r="Q13" s="176">
        <f t="shared" si="10"/>
        <v>-2.7996896425186813E-2</v>
      </c>
      <c r="R13" s="176">
        <f t="shared" si="11"/>
        <v>-2.0805625357198376E-3</v>
      </c>
    </row>
    <row r="14" spans="1:18" ht="15.75" x14ac:dyDescent="0.3">
      <c r="A14" s="173">
        <v>5</v>
      </c>
      <c r="B14" s="178" t="str">
        <f>'Primas Diciembre 2024'!$M11</f>
        <v>CREFISA</v>
      </c>
      <c r="C14" s="175">
        <f>+'Primas Diciembre 2024'!M54/1000</f>
        <v>364.87400635000006</v>
      </c>
      <c r="D14" s="175">
        <f>'Primas Diciembre 2025'!I54/1000</f>
        <v>405.56714752999994</v>
      </c>
      <c r="E14" s="176">
        <f t="shared" si="0"/>
        <v>0.11152655566526047</v>
      </c>
      <c r="F14" s="175">
        <f t="shared" si="1"/>
        <v>40.693141179999884</v>
      </c>
      <c r="G14" s="365">
        <f>'Siniestros Diciembre 2024'!S54/1000</f>
        <v>115.52163686</v>
      </c>
      <c r="H14" s="365">
        <f>'Siniestros Diciembre  2025'!P54/1000</f>
        <v>146.72311777000002</v>
      </c>
      <c r="I14" s="176">
        <f t="shared" si="2"/>
        <v>0.2700920949364049</v>
      </c>
      <c r="J14" s="175">
        <f t="shared" si="3"/>
        <v>31.201480910000015</v>
      </c>
      <c r="K14" s="155">
        <f t="shared" si="4"/>
        <v>0.31660692416983949</v>
      </c>
      <c r="L14" s="155">
        <f t="shared" si="5"/>
        <v>0.36177268958686271</v>
      </c>
      <c r="M14" s="155">
        <f t="shared" si="6"/>
        <v>0.14265564638376216</v>
      </c>
      <c r="N14" s="177">
        <f t="shared" si="7"/>
        <v>4.5165765417023218E-2</v>
      </c>
      <c r="O14" s="226">
        <f t="shared" si="8"/>
        <v>6.5277100223406478E-2</v>
      </c>
      <c r="P14" s="226">
        <f t="shared" si="9"/>
        <v>6.8395206616382945E-2</v>
      </c>
      <c r="Q14" s="182">
        <f t="shared" si="10"/>
        <v>4.7767232035506438E-2</v>
      </c>
      <c r="R14" s="176">
        <f t="shared" si="11"/>
        <v>3.1181063929764663E-3</v>
      </c>
    </row>
    <row r="15" spans="1:18" ht="15.75" x14ac:dyDescent="0.3">
      <c r="A15" s="173">
        <v>6</v>
      </c>
      <c r="B15" s="180" t="str">
        <f>'Primas Diciembre 2024'!$N11</f>
        <v>SEGUROS EQUIDAD</v>
      </c>
      <c r="C15" s="181">
        <f>+'Primas Diciembre 2024'!N54/1000</f>
        <v>478.85314972999998</v>
      </c>
      <c r="D15" s="181">
        <f>'Primas Diciembre 2025'!J54/1000</f>
        <v>387.96952854000006</v>
      </c>
      <c r="E15" s="182">
        <f t="shared" si="0"/>
        <v>-0.18979434768518158</v>
      </c>
      <c r="F15" s="181">
        <f t="shared" si="1"/>
        <v>-90.883621189999928</v>
      </c>
      <c r="G15" s="183">
        <f>'Siniestros Diciembre 2024'!U54/1000</f>
        <v>233.95977192000001</v>
      </c>
      <c r="H15" s="183">
        <f>'Siniestros Diciembre  2025'!R54/1000</f>
        <v>220.15546686000002</v>
      </c>
      <c r="I15" s="182">
        <f t="shared" si="2"/>
        <v>-5.9002900142680177E-2</v>
      </c>
      <c r="J15" s="181">
        <f t="shared" si="3"/>
        <v>-13.80430505999999</v>
      </c>
      <c r="K15" s="158">
        <f t="shared" si="4"/>
        <v>0.48858355020096988</v>
      </c>
      <c r="L15" s="158">
        <f t="shared" si="5"/>
        <v>0.56745556200891634</v>
      </c>
      <c r="M15" s="158">
        <f t="shared" si="6"/>
        <v>0.16142993716326284</v>
      </c>
      <c r="N15" s="184">
        <f t="shared" si="7"/>
        <v>7.8872011807946452E-2</v>
      </c>
      <c r="O15" s="226">
        <f t="shared" si="8"/>
        <v>8.5668325238918666E-2</v>
      </c>
      <c r="P15" s="226">
        <f t="shared" si="9"/>
        <v>6.5427528405493346E-2</v>
      </c>
      <c r="Q15" s="182">
        <f t="shared" si="10"/>
        <v>-0.23626931864228898</v>
      </c>
      <c r="R15" s="182">
        <f t="shared" si="11"/>
        <v>-2.024079683342532E-2</v>
      </c>
    </row>
    <row r="16" spans="1:18" ht="15.75" x14ac:dyDescent="0.3">
      <c r="A16" s="173">
        <v>7</v>
      </c>
      <c r="B16" s="203" t="str">
        <f>'Primas Diciembre 2024'!$H11</f>
        <v>PALIC</v>
      </c>
      <c r="C16" s="168">
        <f>+'Primas Diciembre 2024'!H54/1000</f>
        <v>369.29589483999996</v>
      </c>
      <c r="D16" s="168">
        <f>'Primas Diciembre 2025'!D54/1000</f>
        <v>357.23275567000002</v>
      </c>
      <c r="E16" s="176">
        <f t="shared" si="0"/>
        <v>-3.2665240362951722E-2</v>
      </c>
      <c r="F16" s="175">
        <f t="shared" si="1"/>
        <v>-12.063139169999943</v>
      </c>
      <c r="G16" s="183">
        <f>'Siniestros Diciembre 2024'!I54/1000</f>
        <v>37.495199579999998</v>
      </c>
      <c r="H16" s="183">
        <f>'Siniestros Diciembre  2025'!F54/1000</f>
        <v>44.052152339999999</v>
      </c>
      <c r="I16" s="176">
        <f t="shared" si="2"/>
        <v>0.17487445948940863</v>
      </c>
      <c r="J16" s="175">
        <f t="shared" si="3"/>
        <v>6.5569527600000015</v>
      </c>
      <c r="K16" s="155">
        <f t="shared" si="4"/>
        <v>0.10153159053188245</v>
      </c>
      <c r="L16" s="155">
        <f t="shared" si="5"/>
        <v>0.12331498621222166</v>
      </c>
      <c r="M16" s="155">
        <f t="shared" si="6"/>
        <v>0.21454796055321224</v>
      </c>
      <c r="N16" s="177">
        <f t="shared" si="7"/>
        <v>2.1783395680339213E-2</v>
      </c>
      <c r="O16" s="226">
        <f t="shared" si="8"/>
        <v>6.6068189895772927E-2</v>
      </c>
      <c r="P16" s="226">
        <f t="shared" si="9"/>
        <v>6.0244051528809246E-2</v>
      </c>
      <c r="Q16" s="176">
        <f t="shared" si="10"/>
        <v>-8.8153442316970643E-2</v>
      </c>
      <c r="R16" s="176">
        <f t="shared" si="11"/>
        <v>-5.8241383669636812E-3</v>
      </c>
    </row>
    <row r="17" spans="1:18" ht="15.75" x14ac:dyDescent="0.3">
      <c r="A17" s="173">
        <v>8</v>
      </c>
      <c r="B17" s="180" t="str">
        <f>'Primas Diciembre 2024'!$Q11</f>
        <v>ASEGURADORA RURAL</v>
      </c>
      <c r="C17" s="181">
        <f>+'Primas Diciembre 2024'!Q54/1000</f>
        <v>284.06314530000003</v>
      </c>
      <c r="D17" s="181">
        <f>'Primas Diciembre 2025'!M54/1000</f>
        <v>314.23537447000001</v>
      </c>
      <c r="E17" s="182">
        <f t="shared" si="0"/>
        <v>0.10621662707471252</v>
      </c>
      <c r="F17" s="181">
        <f t="shared" si="1"/>
        <v>30.17222916999998</v>
      </c>
      <c r="G17" s="183">
        <f>'Siniestros Diciembre 2024'!AA54/1000</f>
        <v>133.92160731999999</v>
      </c>
      <c r="H17" s="183">
        <f>'Siniestros Diciembre  2025'!X54/1000</f>
        <v>128.56251225</v>
      </c>
      <c r="I17" s="182">
        <f t="shared" si="2"/>
        <v>-4.0016657335919401E-2</v>
      </c>
      <c r="J17" s="181">
        <f t="shared" si="3"/>
        <v>-5.3590950699999951</v>
      </c>
      <c r="K17" s="158">
        <f t="shared" si="4"/>
        <v>0.47145013190135926</v>
      </c>
      <c r="L17" s="158">
        <f t="shared" si="5"/>
        <v>0.40912806989613398</v>
      </c>
      <c r="M17" s="158">
        <f t="shared" si="6"/>
        <v>-0.13219226761880473</v>
      </c>
      <c r="N17" s="184">
        <f t="shared" si="7"/>
        <v>-6.2322062005225276E-2</v>
      </c>
      <c r="O17" s="226">
        <f t="shared" si="8"/>
        <v>5.0819784590895888E-2</v>
      </c>
      <c r="P17" s="226">
        <f t="shared" si="9"/>
        <v>5.2992934693908686E-2</v>
      </c>
      <c r="Q17" s="182">
        <f t="shared" si="10"/>
        <v>4.2761891269450743E-2</v>
      </c>
      <c r="R17" s="182">
        <f t="shared" si="11"/>
        <v>2.1731501030127984E-3</v>
      </c>
    </row>
    <row r="18" spans="1:18" s="350" customFormat="1" ht="15.75" x14ac:dyDescent="0.3">
      <c r="A18" s="28">
        <v>9</v>
      </c>
      <c r="B18" s="178" t="str">
        <f>'Primas Diciembre 2024'!$O11</f>
        <v>SEGUROS DEL PAÍS</v>
      </c>
      <c r="C18" s="175">
        <f>+'Primas Diciembre 2024'!O54/1000</f>
        <v>274.31764566999999</v>
      </c>
      <c r="D18" s="175">
        <f>'Primas Diciembre 2025'!K54/1000</f>
        <v>301.73608182999999</v>
      </c>
      <c r="E18" s="176">
        <f t="shared" si="0"/>
        <v>9.9951412505865436E-2</v>
      </c>
      <c r="F18" s="175">
        <f t="shared" si="1"/>
        <v>27.418436159999999</v>
      </c>
      <c r="G18" s="365">
        <f>'Siniestros Diciembre 2024'!W54/1000</f>
        <v>52.26558404</v>
      </c>
      <c r="H18" s="365">
        <f>'Siniestros Diciembre  2025'!T54/1000</f>
        <v>72.595096739999988</v>
      </c>
      <c r="I18" s="176">
        <f t="shared" si="2"/>
        <v>0.38896557023913414</v>
      </c>
      <c r="J18" s="175">
        <f t="shared" si="3"/>
        <v>20.329512699999988</v>
      </c>
      <c r="K18" s="155">
        <f t="shared" si="4"/>
        <v>0.19052942770905346</v>
      </c>
      <c r="L18" s="155">
        <f t="shared" si="5"/>
        <v>0.24059136812448079</v>
      </c>
      <c r="M18" s="155">
        <f t="shared" si="6"/>
        <v>0.26275174925667671</v>
      </c>
      <c r="N18" s="177">
        <f t="shared" si="7"/>
        <v>5.0061940415427331E-2</v>
      </c>
      <c r="O18" s="226">
        <f t="shared" si="8"/>
        <v>4.9076284245561728E-2</v>
      </c>
      <c r="P18" s="226">
        <f t="shared" si="9"/>
        <v>5.0885042800105335E-2</v>
      </c>
      <c r="Q18" s="176">
        <f t="shared" si="10"/>
        <v>3.6856061585534221E-2</v>
      </c>
      <c r="R18" s="176">
        <f t="shared" si="11"/>
        <v>1.8087585545436061E-3</v>
      </c>
    </row>
    <row r="19" spans="1:18" s="350" customFormat="1" ht="15.75" x14ac:dyDescent="0.3">
      <c r="A19" s="28">
        <v>10</v>
      </c>
      <c r="B19" s="180" t="str">
        <f>'Primas Diciembre 2024'!$P11</f>
        <v>SEGUROS LAFISE</v>
      </c>
      <c r="C19" s="181">
        <f>+'Primas Diciembre 2024'!P54/1000</f>
        <v>182.67784027000002</v>
      </c>
      <c r="D19" s="181">
        <f>'Primas Diciembre 2025'!L54/1000</f>
        <v>175.56464191000001</v>
      </c>
      <c r="E19" s="182">
        <f t="shared" si="0"/>
        <v>-3.8938485092043028E-2</v>
      </c>
      <c r="F19" s="181">
        <f t="shared" si="1"/>
        <v>-7.1131983600000126</v>
      </c>
      <c r="G19" s="183">
        <f>'Siniestros Diciembre 2024'!Y54/1000</f>
        <v>52.614254479999992</v>
      </c>
      <c r="H19" s="183">
        <f>'Siniestros Diciembre  2025'!V54/1000</f>
        <v>66.059483999999998</v>
      </c>
      <c r="I19" s="182">
        <f t="shared" si="2"/>
        <v>0.2555434768178817</v>
      </c>
      <c r="J19" s="181">
        <f t="shared" si="3"/>
        <v>13.445229520000005</v>
      </c>
      <c r="K19" s="158">
        <f t="shared" si="4"/>
        <v>0.28801662206119527</v>
      </c>
      <c r="L19" s="158">
        <f t="shared" si="5"/>
        <v>0.37626872519048671</v>
      </c>
      <c r="M19" s="158">
        <f t="shared" si="6"/>
        <v>0.30641322885364719</v>
      </c>
      <c r="N19" s="184">
        <f t="shared" si="7"/>
        <v>8.8252103129291437E-2</v>
      </c>
      <c r="O19" s="226">
        <f t="shared" si="8"/>
        <v>3.2681636620783716E-2</v>
      </c>
      <c r="P19" s="226">
        <f t="shared" si="9"/>
        <v>2.9607378287654612E-2</v>
      </c>
      <c r="Q19" s="182">
        <f t="shared" si="10"/>
        <v>-9.4066841535532075E-2</v>
      </c>
      <c r="R19" s="182">
        <f t="shared" si="11"/>
        <v>-3.074258333129104E-3</v>
      </c>
    </row>
    <row r="20" spans="1:18" ht="14.45" customHeight="1" x14ac:dyDescent="0.3">
      <c r="A20" s="173">
        <v>11</v>
      </c>
      <c r="B20" s="178" t="str">
        <f>'Primas Diciembre 2024'!$R11</f>
        <v>ASSA CIA. DE SEGUROS</v>
      </c>
      <c r="C20" s="175">
        <f>+'Primas Diciembre 2024'!R54/1000</f>
        <v>18.600111109999997</v>
      </c>
      <c r="D20" s="175">
        <f>'Primas Diciembre 2025'!N54/1000</f>
        <v>157.07301371</v>
      </c>
      <c r="E20" s="176">
        <f t="shared" si="0"/>
        <v>7.4447352373907414</v>
      </c>
      <c r="F20" s="175">
        <f t="shared" si="1"/>
        <v>138.4729026</v>
      </c>
      <c r="G20" s="365">
        <f>'Siniestros Diciembre 2024'!AC54/1000</f>
        <v>7.8655090899999998</v>
      </c>
      <c r="H20" s="365">
        <f>'Siniestros Diciembre  2025'!Z54/1000</f>
        <v>25.16919292</v>
      </c>
      <c r="I20" s="176">
        <f t="shared" si="2"/>
        <v>2.1999445467553329</v>
      </c>
      <c r="J20" s="175">
        <f t="shared" si="3"/>
        <v>17.303683830000001</v>
      </c>
      <c r="K20" s="155">
        <f t="shared" si="4"/>
        <v>0.42287430669009596</v>
      </c>
      <c r="L20" s="155">
        <f t="shared" si="5"/>
        <v>0.16023881076394991</v>
      </c>
      <c r="M20" s="155">
        <f t="shared" si="6"/>
        <v>-0.62107224716922527</v>
      </c>
      <c r="N20" s="177">
        <f t="shared" si="7"/>
        <v>-0.26263549592614605</v>
      </c>
      <c r="O20" s="226">
        <f t="shared" si="8"/>
        <v>3.3276180159824806E-3</v>
      </c>
      <c r="P20" s="226">
        <f t="shared" si="9"/>
        <v>2.6488933563729382E-2</v>
      </c>
      <c r="Q20" s="176">
        <f t="shared" si="10"/>
        <v>6.9603288107299521</v>
      </c>
      <c r="R20" s="176">
        <f t="shared" si="11"/>
        <v>2.3161315547746902E-2</v>
      </c>
    </row>
    <row r="21" spans="1:18" ht="15.75" x14ac:dyDescent="0.3">
      <c r="A21" s="173">
        <v>12</v>
      </c>
      <c r="B21" s="178" t="str">
        <f>'Primas Diciembre 2024'!$K11</f>
        <v>SEGUROS CONTINENTAL</v>
      </c>
      <c r="C21" s="175">
        <f>+'Primas Diciembre 2024'!K54/1000</f>
        <v>23.206099289999997</v>
      </c>
      <c r="D21" s="175">
        <f>'Primas Diciembre 2025'!G54/1000</f>
        <v>22.380679800000003</v>
      </c>
      <c r="E21" s="176">
        <f t="shared" si="0"/>
        <v>-3.5569075167910073E-2</v>
      </c>
      <c r="F21" s="175">
        <f t="shared" si="1"/>
        <v>-0.82541948999999448</v>
      </c>
      <c r="G21" s="365">
        <f>'Siniestros Diciembre 2024'!O54/1000</f>
        <v>17.353321430000001</v>
      </c>
      <c r="H21" s="365">
        <f>'Siniestros Diciembre  2025'!L54/1000</f>
        <v>8.241487489999999</v>
      </c>
      <c r="I21" s="176">
        <f t="shared" si="2"/>
        <v>-0.52507722955259073</v>
      </c>
      <c r="J21" s="175">
        <f t="shared" si="3"/>
        <v>-9.1118339400000021</v>
      </c>
      <c r="K21" s="155">
        <f t="shared" si="4"/>
        <v>0.74779139799155803</v>
      </c>
      <c r="L21" s="155">
        <f t="shared" si="5"/>
        <v>0.36824115994903772</v>
      </c>
      <c r="M21" s="155">
        <f t="shared" si="6"/>
        <v>-0.50756165297157529</v>
      </c>
      <c r="N21" s="177">
        <f t="shared" si="7"/>
        <v>-0.3795502380425203</v>
      </c>
      <c r="O21" s="226">
        <f t="shared" si="8"/>
        <v>4.1516436983306954E-3</v>
      </c>
      <c r="P21" s="226">
        <f t="shared" si="9"/>
        <v>3.7742978652453097E-3</v>
      </c>
      <c r="Q21" s="176">
        <f t="shared" si="10"/>
        <v>-9.0890707513534938E-2</v>
      </c>
      <c r="R21" s="176">
        <f t="shared" si="11"/>
        <v>-3.7734583308538568E-4</v>
      </c>
    </row>
    <row r="22" spans="1:18" ht="15.75" x14ac:dyDescent="0.3">
      <c r="A22" s="665" t="s">
        <v>29</v>
      </c>
      <c r="B22" s="665"/>
      <c r="C22" s="185">
        <f>SUM(C10:C21)</f>
        <v>5589.6172639599999</v>
      </c>
      <c r="D22" s="185">
        <f>SUM(D10:D21)</f>
        <v>5929.7598120400007</v>
      </c>
      <c r="E22" s="186">
        <f t="shared" si="0"/>
        <v>6.0852565035736383E-2</v>
      </c>
      <c r="F22" s="185">
        <f>D22-C22</f>
        <v>340.14254808000078</v>
      </c>
      <c r="G22" s="187">
        <f>SUM(G10:G21)</f>
        <v>1590.6880498100002</v>
      </c>
      <c r="H22" s="187">
        <f>SUM(H10:H21)</f>
        <v>1729.9775739800002</v>
      </c>
      <c r="I22" s="188">
        <f t="shared" si="2"/>
        <v>8.756558156493191E-2</v>
      </c>
      <c r="J22" s="189">
        <f>H22-G22</f>
        <v>139.28952417000005</v>
      </c>
      <c r="K22" s="190">
        <f t="shared" si="4"/>
        <v>0.28457906412774087</v>
      </c>
      <c r="L22" s="190">
        <f t="shared" si="5"/>
        <v>0.29174496586984699</v>
      </c>
      <c r="M22" s="190">
        <f t="shared" si="6"/>
        <v>2.51807059808501E-2</v>
      </c>
      <c r="N22" s="190">
        <f t="shared" si="7"/>
        <v>7.1659017421061288E-3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1.1052565035736386E-2</v>
      </c>
    </row>
    <row r="26" spans="1:18" ht="15.75" x14ac:dyDescent="0.3">
      <c r="A26" s="8"/>
      <c r="B26" s="9"/>
    </row>
    <row r="27" spans="1:18" ht="15.75" x14ac:dyDescent="0.3">
      <c r="A27" s="8"/>
      <c r="B27" s="9"/>
    </row>
    <row r="28" spans="1:18" ht="15.75" x14ac:dyDescent="0.3">
      <c r="A28" s="8"/>
      <c r="B28" s="9"/>
    </row>
    <row r="29" spans="1:18" ht="15.75" x14ac:dyDescent="0.3">
      <c r="A29" s="8"/>
      <c r="B29" s="9"/>
    </row>
    <row r="30" spans="1:18" ht="15.75" x14ac:dyDescent="0.3">
      <c r="A30" s="8"/>
      <c r="B30" s="9"/>
    </row>
    <row r="31" spans="1:18" ht="15.75" x14ac:dyDescent="0.3">
      <c r="A31" s="8"/>
      <c r="B31" s="9"/>
    </row>
    <row r="32" spans="1:18" ht="15.75" x14ac:dyDescent="0.3">
      <c r="A32" s="8"/>
      <c r="B32" s="9"/>
    </row>
    <row r="33" spans="1:2" ht="15.75" x14ac:dyDescent="0.3">
      <c r="A33" s="8"/>
      <c r="B33" s="9"/>
    </row>
    <row r="34" spans="1:2" ht="15.75" x14ac:dyDescent="0.3">
      <c r="A34" s="8"/>
      <c r="B34" s="9"/>
    </row>
    <row r="35" spans="1:2" ht="15.75" x14ac:dyDescent="0.3">
      <c r="A35" s="8"/>
      <c r="B35" s="9"/>
    </row>
    <row r="36" spans="1:2" ht="15.75" x14ac:dyDescent="0.3">
      <c r="A36" s="8"/>
      <c r="B36" s="9"/>
    </row>
    <row r="37" spans="1:2" ht="15.75" x14ac:dyDescent="0.3">
      <c r="A37" s="8"/>
      <c r="B37" s="9"/>
    </row>
    <row r="38" spans="1:2" ht="15.75" x14ac:dyDescent="0.3">
      <c r="A38" s="8"/>
      <c r="B38" s="9"/>
    </row>
    <row r="39" spans="1:2" ht="15.75" x14ac:dyDescent="0.3">
      <c r="A39" s="8"/>
      <c r="B39" s="9"/>
    </row>
    <row r="40" spans="1:2" ht="15.75" x14ac:dyDescent="0.3">
      <c r="A40" s="8"/>
      <c r="B40" s="9"/>
    </row>
    <row r="41" spans="1:2" ht="15.75" x14ac:dyDescent="0.3">
      <c r="A41" s="8"/>
      <c r="B41" s="9"/>
    </row>
    <row r="42" spans="1:2" ht="15.75" x14ac:dyDescent="0.3">
      <c r="A42" s="8"/>
      <c r="B42" s="9"/>
    </row>
    <row r="43" spans="1:2" ht="15.75" x14ac:dyDescent="0.3">
      <c r="A43" s="8"/>
      <c r="B43" s="9"/>
    </row>
    <row r="44" spans="1:2" ht="15.75" x14ac:dyDescent="0.3">
      <c r="A44" s="8"/>
      <c r="B44" s="9"/>
    </row>
    <row r="45" spans="1:2" ht="15.75" x14ac:dyDescent="0.3">
      <c r="A45" s="8"/>
      <c r="B45" s="9"/>
    </row>
    <row r="46" spans="1:2" ht="15.75" x14ac:dyDescent="0.3">
      <c r="A46" s="8"/>
      <c r="B46" s="9"/>
    </row>
    <row r="47" spans="1:2" ht="15.75" x14ac:dyDescent="0.3">
      <c r="A47" s="8"/>
      <c r="B47" s="9"/>
    </row>
    <row r="48" spans="1:2" ht="15.75" x14ac:dyDescent="0.3">
      <c r="A48" s="8"/>
      <c r="B48" s="9"/>
    </row>
    <row r="49" spans="1:2" ht="15.75" x14ac:dyDescent="0.3">
      <c r="A49" s="8"/>
      <c r="B49" s="9"/>
    </row>
    <row r="50" spans="1:2" ht="15.75" x14ac:dyDescent="0.3">
      <c r="A50" s="8"/>
      <c r="B50" s="9"/>
    </row>
    <row r="51" spans="1:2" ht="15.75" x14ac:dyDescent="0.3">
      <c r="A51" s="8"/>
      <c r="B51" s="9"/>
    </row>
    <row r="52" spans="1:2" ht="15.75" x14ac:dyDescent="0.3">
      <c r="A52" s="8"/>
      <c r="B52" s="9"/>
    </row>
    <row r="53" spans="1:2" ht="15.75" x14ac:dyDescent="0.3">
      <c r="A53" s="8"/>
      <c r="B53" s="9"/>
    </row>
    <row r="54" spans="1:2" ht="15.75" x14ac:dyDescent="0.3">
      <c r="A54" s="8"/>
      <c r="B54" s="9"/>
    </row>
    <row r="55" spans="1:2" ht="15.75" x14ac:dyDescent="0.3">
      <c r="A55" s="8"/>
      <c r="B55" s="9"/>
    </row>
    <row r="56" spans="1:2" ht="15.75" x14ac:dyDescent="0.3">
      <c r="A56" s="8"/>
      <c r="B56" s="9"/>
    </row>
    <row r="57" spans="1:2" ht="15.75" x14ac:dyDescent="0.3">
      <c r="A57" s="8"/>
      <c r="B57" s="9"/>
    </row>
    <row r="58" spans="1:2" ht="15.75" x14ac:dyDescent="0.3">
      <c r="A58" s="8"/>
      <c r="B58" s="9"/>
    </row>
    <row r="59" spans="1:2" ht="15.75" x14ac:dyDescent="0.3">
      <c r="A59" s="8"/>
      <c r="B59" s="9"/>
    </row>
    <row r="60" spans="1:2" ht="15.75" x14ac:dyDescent="0.3">
      <c r="A60" s="8"/>
      <c r="B60" s="9"/>
    </row>
    <row r="61" spans="1:2" ht="15.75" x14ac:dyDescent="0.3">
      <c r="A61" s="8"/>
      <c r="B61" s="9"/>
    </row>
    <row r="62" spans="1:2" ht="15.75" x14ac:dyDescent="0.3">
      <c r="A62" s="8"/>
      <c r="B62" s="9"/>
    </row>
    <row r="63" spans="1:2" ht="15.75" x14ac:dyDescent="0.3">
      <c r="A63" s="8"/>
      <c r="B63" s="9"/>
    </row>
    <row r="64" spans="1:2" ht="15.75" x14ac:dyDescent="0.3">
      <c r="A64" s="8"/>
      <c r="B64" s="9"/>
    </row>
    <row r="65" spans="1:2" ht="15.75" x14ac:dyDescent="0.3">
      <c r="A65" s="8"/>
      <c r="B65" s="9"/>
    </row>
    <row r="66" spans="1:2" ht="15.75" x14ac:dyDescent="0.3">
      <c r="A66" s="8"/>
      <c r="B66" s="9"/>
    </row>
    <row r="67" spans="1:2" ht="15.75" x14ac:dyDescent="0.3">
      <c r="A67" s="8"/>
      <c r="B67" s="9"/>
    </row>
    <row r="68" spans="1:2" ht="15.75" x14ac:dyDescent="0.3">
      <c r="A68" s="8"/>
      <c r="B68" s="9"/>
    </row>
    <row r="69" spans="1:2" ht="15.75" x14ac:dyDescent="0.3">
      <c r="A69" s="8"/>
      <c r="B69" s="9"/>
    </row>
    <row r="70" spans="1:2" ht="15.75" x14ac:dyDescent="0.3">
      <c r="A70" s="8"/>
      <c r="B70" s="9"/>
    </row>
    <row r="71" spans="1:2" ht="15.75" x14ac:dyDescent="0.3">
      <c r="A71" s="8"/>
      <c r="B71" s="9"/>
    </row>
    <row r="72" spans="1:2" ht="15.75" x14ac:dyDescent="0.3">
      <c r="A72" s="8"/>
      <c r="B72" s="9"/>
    </row>
    <row r="73" spans="1:2" ht="15.75" x14ac:dyDescent="0.3">
      <c r="A73" s="8"/>
      <c r="B73" s="9"/>
    </row>
    <row r="74" spans="1:2" ht="15.75" x14ac:dyDescent="0.3">
      <c r="A74" s="8"/>
      <c r="B74" s="9"/>
    </row>
    <row r="75" spans="1:2" ht="15.75" x14ac:dyDescent="0.3">
      <c r="A75" s="8"/>
      <c r="B75" s="9"/>
    </row>
    <row r="76" spans="1:2" ht="15.75" x14ac:dyDescent="0.3">
      <c r="A76" s="8"/>
      <c r="B76" s="9"/>
    </row>
    <row r="77" spans="1:2" ht="15.75" x14ac:dyDescent="0.3">
      <c r="A77" s="8"/>
      <c r="B77" s="9"/>
    </row>
    <row r="78" spans="1:2" ht="15.75" x14ac:dyDescent="0.3">
      <c r="A78" s="8"/>
      <c r="B78" s="9"/>
    </row>
    <row r="79" spans="1:2" ht="15.75" x14ac:dyDescent="0.3">
      <c r="A79" s="8"/>
      <c r="B79" s="9"/>
    </row>
    <row r="80" spans="1:2" ht="15.75" x14ac:dyDescent="0.3">
      <c r="A80" s="8"/>
      <c r="B80" s="9"/>
    </row>
    <row r="81" spans="1:2" ht="15.75" x14ac:dyDescent="0.3">
      <c r="A81" s="8"/>
      <c r="B81" s="9"/>
    </row>
    <row r="82" spans="1:2" ht="15.75" x14ac:dyDescent="0.3">
      <c r="A82" s="8"/>
      <c r="B82" s="9"/>
    </row>
    <row r="83" spans="1:2" ht="15.75" x14ac:dyDescent="0.3">
      <c r="A83" s="8"/>
      <c r="B83" s="9"/>
    </row>
    <row r="84" spans="1:2" ht="15.75" x14ac:dyDescent="0.3">
      <c r="A84" s="8"/>
      <c r="B84" s="9"/>
    </row>
    <row r="85" spans="1:2" ht="15.75" x14ac:dyDescent="0.3">
      <c r="A85" s="8"/>
      <c r="B85" s="9"/>
    </row>
    <row r="86" spans="1:2" ht="15.75" x14ac:dyDescent="0.3">
      <c r="A86" s="8"/>
      <c r="B86" s="9"/>
    </row>
    <row r="87" spans="1:2" ht="15.75" x14ac:dyDescent="0.3">
      <c r="A87" s="8"/>
      <c r="B87" s="9"/>
    </row>
    <row r="88" spans="1:2" ht="15.75" x14ac:dyDescent="0.3">
      <c r="A88" s="8"/>
      <c r="B88" s="9"/>
    </row>
    <row r="89" spans="1:2" ht="15.75" x14ac:dyDescent="0.3">
      <c r="A89" s="8"/>
      <c r="B89" s="9"/>
    </row>
    <row r="90" spans="1:2" ht="15.75" x14ac:dyDescent="0.3">
      <c r="A90" s="8"/>
      <c r="B90" s="9"/>
    </row>
    <row r="91" spans="1:2" ht="15.75" x14ac:dyDescent="0.3">
      <c r="A91" s="8"/>
      <c r="B91" s="9"/>
    </row>
    <row r="92" spans="1:2" ht="15.75" x14ac:dyDescent="0.3">
      <c r="A92" s="8"/>
      <c r="B92" s="9"/>
    </row>
    <row r="93" spans="1:2" ht="15.75" x14ac:dyDescent="0.3">
      <c r="A93" s="8"/>
      <c r="B93" s="9"/>
    </row>
    <row r="94" spans="1:2" ht="15.75" x14ac:dyDescent="0.3">
      <c r="A94" s="8"/>
      <c r="B94" s="9"/>
    </row>
    <row r="95" spans="1:2" ht="15.75" x14ac:dyDescent="0.3">
      <c r="A95" s="8"/>
      <c r="B95" s="9"/>
    </row>
    <row r="96" spans="1:2" ht="15.75" x14ac:dyDescent="0.3">
      <c r="A96" s="8"/>
      <c r="B96" s="9"/>
    </row>
    <row r="97" spans="1:2" ht="15.75" x14ac:dyDescent="0.3">
      <c r="A97" s="8"/>
      <c r="B97" s="9"/>
    </row>
    <row r="98" spans="1:2" ht="15.75" x14ac:dyDescent="0.3">
      <c r="A98" s="8"/>
      <c r="B98" s="9"/>
    </row>
    <row r="99" spans="1:2" ht="15.75" x14ac:dyDescent="0.3">
      <c r="A99" s="8"/>
      <c r="B99" s="9"/>
    </row>
    <row r="100" spans="1:2" ht="15.75" x14ac:dyDescent="0.3">
      <c r="A100" s="8"/>
      <c r="B100" s="9"/>
    </row>
    <row r="101" spans="1:2" ht="15.75" x14ac:dyDescent="0.3">
      <c r="A101" s="8"/>
      <c r="B101" s="9"/>
    </row>
    <row r="102" spans="1:2" ht="15.75" x14ac:dyDescent="0.3">
      <c r="A102" s="8"/>
      <c r="B102" s="9"/>
    </row>
    <row r="103" spans="1:2" ht="15.75" x14ac:dyDescent="0.3">
      <c r="A103" s="8"/>
      <c r="B103" s="9"/>
    </row>
    <row r="104" spans="1:2" ht="15.75" x14ac:dyDescent="0.3">
      <c r="A104" s="8"/>
      <c r="B104" s="9"/>
    </row>
    <row r="105" spans="1:2" ht="15.75" x14ac:dyDescent="0.3">
      <c r="A105" s="8"/>
      <c r="B105" s="9"/>
    </row>
    <row r="106" spans="1:2" ht="15.75" x14ac:dyDescent="0.3">
      <c r="A106" s="8"/>
      <c r="B106" s="9"/>
    </row>
    <row r="107" spans="1:2" ht="15.75" x14ac:dyDescent="0.3">
      <c r="A107" s="8"/>
      <c r="B107" s="9"/>
    </row>
    <row r="108" spans="1:2" ht="15.75" x14ac:dyDescent="0.3">
      <c r="A108" s="8"/>
      <c r="B108" s="9"/>
    </row>
    <row r="109" spans="1:2" ht="15.75" x14ac:dyDescent="0.3">
      <c r="A109" s="8"/>
      <c r="B109" s="9"/>
    </row>
    <row r="110" spans="1:2" ht="15.75" x14ac:dyDescent="0.3">
      <c r="A110" s="8"/>
      <c r="B110" s="9"/>
    </row>
    <row r="111" spans="1:2" ht="15.75" x14ac:dyDescent="0.3">
      <c r="A111" s="8"/>
      <c r="B111" s="9"/>
    </row>
    <row r="112" spans="1:2" ht="15.75" x14ac:dyDescent="0.3">
      <c r="A112" s="8"/>
      <c r="B112" s="9"/>
    </row>
    <row r="113" spans="1:2" ht="15.75" x14ac:dyDescent="0.3">
      <c r="A113" s="8"/>
      <c r="B113" s="9"/>
    </row>
    <row r="114" spans="1:2" ht="15.75" x14ac:dyDescent="0.3">
      <c r="A114" s="8"/>
      <c r="B114" s="9"/>
    </row>
    <row r="115" spans="1:2" ht="15.75" x14ac:dyDescent="0.3">
      <c r="A115" s="8"/>
      <c r="B115" s="9"/>
    </row>
    <row r="116" spans="1:2" ht="15.75" x14ac:dyDescent="0.3">
      <c r="A116" s="8"/>
      <c r="B116" s="9"/>
    </row>
    <row r="117" spans="1:2" ht="15.75" x14ac:dyDescent="0.3">
      <c r="A117" s="8"/>
      <c r="B117" s="9"/>
    </row>
    <row r="118" spans="1:2" ht="15.75" x14ac:dyDescent="0.3">
      <c r="A118" s="8"/>
      <c r="B118" s="9"/>
    </row>
    <row r="119" spans="1:2" ht="15.75" x14ac:dyDescent="0.3">
      <c r="A119" s="8"/>
      <c r="B119" s="9"/>
    </row>
    <row r="120" spans="1:2" ht="15.75" x14ac:dyDescent="0.3">
      <c r="A120" s="8"/>
      <c r="B120" s="9"/>
    </row>
    <row r="121" spans="1:2" ht="15.75" x14ac:dyDescent="0.3">
      <c r="A121" s="8"/>
      <c r="B121" s="9"/>
    </row>
    <row r="122" spans="1:2" ht="15.75" x14ac:dyDescent="0.3">
      <c r="A122" s="8"/>
      <c r="B122" s="9"/>
    </row>
    <row r="123" spans="1:2" ht="15.75" x14ac:dyDescent="0.3">
      <c r="A123" s="8"/>
      <c r="B123" s="9"/>
    </row>
    <row r="124" spans="1:2" ht="15.75" x14ac:dyDescent="0.3">
      <c r="A124" s="8"/>
      <c r="B124" s="9"/>
    </row>
    <row r="125" spans="1:2" ht="15.75" x14ac:dyDescent="0.3">
      <c r="A125" s="8"/>
      <c r="B125" s="9"/>
    </row>
    <row r="126" spans="1:2" ht="15.75" x14ac:dyDescent="0.3">
      <c r="A126" s="8"/>
      <c r="B126" s="9"/>
    </row>
    <row r="127" spans="1:2" ht="15.75" x14ac:dyDescent="0.3">
      <c r="A127" s="8"/>
      <c r="B127" s="9"/>
    </row>
    <row r="128" spans="1:2" ht="15.75" x14ac:dyDescent="0.3">
      <c r="A128" s="8"/>
      <c r="B128" s="9"/>
    </row>
    <row r="129" spans="1:2" ht="15.75" x14ac:dyDescent="0.3">
      <c r="A129" s="8"/>
      <c r="B129" s="9"/>
    </row>
    <row r="130" spans="1:2" ht="15.75" x14ac:dyDescent="0.3">
      <c r="A130" s="8"/>
      <c r="B130" s="9"/>
    </row>
    <row r="131" spans="1:2" ht="15.75" x14ac:dyDescent="0.3">
      <c r="A131" s="8"/>
      <c r="B131" s="9"/>
    </row>
    <row r="132" spans="1:2" ht="15.75" x14ac:dyDescent="0.3">
      <c r="A132" s="8"/>
      <c r="B132" s="9"/>
    </row>
    <row r="133" spans="1:2" ht="15.75" x14ac:dyDescent="0.3">
      <c r="A133" s="8"/>
      <c r="B133" s="9"/>
    </row>
    <row r="134" spans="1:2" ht="15.75" x14ac:dyDescent="0.3">
      <c r="A134" s="8"/>
      <c r="B134" s="9"/>
    </row>
    <row r="135" spans="1:2" ht="15.75" x14ac:dyDescent="0.3">
      <c r="A135" s="8"/>
      <c r="B135" s="9"/>
    </row>
    <row r="136" spans="1:2" ht="15.75" x14ac:dyDescent="0.3">
      <c r="A136" s="8"/>
      <c r="B136" s="9"/>
    </row>
    <row r="137" spans="1:2" ht="15.75" x14ac:dyDescent="0.3">
      <c r="A137" s="8"/>
      <c r="B137" s="9"/>
    </row>
    <row r="138" spans="1:2" ht="15.75" x14ac:dyDescent="0.3">
      <c r="A138" s="8"/>
      <c r="B138" s="9"/>
    </row>
    <row r="139" spans="1:2" ht="15.75" x14ac:dyDescent="0.3">
      <c r="A139" s="8"/>
      <c r="B139" s="9"/>
    </row>
    <row r="140" spans="1:2" ht="15.75" x14ac:dyDescent="0.3">
      <c r="A140" s="8"/>
      <c r="B140" s="9"/>
    </row>
    <row r="141" spans="1:2" ht="15.75" x14ac:dyDescent="0.3">
      <c r="A141" s="8"/>
      <c r="B141" s="9"/>
    </row>
    <row r="142" spans="1:2" ht="15.75" x14ac:dyDescent="0.3">
      <c r="A142" s="8"/>
      <c r="B142" s="9"/>
    </row>
    <row r="143" spans="1:2" ht="15.75" x14ac:dyDescent="0.3">
      <c r="A143" s="8"/>
      <c r="B143" s="9"/>
    </row>
    <row r="144" spans="1:2" ht="15.75" x14ac:dyDescent="0.3">
      <c r="A144" s="8"/>
      <c r="B144" s="9"/>
    </row>
    <row r="145" spans="1:2" ht="15.75" x14ac:dyDescent="0.3">
      <c r="A145" s="8"/>
      <c r="B145" s="9"/>
    </row>
    <row r="146" spans="1:2" ht="15.75" x14ac:dyDescent="0.3">
      <c r="A146" s="8"/>
      <c r="B146" s="9"/>
    </row>
    <row r="147" spans="1:2" ht="15.75" x14ac:dyDescent="0.3">
      <c r="A147" s="8"/>
      <c r="B147" s="9"/>
    </row>
    <row r="148" spans="1:2" ht="15.75" x14ac:dyDescent="0.3">
      <c r="A148" s="8"/>
      <c r="B148" s="9"/>
    </row>
    <row r="149" spans="1:2" ht="15.75" x14ac:dyDescent="0.3">
      <c r="A149" s="8"/>
      <c r="B149" s="9"/>
    </row>
    <row r="150" spans="1:2" ht="15.75" x14ac:dyDescent="0.3">
      <c r="A150" s="8"/>
      <c r="B150" s="9"/>
    </row>
    <row r="151" spans="1:2" ht="15.75" x14ac:dyDescent="0.3">
      <c r="A151" s="8"/>
      <c r="B151" s="9"/>
    </row>
    <row r="152" spans="1:2" ht="15.75" x14ac:dyDescent="0.3">
      <c r="A152" s="8"/>
      <c r="B152" s="9"/>
    </row>
    <row r="153" spans="1:2" ht="15.75" x14ac:dyDescent="0.3">
      <c r="A153" s="8"/>
      <c r="B153" s="9"/>
    </row>
    <row r="154" spans="1:2" ht="15.75" x14ac:dyDescent="0.3">
      <c r="A154" s="8"/>
      <c r="B154" s="9"/>
    </row>
    <row r="155" spans="1:2" ht="15.75" x14ac:dyDescent="0.3">
      <c r="A155" s="8"/>
      <c r="B155" s="9"/>
    </row>
    <row r="156" spans="1:2" ht="15.75" x14ac:dyDescent="0.3">
      <c r="A156" s="8"/>
      <c r="B156" s="9"/>
    </row>
    <row r="157" spans="1:2" ht="15.75" x14ac:dyDescent="0.3">
      <c r="A157" s="8"/>
      <c r="B157" s="9"/>
    </row>
    <row r="158" spans="1:2" ht="15.75" x14ac:dyDescent="0.3">
      <c r="A158" s="8"/>
      <c r="B158" s="9"/>
    </row>
    <row r="159" spans="1:2" ht="15.75" x14ac:dyDescent="0.3">
      <c r="A159" s="8"/>
      <c r="B159" s="9"/>
    </row>
    <row r="160" spans="1:2" ht="15.75" x14ac:dyDescent="0.3">
      <c r="A160" s="8"/>
      <c r="B160" s="9"/>
    </row>
    <row r="161" spans="1:2" ht="15.75" x14ac:dyDescent="0.3">
      <c r="A161" s="8"/>
      <c r="B161" s="9"/>
    </row>
    <row r="162" spans="1:2" ht="15.75" x14ac:dyDescent="0.3">
      <c r="A162" s="8"/>
      <c r="B162" s="9"/>
    </row>
    <row r="163" spans="1:2" ht="15.75" x14ac:dyDescent="0.3">
      <c r="A163" s="8"/>
      <c r="B163" s="9"/>
    </row>
    <row r="164" spans="1:2" ht="15.75" x14ac:dyDescent="0.3">
      <c r="A164" s="8"/>
      <c r="B164" s="9"/>
    </row>
    <row r="165" spans="1:2" ht="15.75" x14ac:dyDescent="0.3">
      <c r="A165" s="8"/>
      <c r="B165" s="9"/>
    </row>
    <row r="166" spans="1:2" ht="15.75" x14ac:dyDescent="0.3">
      <c r="A166" s="8"/>
      <c r="B166" s="9"/>
    </row>
    <row r="167" spans="1:2" ht="15.75" x14ac:dyDescent="0.3">
      <c r="A167" s="8"/>
      <c r="B167" s="9"/>
    </row>
    <row r="168" spans="1:2" ht="15.75" x14ac:dyDescent="0.3">
      <c r="A168" s="8"/>
      <c r="B168" s="9"/>
    </row>
    <row r="169" spans="1:2" ht="15.75" x14ac:dyDescent="0.3">
      <c r="A169" s="8"/>
      <c r="B169" s="9"/>
    </row>
    <row r="170" spans="1:2" ht="15.75" x14ac:dyDescent="0.3">
      <c r="A170" s="8"/>
      <c r="B170" s="9"/>
    </row>
    <row r="171" spans="1:2" ht="15.75" x14ac:dyDescent="0.3">
      <c r="A171" s="8"/>
      <c r="B171" s="9"/>
    </row>
    <row r="172" spans="1:2" ht="15.75" x14ac:dyDescent="0.3">
      <c r="A172" s="8"/>
      <c r="B172" s="9"/>
    </row>
    <row r="173" spans="1:2" ht="15.75" x14ac:dyDescent="0.3">
      <c r="A173" s="8"/>
      <c r="B173" s="9"/>
    </row>
    <row r="174" spans="1:2" ht="15.75" x14ac:dyDescent="0.3">
      <c r="A174" s="8"/>
      <c r="B174" s="9"/>
    </row>
    <row r="175" spans="1:2" ht="15.75" x14ac:dyDescent="0.3">
      <c r="A175" s="8"/>
      <c r="B175" s="9"/>
    </row>
    <row r="176" spans="1:2" ht="15.75" x14ac:dyDescent="0.3">
      <c r="A176" s="8"/>
      <c r="B176" s="9"/>
    </row>
    <row r="177" spans="1:2" ht="15.75" x14ac:dyDescent="0.3">
      <c r="A177" s="8"/>
      <c r="B177" s="9"/>
    </row>
    <row r="178" spans="1:2" ht="15.75" x14ac:dyDescent="0.3">
      <c r="A178" s="8"/>
      <c r="B178" s="9"/>
    </row>
    <row r="179" spans="1:2" ht="15.75" x14ac:dyDescent="0.3">
      <c r="A179" s="8"/>
      <c r="B179" s="9"/>
    </row>
    <row r="180" spans="1:2" ht="15.75" x14ac:dyDescent="0.3">
      <c r="A180" s="8"/>
      <c r="B180" s="9"/>
    </row>
    <row r="181" spans="1:2" ht="15.75" x14ac:dyDescent="0.3">
      <c r="A181" s="8"/>
      <c r="B181" s="9"/>
    </row>
    <row r="182" spans="1:2" ht="15.75" x14ac:dyDescent="0.3">
      <c r="A182" s="8"/>
      <c r="B182" s="9"/>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R25"/>
  <sheetViews>
    <sheetView showGridLines="0" zoomScaleNormal="100" workbookViewId="0">
      <selection activeCell="H27" sqref="H27"/>
    </sheetView>
  </sheetViews>
  <sheetFormatPr baseColWidth="10" defaultRowHeight="15" x14ac:dyDescent="0.3"/>
  <cols>
    <col min="1" max="1" width="5.7109375" customWidth="1"/>
    <col min="2" max="2" width="21.28515625" bestFit="1" customWidth="1"/>
    <col min="3" max="4" width="11.140625" customWidth="1"/>
    <col min="5" max="6" width="12.28515625" customWidth="1"/>
    <col min="7" max="8" width="11.140625" customWidth="1"/>
    <col min="9" max="10" width="12.28515625" customWidth="1"/>
    <col min="11" max="12" width="11.140625" customWidth="1"/>
    <col min="13" max="14" width="12.2851562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30</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2024'!J11</f>
        <v>FICOHSA SEGUROS</v>
      </c>
      <c r="C10" s="175">
        <f>('Primas Diciembre 2024'!J12)/1000</f>
        <v>914.25207379999995</v>
      </c>
      <c r="D10" s="175">
        <f>('Primas Diciembre 2025'!F12)/1000</f>
        <v>1042.9622305299999</v>
      </c>
      <c r="E10" s="176">
        <f t="shared" ref="E10:E21" si="0">IFERROR(F10/C10,0%)</f>
        <v>0.1407819138927722</v>
      </c>
      <c r="F10" s="175">
        <f t="shared" ref="F10:F21" si="1">IFERROR(D10-C10,0)</f>
        <v>128.71015672999999</v>
      </c>
      <c r="G10" s="365">
        <f>('Siniestros Diciembre 2024'!M12)/1000</f>
        <v>657.16551090999997</v>
      </c>
      <c r="H10" s="365">
        <f>('Siniestros Diciembre  2025'!J12)/1000</f>
        <v>756.24701702000004</v>
      </c>
      <c r="I10" s="176">
        <f t="shared" ref="I10:I21" si="2">IFERROR(J10/G10,0%)</f>
        <v>0.15077100740237945</v>
      </c>
      <c r="J10" s="175">
        <f t="shared" ref="J10:J21" si="3">IFERROR(H10-G10,0)</f>
        <v>99.081506110000078</v>
      </c>
      <c r="K10" s="155">
        <f t="shared" ref="K10:K22" si="4">IFERROR((G10/C10),0%)</f>
        <v>0.71880122533226021</v>
      </c>
      <c r="L10" s="155">
        <f t="shared" ref="L10:L22" si="5">IFERROR(H10/D10,0%)</f>
        <v>0.72509530535511302</v>
      </c>
      <c r="M10" s="176">
        <f t="shared" ref="M10:M22" si="6">IFERROR(N10/K10,0%)</f>
        <v>8.7563568355680278E-3</v>
      </c>
      <c r="N10" s="194">
        <f t="shared" ref="N10:N21" si="7">IFERROR(L10-K10,0)</f>
        <v>6.2940800228528104E-3</v>
      </c>
      <c r="O10" s="226">
        <f t="shared" ref="O10:O21" si="8">C10/$C$22</f>
        <v>0.2492550894909345</v>
      </c>
      <c r="P10" s="226">
        <f t="shared" ref="P10:P21" si="9">D10/$D$22</f>
        <v>0.25752112151265294</v>
      </c>
      <c r="Q10" s="176">
        <f t="shared" ref="Q10:Q21" si="10">IFERROR(R10/O10,0%)</f>
        <v>3.316294178225427E-2</v>
      </c>
      <c r="R10" s="176">
        <f t="shared" ref="R10:R21" si="11">IFERROR(P10-O10,0)</f>
        <v>8.2660320217184391E-3</v>
      </c>
    </row>
    <row r="11" spans="1:18" s="4" customFormat="1" ht="15.75" x14ac:dyDescent="0.3">
      <c r="A11" s="173">
        <v>2</v>
      </c>
      <c r="B11" s="180" t="str">
        <f>'Primas Diciembre 2024'!H11</f>
        <v>PALIC</v>
      </c>
      <c r="C11" s="181">
        <f>('Primas Diciembre 2024'!H12)/1000</f>
        <v>673.59015850000003</v>
      </c>
      <c r="D11" s="181">
        <f>('Primas Diciembre 2025'!D12)/1000</f>
        <v>713.44265541000004</v>
      </c>
      <c r="E11" s="176">
        <f t="shared" si="0"/>
        <v>5.9164309939958859E-2</v>
      </c>
      <c r="F11" s="175">
        <f t="shared" si="1"/>
        <v>39.852496910000013</v>
      </c>
      <c r="G11" s="183">
        <f>('Siniestros Diciembre 2024'!I12)/1000</f>
        <v>429.75570063999999</v>
      </c>
      <c r="H11" s="183">
        <f>('Siniestros Diciembre  2025'!F12)/1000</f>
        <v>454.57002226999998</v>
      </c>
      <c r="I11" s="176">
        <f t="shared" si="2"/>
        <v>5.774052931245835E-2</v>
      </c>
      <c r="J11" s="175">
        <f t="shared" si="3"/>
        <v>24.814321629999995</v>
      </c>
      <c r="K11" s="155">
        <f t="shared" si="4"/>
        <v>0.63800768941905495</v>
      </c>
      <c r="L11" s="155">
        <f t="shared" si="5"/>
        <v>0.63715004818259491</v>
      </c>
      <c r="M11" s="176">
        <f t="shared" si="6"/>
        <v>-1.3442490595073754E-3</v>
      </c>
      <c r="N11" s="194">
        <f t="shared" si="7"/>
        <v>-8.5764123646003831E-4</v>
      </c>
      <c r="O11" s="226">
        <f t="shared" si="8"/>
        <v>0.18364276116901523</v>
      </c>
      <c r="P11" s="226">
        <f t="shared" si="9"/>
        <v>0.17615839517293397</v>
      </c>
      <c r="Q11" s="176">
        <f t="shared" si="10"/>
        <v>-4.0755028667822331E-2</v>
      </c>
      <c r="R11" s="176">
        <f t="shared" si="11"/>
        <v>-7.4843659960812658E-3</v>
      </c>
    </row>
    <row r="12" spans="1:18" s="4" customFormat="1" ht="15.75" x14ac:dyDescent="0.3">
      <c r="A12" s="173">
        <v>3</v>
      </c>
      <c r="B12" s="178" t="str">
        <f>'Primas Diciembre 2024'!I11</f>
        <v>MAPFRE SEGUROS</v>
      </c>
      <c r="C12" s="175">
        <f>('Primas Diciembre 2024'!I12)/1000</f>
        <v>624.00299564999989</v>
      </c>
      <c r="D12" s="175">
        <f>('Primas Diciembre 2025'!E12)/1000</f>
        <v>633.09547085999998</v>
      </c>
      <c r="E12" s="176">
        <f t="shared" si="0"/>
        <v>1.4571204422710836E-2</v>
      </c>
      <c r="F12" s="175">
        <f t="shared" si="1"/>
        <v>9.0924752100000887</v>
      </c>
      <c r="G12" s="365">
        <f>('Siniestros Diciembre 2024'!K12)/1000</f>
        <v>385.53207276000001</v>
      </c>
      <c r="H12" s="365">
        <f>('Siniestros Diciembre  2025'!H12)/1000</f>
        <v>355.23352954000001</v>
      </c>
      <c r="I12" s="176">
        <f t="shared" si="2"/>
        <v>-7.8588904427833006E-2</v>
      </c>
      <c r="J12" s="175">
        <f t="shared" si="3"/>
        <v>-30.298543219999999</v>
      </c>
      <c r="K12" s="155">
        <f t="shared" si="4"/>
        <v>0.61783689412966059</v>
      </c>
      <c r="L12" s="155">
        <f t="shared" si="5"/>
        <v>0.56110578244612785</v>
      </c>
      <c r="M12" s="176">
        <f t="shared" si="6"/>
        <v>-9.1822149539077247E-2</v>
      </c>
      <c r="N12" s="194">
        <f t="shared" si="7"/>
        <v>-5.6731111683532731E-2</v>
      </c>
      <c r="O12" s="226">
        <f t="shared" si="8"/>
        <v>0.17012367483825547</v>
      </c>
      <c r="P12" s="226">
        <f t="shared" si="9"/>
        <v>0.15631961628907587</v>
      </c>
      <c r="Q12" s="182">
        <f t="shared" si="10"/>
        <v>-8.1141314178075227E-2</v>
      </c>
      <c r="R12" s="176">
        <f t="shared" si="11"/>
        <v>-1.3804058549179599E-2</v>
      </c>
    </row>
    <row r="13" spans="1:18" s="4" customFormat="1" ht="15.75" x14ac:dyDescent="0.3">
      <c r="A13" s="173">
        <v>4</v>
      </c>
      <c r="B13" s="180" t="str">
        <f>'Primas Diciembre 2024'!M11</f>
        <v>CREFISA</v>
      </c>
      <c r="C13" s="181">
        <f>('Primas Diciembre 2024'!M12)/1000</f>
        <v>529.58262837999996</v>
      </c>
      <c r="D13" s="181">
        <f>('Primas Diciembre 2025'!I12)/1000</f>
        <v>568.72901503000003</v>
      </c>
      <c r="E13" s="176">
        <f t="shared" si="0"/>
        <v>7.3919317878211682E-2</v>
      </c>
      <c r="F13" s="175">
        <f t="shared" si="1"/>
        <v>39.146386650000068</v>
      </c>
      <c r="G13" s="183">
        <f>('Siniestros Diciembre 2024'!S12)/1000</f>
        <v>347.09724649999998</v>
      </c>
      <c r="H13" s="183">
        <f>('Siniestros Diciembre  2025'!P12)/1000</f>
        <v>368.88941877999997</v>
      </c>
      <c r="I13" s="176">
        <f t="shared" si="2"/>
        <v>6.2784054035991868E-2</v>
      </c>
      <c r="J13" s="175">
        <f t="shared" si="3"/>
        <v>21.792172279999988</v>
      </c>
      <c r="K13" s="158">
        <f t="shared" si="4"/>
        <v>0.65541660148818492</v>
      </c>
      <c r="L13" s="158">
        <f t="shared" si="5"/>
        <v>0.64862071220428474</v>
      </c>
      <c r="M13" s="176">
        <f t="shared" si="6"/>
        <v>-1.0368808584447626E-2</v>
      </c>
      <c r="N13" s="194">
        <f t="shared" si="7"/>
        <v>-6.7958892839001805E-3</v>
      </c>
      <c r="O13" s="226">
        <f t="shared" si="8"/>
        <v>0.14438158710545898</v>
      </c>
      <c r="P13" s="226">
        <f t="shared" si="9"/>
        <v>0.14042668996065746</v>
      </c>
      <c r="Q13" s="176">
        <f t="shared" si="10"/>
        <v>-2.7391977218762575E-2</v>
      </c>
      <c r="R13" s="176">
        <f t="shared" si="11"/>
        <v>-3.9548971448015169E-3</v>
      </c>
    </row>
    <row r="14" spans="1:18" s="349" customFormat="1" ht="15.75" x14ac:dyDescent="0.3">
      <c r="A14" s="28">
        <v>5</v>
      </c>
      <c r="B14" s="180" t="str">
        <f>'Primas Diciembre 2024'!L11</f>
        <v>SEGUROS ATLÁNTIDA</v>
      </c>
      <c r="C14" s="181">
        <f>('Primas Diciembre 2024'!L12)/1000</f>
        <v>397.55087368999989</v>
      </c>
      <c r="D14" s="181">
        <f>('Primas Diciembre 2025'!H12)/1000</f>
        <v>463.16414806</v>
      </c>
      <c r="E14" s="182">
        <f t="shared" si="0"/>
        <v>0.16504371820639913</v>
      </c>
      <c r="F14" s="181">
        <f t="shared" si="1"/>
        <v>65.613274370000113</v>
      </c>
      <c r="G14" s="183">
        <f>('Siniestros Diciembre 2024'!Q12)/1000</f>
        <v>355.48087786000002</v>
      </c>
      <c r="H14" s="183">
        <f>('Siniestros Diciembre  2025'!N12)/1000</f>
        <v>384.35202760999999</v>
      </c>
      <c r="I14" s="182">
        <f t="shared" si="2"/>
        <v>8.1217166796157106E-2</v>
      </c>
      <c r="J14" s="181">
        <f t="shared" si="3"/>
        <v>28.871149749999972</v>
      </c>
      <c r="K14" s="158">
        <f t="shared" si="4"/>
        <v>0.89417707615754105</v>
      </c>
      <c r="L14" s="158">
        <f t="shared" si="5"/>
        <v>0.82983976462748499</v>
      </c>
      <c r="M14" s="182">
        <f t="shared" si="6"/>
        <v>-7.1951421307428778E-2</v>
      </c>
      <c r="N14" s="280">
        <f t="shared" si="7"/>
        <v>-6.4337311530056063E-2</v>
      </c>
      <c r="O14" s="226">
        <f t="shared" si="8"/>
        <v>0.10838540205540427</v>
      </c>
      <c r="P14" s="226">
        <f t="shared" si="9"/>
        <v>0.11436133290488586</v>
      </c>
      <c r="Q14" s="176">
        <f t="shared" si="10"/>
        <v>5.5135938384274483E-2</v>
      </c>
      <c r="R14" s="176">
        <f t="shared" si="11"/>
        <v>5.9759308494815866E-3</v>
      </c>
    </row>
    <row r="15" spans="1:18" s="4" customFormat="1" ht="15.75" x14ac:dyDescent="0.3">
      <c r="A15" s="173">
        <v>6</v>
      </c>
      <c r="B15" s="178" t="str">
        <f>'Primas Diciembre 2024'!O11</f>
        <v>SEGUROS DEL PAÍS</v>
      </c>
      <c r="C15" s="175">
        <f>('Primas Diciembre 2024'!O12)/1000</f>
        <v>146.23899155000001</v>
      </c>
      <c r="D15" s="175">
        <f>('Primas Diciembre 2025'!K12)/1000</f>
        <v>150.60870993</v>
      </c>
      <c r="E15" s="176">
        <f t="shared" si="0"/>
        <v>2.988066543460785E-2</v>
      </c>
      <c r="F15" s="175">
        <f t="shared" si="1"/>
        <v>4.3697183799999948</v>
      </c>
      <c r="G15" s="365">
        <f>('Siniestros Diciembre 2024'!W12)/1000</f>
        <v>80.950221659999997</v>
      </c>
      <c r="H15" s="365">
        <f>('Siniestros Diciembre  2025'!T12)/1000</f>
        <v>80.919353029999996</v>
      </c>
      <c r="I15" s="176">
        <f t="shared" si="2"/>
        <v>-3.8132854199772562E-4</v>
      </c>
      <c r="J15" s="175">
        <f t="shared" si="3"/>
        <v>-3.0868630000000508E-2</v>
      </c>
      <c r="K15" s="155">
        <f t="shared" si="4"/>
        <v>0.55354745544947648</v>
      </c>
      <c r="L15" s="155">
        <f t="shared" si="5"/>
        <v>0.53728202749767751</v>
      </c>
      <c r="M15" s="176">
        <f t="shared" si="6"/>
        <v>-2.9383981069141692E-2</v>
      </c>
      <c r="N15" s="194">
        <f t="shared" si="7"/>
        <v>-1.6265427951798972E-2</v>
      </c>
      <c r="O15" s="226">
        <f t="shared" si="8"/>
        <v>3.9869543608859428E-2</v>
      </c>
      <c r="P15" s="226">
        <f t="shared" si="9"/>
        <v>3.7187275584311598E-2</v>
      </c>
      <c r="Q15" s="182">
        <f t="shared" si="10"/>
        <v>-6.7276115594957622E-2</v>
      </c>
      <c r="R15" s="176">
        <f t="shared" si="11"/>
        <v>-2.6822680245478306E-3</v>
      </c>
    </row>
    <row r="16" spans="1:18" s="4" customFormat="1" ht="15.75" x14ac:dyDescent="0.3">
      <c r="A16" s="173">
        <v>7</v>
      </c>
      <c r="B16" s="178" t="str">
        <f>'Primas Diciembre 2024'!R11</f>
        <v>ASSA CIA. DE SEGUROS</v>
      </c>
      <c r="C16" s="181">
        <f>('Primas Diciembre 2024'!R12)/1000</f>
        <v>89.863385930000007</v>
      </c>
      <c r="D16" s="181">
        <f>('Primas Diciembre 2025'!N12)/1000</f>
        <v>125.78471806</v>
      </c>
      <c r="E16" s="176">
        <f t="shared" si="0"/>
        <v>0.39973268042650073</v>
      </c>
      <c r="F16" s="175">
        <f t="shared" si="1"/>
        <v>35.921332129999996</v>
      </c>
      <c r="G16" s="183">
        <f>('Siniestros Diciembre 2024'!AC12)/1000</f>
        <v>51.687812899999997</v>
      </c>
      <c r="H16" s="183">
        <f>('Siniestros Diciembre  2025'!Z12)/1000</f>
        <v>79.363936439999989</v>
      </c>
      <c r="I16" s="176">
        <f t="shared" si="2"/>
        <v>0.53544775813100798</v>
      </c>
      <c r="J16" s="175">
        <f t="shared" si="3"/>
        <v>27.676123539999992</v>
      </c>
      <c r="K16" s="155">
        <f t="shared" si="4"/>
        <v>0.57518212078346065</v>
      </c>
      <c r="L16" s="155">
        <f t="shared" si="5"/>
        <v>0.63095054521760707</v>
      </c>
      <c r="M16" s="176">
        <f t="shared" si="6"/>
        <v>9.695785459774682E-2</v>
      </c>
      <c r="N16" s="194">
        <f t="shared" si="7"/>
        <v>5.5768424434146424E-2</v>
      </c>
      <c r="O16" s="226">
        <f t="shared" si="8"/>
        <v>2.4499705216791751E-2</v>
      </c>
      <c r="P16" s="226">
        <f t="shared" si="9"/>
        <v>3.1057904798243139E-2</v>
      </c>
      <c r="Q16" s="176">
        <f t="shared" si="10"/>
        <v>0.26768483634474471</v>
      </c>
      <c r="R16" s="176">
        <f t="shared" si="11"/>
        <v>6.5581995814513877E-3</v>
      </c>
    </row>
    <row r="17" spans="1:18" s="4" customFormat="1" ht="15.75" x14ac:dyDescent="0.3">
      <c r="A17" s="173">
        <v>8</v>
      </c>
      <c r="B17" s="180" t="str">
        <f>'Primas Diciembre 2024'!G11</f>
        <v>SEGUROS DAVIVIENDA</v>
      </c>
      <c r="C17" s="175">
        <f>('Primas Diciembre 2024'!G12)/1000</f>
        <v>90.366199109999997</v>
      </c>
      <c r="D17" s="175">
        <f>('Primas Diciembre 2025'!C12)/1000</f>
        <v>112.31358729999999</v>
      </c>
      <c r="E17" s="176">
        <f t="shared" si="0"/>
        <v>0.24287165340753258</v>
      </c>
      <c r="F17" s="175">
        <f t="shared" si="1"/>
        <v>21.947388189999998</v>
      </c>
      <c r="G17" s="365">
        <f>('Siniestros Diciembre 2024'!G12)/1000</f>
        <v>62.357867920000004</v>
      </c>
      <c r="H17" s="365">
        <f>('Siniestros Diciembre  2025'!D12)/1000</f>
        <v>88.201255579999994</v>
      </c>
      <c r="I17" s="176">
        <f t="shared" si="2"/>
        <v>0.41443667851432836</v>
      </c>
      <c r="J17" s="175">
        <f t="shared" si="3"/>
        <v>25.843387659999991</v>
      </c>
      <c r="K17" s="155">
        <f t="shared" si="4"/>
        <v>0.690057438889221</v>
      </c>
      <c r="L17" s="155">
        <f t="shared" si="5"/>
        <v>0.78531242479510754</v>
      </c>
      <c r="M17" s="176">
        <f t="shared" si="6"/>
        <v>0.13803921316929443</v>
      </c>
      <c r="N17" s="194">
        <f t="shared" si="7"/>
        <v>9.5254985905886547E-2</v>
      </c>
      <c r="O17" s="226">
        <f t="shared" si="8"/>
        <v>2.4636788574620191E-2</v>
      </c>
      <c r="P17" s="226">
        <f t="shared" si="9"/>
        <v>2.7731705056958246E-2</v>
      </c>
      <c r="Q17" s="176">
        <f t="shared" si="10"/>
        <v>0.12562174948103061</v>
      </c>
      <c r="R17" s="176">
        <f t="shared" si="11"/>
        <v>3.0949164823380546E-3</v>
      </c>
    </row>
    <row r="18" spans="1:18" s="349" customFormat="1" ht="15.75" x14ac:dyDescent="0.3">
      <c r="A18" s="28">
        <v>9</v>
      </c>
      <c r="B18" s="180" t="str">
        <f>'Primas Diciembre 2024'!Q11</f>
        <v>ASEGURADORA RURAL</v>
      </c>
      <c r="C18" s="181">
        <f>('Primas Diciembre 2024'!Q12)/1000</f>
        <v>49.346351659999996</v>
      </c>
      <c r="D18" s="181">
        <f>('Primas Diciembre 2025'!M12)/1000</f>
        <v>89.300424210000003</v>
      </c>
      <c r="E18" s="182">
        <f t="shared" si="0"/>
        <v>0.80966619022387942</v>
      </c>
      <c r="F18" s="181">
        <f t="shared" si="1"/>
        <v>39.954072550000006</v>
      </c>
      <c r="G18" s="183">
        <f>('Siniestros Diciembre 2024'!AA12)/1000</f>
        <v>56.993020420000001</v>
      </c>
      <c r="H18" s="183">
        <f>('Siniestros Diciembre  2025'!X12)/1000</f>
        <v>67.768248709999995</v>
      </c>
      <c r="I18" s="182">
        <f t="shared" si="2"/>
        <v>0.18906224324652127</v>
      </c>
      <c r="J18" s="181">
        <f t="shared" si="3"/>
        <v>10.775228289999994</v>
      </c>
      <c r="K18" s="158">
        <f t="shared" si="4"/>
        <v>1.1549591510368611</v>
      </c>
      <c r="L18" s="158">
        <f t="shared" si="5"/>
        <v>0.75887935930332562</v>
      </c>
      <c r="M18" s="182">
        <f t="shared" si="6"/>
        <v>-0.34293835533313538</v>
      </c>
      <c r="N18" s="280">
        <f t="shared" si="7"/>
        <v>-0.39607979173353547</v>
      </c>
      <c r="O18" s="226">
        <f t="shared" si="8"/>
        <v>1.3453433305260526E-2</v>
      </c>
      <c r="P18" s="226">
        <f t="shared" si="9"/>
        <v>2.204945176435455E-2</v>
      </c>
      <c r="Q18" s="182">
        <f t="shared" si="10"/>
        <v>0.63894607897099631</v>
      </c>
      <c r="R18" s="182">
        <f t="shared" si="11"/>
        <v>8.5960184590940236E-3</v>
      </c>
    </row>
    <row r="19" spans="1:18" s="4" customFormat="1" ht="15.75" x14ac:dyDescent="0.3">
      <c r="A19" s="173">
        <v>10</v>
      </c>
      <c r="B19" s="178" t="str">
        <f>'Primas Diciembre 2024'!K11</f>
        <v>SEGUROS CONTINENTAL</v>
      </c>
      <c r="C19" s="175">
        <f>('Primas Diciembre 2024'!K12)/1000</f>
        <v>72.925600840000001</v>
      </c>
      <c r="D19" s="175">
        <f>('Primas Diciembre 2025'!G12)/1000</f>
        <v>74.618928170000004</v>
      </c>
      <c r="E19" s="176">
        <f t="shared" si="0"/>
        <v>2.3219929770824807E-2</v>
      </c>
      <c r="F19" s="175">
        <f t="shared" si="1"/>
        <v>1.6933273300000025</v>
      </c>
      <c r="G19" s="365">
        <f>('Siniestros Diciembre 2024'!O12)/1000</f>
        <v>38.344440460000001</v>
      </c>
      <c r="H19" s="365">
        <f>('Siniestros Diciembre  2025'!L12)/1000</f>
        <v>74.88383322</v>
      </c>
      <c r="I19" s="176">
        <f t="shared" si="2"/>
        <v>0.95292543903768823</v>
      </c>
      <c r="J19" s="175">
        <f t="shared" si="3"/>
        <v>36.539392759999998</v>
      </c>
      <c r="K19" s="155">
        <f t="shared" si="4"/>
        <v>0.5258021876861646</v>
      </c>
      <c r="L19" s="155">
        <f t="shared" si="5"/>
        <v>1.0035501052681497</v>
      </c>
      <c r="M19" s="176">
        <f t="shared" si="6"/>
        <v>0.90860770223181031</v>
      </c>
      <c r="N19" s="194">
        <f t="shared" si="7"/>
        <v>0.47774791758198509</v>
      </c>
      <c r="O19" s="226">
        <f t="shared" si="8"/>
        <v>1.9881909688214447E-2</v>
      </c>
      <c r="P19" s="226">
        <f t="shared" si="9"/>
        <v>1.8424396882181976E-2</v>
      </c>
      <c r="Q19" s="176">
        <f t="shared" si="10"/>
        <v>-7.3308491432110878E-2</v>
      </c>
      <c r="R19" s="176">
        <f t="shared" si="11"/>
        <v>-1.457512806032471E-3</v>
      </c>
    </row>
    <row r="20" spans="1:18" s="349" customFormat="1" ht="15.75" x14ac:dyDescent="0.3">
      <c r="A20" s="28">
        <v>11</v>
      </c>
      <c r="B20" s="180" t="str">
        <f>'Primas Diciembre 2024'!N11</f>
        <v>SEGUROS EQUIDAD</v>
      </c>
      <c r="C20" s="181">
        <f>('Primas Diciembre 2024'!N12)/1000</f>
        <v>75.339583469999994</v>
      </c>
      <c r="D20" s="181">
        <f>('Primas Diciembre 2025'!J12)/1000</f>
        <v>69.227718870000018</v>
      </c>
      <c r="E20" s="182">
        <f t="shared" si="0"/>
        <v>-8.1124215432299307E-2</v>
      </c>
      <c r="F20" s="181">
        <f t="shared" si="1"/>
        <v>-6.1118645999999757</v>
      </c>
      <c r="G20" s="183">
        <f>('Siniestros Diciembre 2024'!U12)/1000</f>
        <v>56.215273430000003</v>
      </c>
      <c r="H20" s="183">
        <f>('Siniestros Diciembre  2025'!R12)/1000</f>
        <v>49.006646430000004</v>
      </c>
      <c r="I20" s="182">
        <f t="shared" si="2"/>
        <v>-0.12823253468608095</v>
      </c>
      <c r="J20" s="181">
        <f t="shared" si="3"/>
        <v>-7.2086269999999999</v>
      </c>
      <c r="K20" s="158">
        <f t="shared" si="4"/>
        <v>0.74615853766147733</v>
      </c>
      <c r="L20" s="158">
        <f t="shared" si="5"/>
        <v>0.70790497260248653</v>
      </c>
      <c r="M20" s="182">
        <f t="shared" si="6"/>
        <v>-5.126734216414737E-2</v>
      </c>
      <c r="N20" s="280">
        <f t="shared" si="7"/>
        <v>-3.8253565058990802E-2</v>
      </c>
      <c r="O20" s="226">
        <f t="shared" si="8"/>
        <v>2.0540040496678805E-2</v>
      </c>
      <c r="P20" s="226">
        <f t="shared" si="9"/>
        <v>1.7093236247016957E-2</v>
      </c>
      <c r="Q20" s="182">
        <f t="shared" si="10"/>
        <v>-0.16780902891691837</v>
      </c>
      <c r="R20" s="182">
        <f t="shared" si="11"/>
        <v>-3.446804249661848E-3</v>
      </c>
    </row>
    <row r="21" spans="1:18" s="349" customFormat="1" ht="15.75" x14ac:dyDescent="0.3">
      <c r="A21" s="28">
        <v>12</v>
      </c>
      <c r="B21" s="180" t="str">
        <f>'Primas Diciembre 2024'!P11</f>
        <v>SEGUROS LAFISE</v>
      </c>
      <c r="C21" s="181">
        <f>('Primas Diciembre 2024'!P12)/1000</f>
        <v>4.8785931900000001</v>
      </c>
      <c r="D21" s="181">
        <f>('Primas Diciembre 2025'!L12)/1000</f>
        <v>6.7589499399999999</v>
      </c>
      <c r="E21" s="182">
        <f t="shared" si="0"/>
        <v>0.38543011822635692</v>
      </c>
      <c r="F21" s="181">
        <f t="shared" si="1"/>
        <v>1.8803567499999998</v>
      </c>
      <c r="G21" s="183">
        <f>('Siniestros Diciembre 2024'!Y12)/1000</f>
        <v>2.3145313199999999</v>
      </c>
      <c r="H21" s="183">
        <f>('Siniestros Diciembre  2025'!V12)/1000</f>
        <v>4.8600086400000011</v>
      </c>
      <c r="I21" s="182">
        <f t="shared" si="2"/>
        <v>1.0997808921419137</v>
      </c>
      <c r="J21" s="181">
        <f t="shared" si="3"/>
        <v>2.5454773200000012</v>
      </c>
      <c r="K21" s="158">
        <f t="shared" si="4"/>
        <v>0.4744259727874543</v>
      </c>
      <c r="L21" s="158">
        <f t="shared" si="5"/>
        <v>0.71904788216259541</v>
      </c>
      <c r="M21" s="182">
        <f t="shared" si="6"/>
        <v>0.51561660492127648</v>
      </c>
      <c r="N21" s="280">
        <f t="shared" si="7"/>
        <v>0.24462190937514111</v>
      </c>
      <c r="O21" s="226">
        <f t="shared" si="8"/>
        <v>1.330064450506597E-3</v>
      </c>
      <c r="P21" s="226">
        <f t="shared" si="9"/>
        <v>1.6688738267273352E-3</v>
      </c>
      <c r="Q21" s="182">
        <f t="shared" si="10"/>
        <v>0.25473154785220514</v>
      </c>
      <c r="R21" s="182">
        <f t="shared" si="11"/>
        <v>3.3880937622073819E-4</v>
      </c>
    </row>
    <row r="22" spans="1:18" ht="15.75" x14ac:dyDescent="0.3">
      <c r="A22" s="665" t="s">
        <v>29</v>
      </c>
      <c r="B22" s="665"/>
      <c r="C22" s="185">
        <f>SUM(C10:C21)</f>
        <v>3667.937435769999</v>
      </c>
      <c r="D22" s="185">
        <f>SUM(D10:D21)</f>
        <v>4050.0065563700005</v>
      </c>
      <c r="E22" s="186">
        <f>D22/C22-1</f>
        <v>0.10416456858670342</v>
      </c>
      <c r="F22" s="185">
        <f>D22-C22</f>
        <v>382.0691206000015</v>
      </c>
      <c r="G22" s="187">
        <f>SUM(G10:G21)</f>
        <v>2523.8945767799996</v>
      </c>
      <c r="H22" s="187">
        <f>SUM(H10:H21)</f>
        <v>2764.29529727</v>
      </c>
      <c r="I22" s="188">
        <f>H22/G22-1</f>
        <v>9.5249905721777495E-2</v>
      </c>
      <c r="J22" s="189">
        <f>H22-G22</f>
        <v>240.40072049000037</v>
      </c>
      <c r="K22" s="190">
        <f t="shared" si="4"/>
        <v>0.68809640867011301</v>
      </c>
      <c r="L22" s="190">
        <f t="shared" si="5"/>
        <v>0.68254094377260055</v>
      </c>
      <c r="M22" s="190">
        <f t="shared" si="6"/>
        <v>-8.0736722754439823E-3</v>
      </c>
      <c r="N22" s="190">
        <f>L22-K22</f>
        <v>-5.5554648975124632E-3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5.4364568586703424E-2</v>
      </c>
    </row>
  </sheetData>
  <sortState xmlns:xlrd2="http://schemas.microsoft.com/office/spreadsheetml/2017/richdata2" ref="B10:R21">
    <sortCondition descending="1" ref="D10:D21"/>
  </sortState>
  <mergeCells count="6">
    <mergeCell ref="O8:R8"/>
    <mergeCell ref="K8:N8"/>
    <mergeCell ref="G8:J8"/>
    <mergeCell ref="A22:B22"/>
    <mergeCell ref="A8:A9"/>
    <mergeCell ref="C8:F8"/>
  </mergeCells>
  <pageMargins left="0.7" right="0.7" top="0.75" bottom="0.75" header="0.3" footer="0.3"/>
  <pageSetup paperSize="9" orientation="portrait" r:id="rId1"/>
  <ignoredErrors>
    <ignoredError sqref="I22"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5920-108F-4C0B-ACE9-8636E716824C}">
  <sheetPr>
    <tabColor theme="0" tint="-0.249977111117893"/>
  </sheetPr>
  <dimension ref="A1:R25"/>
  <sheetViews>
    <sheetView showGridLines="0" zoomScaleNormal="100" workbookViewId="0">
      <selection activeCell="B9" sqref="B9:R21"/>
    </sheetView>
  </sheetViews>
  <sheetFormatPr baseColWidth="10" defaultRowHeight="15" x14ac:dyDescent="0.3"/>
  <cols>
    <col min="1" max="1" width="5.7109375" customWidth="1"/>
    <col min="2" max="2" width="21.28515625" bestFit="1" customWidth="1"/>
    <col min="3" max="4" width="11.140625" customWidth="1"/>
    <col min="5" max="6" width="12.28515625" customWidth="1"/>
    <col min="7" max="8" width="11.140625" customWidth="1"/>
    <col min="9" max="10" width="12.28515625" customWidth="1"/>
    <col min="11" max="12" width="11.140625" customWidth="1"/>
    <col min="13" max="14" width="12.2851562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9"/>
    </row>
    <row r="5" spans="1:18" s="496" customFormat="1" ht="7.5" customHeight="1" x14ac:dyDescent="0.25">
      <c r="A5" s="503"/>
      <c r="B5" s="498"/>
      <c r="C5" s="498"/>
      <c r="D5" s="498"/>
      <c r="E5" s="498"/>
      <c r="F5" s="498"/>
      <c r="G5" s="498"/>
      <c r="H5" s="498"/>
      <c r="I5" s="498"/>
    </row>
    <row r="6" spans="1:18" s="502" customFormat="1" x14ac:dyDescent="0.25">
      <c r="A6" s="502" t="s">
        <v>355</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2024'!J11</f>
        <v>FICOHSA SEGUROS</v>
      </c>
      <c r="C10" s="175">
        <f>('Primas Diciembre 2024'!J15)/1000</f>
        <v>869.41190503000007</v>
      </c>
      <c r="D10" s="175">
        <f>('Primas Diciembre 2025'!F15)/1000</f>
        <v>954.9196901900001</v>
      </c>
      <c r="E10" s="176">
        <f t="shared" ref="E10:E21" si="0">IFERROR(F10/C10,0%)</f>
        <v>9.8351293173342819E-2</v>
      </c>
      <c r="F10" s="175">
        <f t="shared" ref="F10:F21" si="1">IFERROR(D10-C10,0)</f>
        <v>85.507785160000026</v>
      </c>
      <c r="G10" s="365">
        <f>('Siniestros Diciembre 2024'!M15)/1000</f>
        <v>643.68815610000001</v>
      </c>
      <c r="H10" s="365">
        <f>('Siniestros Diciembre  2025'!J15)/1000</f>
        <v>727.01660577999996</v>
      </c>
      <c r="I10" s="176">
        <f t="shared" ref="I10:I21" si="2">IFERROR(J10/G10,0%)</f>
        <v>0.12945468840823984</v>
      </c>
      <c r="J10" s="175">
        <f t="shared" ref="J10:J21" si="3">IFERROR(H10-G10,0)</f>
        <v>83.328449679999949</v>
      </c>
      <c r="K10" s="155">
        <f t="shared" ref="K10:K22" si="4">IFERROR((G10/C10),0%)</f>
        <v>0.74037191390631907</v>
      </c>
      <c r="L10" s="155">
        <f t="shared" ref="L10:L22" si="5">IFERROR(H10/D10,0%)</f>
        <v>0.7613379567399492</v>
      </c>
      <c r="M10" s="176">
        <f t="shared" ref="M10:M22" si="6">IFERROR(N10/K10,0%)</f>
        <v>2.8318257945537096E-2</v>
      </c>
      <c r="N10" s="194">
        <f t="shared" ref="N10:N21" si="7">IFERROR(L10-K10,0)</f>
        <v>2.0966042833630127E-2</v>
      </c>
      <c r="O10" s="226">
        <f t="shared" ref="O10:O21" si="8">C10/$C$22</f>
        <v>0.26783640946388837</v>
      </c>
      <c r="P10" s="226">
        <f t="shared" ref="P10:P21" si="9">D10/$D$22</f>
        <v>0.27066478358392382</v>
      </c>
      <c r="Q10" s="182">
        <f t="shared" ref="Q10:Q21" si="10">IFERROR(R10/O10,0%)</f>
        <v>1.0560080781014166E-2</v>
      </c>
      <c r="R10" s="176">
        <f t="shared" ref="R10:R21" si="11">IFERROR(P10-O10,0)</f>
        <v>2.8283741200354484E-3</v>
      </c>
    </row>
    <row r="11" spans="1:18" s="4" customFormat="1" ht="15.75" x14ac:dyDescent="0.3">
      <c r="A11" s="173">
        <v>2</v>
      </c>
      <c r="B11" s="180" t="str">
        <f>'Primas Diciembre 2024'!H11</f>
        <v>PALIC</v>
      </c>
      <c r="C11" s="181">
        <f>('Primas Diciembre 2024'!H15)/1000</f>
        <v>667.89290780999988</v>
      </c>
      <c r="D11" s="181">
        <f>('Primas Diciembre 2025'!D15)/1000</f>
        <v>707.39370738000002</v>
      </c>
      <c r="E11" s="176">
        <f t="shared" si="0"/>
        <v>5.9142415061004372E-2</v>
      </c>
      <c r="F11" s="175">
        <f t="shared" si="1"/>
        <v>39.50079957000014</v>
      </c>
      <c r="G11" s="183">
        <f>('Siniestros Diciembre 2024'!I15)/1000</f>
        <v>429.75570063999999</v>
      </c>
      <c r="H11" s="183">
        <f>('Siniestros Diciembre  2025'!F15)/1000</f>
        <v>454.57002226999998</v>
      </c>
      <c r="I11" s="176">
        <f t="shared" si="2"/>
        <v>5.774052931245835E-2</v>
      </c>
      <c r="J11" s="175">
        <f t="shared" si="3"/>
        <v>24.814321629999995</v>
      </c>
      <c r="K11" s="155">
        <f t="shared" si="4"/>
        <v>0.64345001363939558</v>
      </c>
      <c r="L11" s="155">
        <f t="shared" si="5"/>
        <v>0.64259834025610385</v>
      </c>
      <c r="M11" s="176">
        <f t="shared" si="6"/>
        <v>-1.3236045772609566E-3</v>
      </c>
      <c r="N11" s="194">
        <f t="shared" si="7"/>
        <v>-8.5167338329172892E-4</v>
      </c>
      <c r="O11" s="226">
        <f t="shared" si="8"/>
        <v>0.20575522062589366</v>
      </c>
      <c r="P11" s="226">
        <f t="shared" si="9"/>
        <v>0.20050541075191483</v>
      </c>
      <c r="Q11" s="176">
        <f t="shared" si="10"/>
        <v>-2.5514831934807081E-2</v>
      </c>
      <c r="R11" s="176">
        <f t="shared" si="11"/>
        <v>-5.2498098739788279E-3</v>
      </c>
    </row>
    <row r="12" spans="1:18" s="4" customFormat="1" ht="15.75" x14ac:dyDescent="0.3">
      <c r="A12" s="173">
        <v>3</v>
      </c>
      <c r="B12" s="180" t="str">
        <f>'Primas Diciembre 2024'!M11</f>
        <v>CREFISA</v>
      </c>
      <c r="C12" s="181">
        <f>('Primas Diciembre 2024'!M15)/1000</f>
        <v>477.07632992999999</v>
      </c>
      <c r="D12" s="181">
        <f>('Primas Diciembre 2025'!I15)/1000</f>
        <v>513.55569293999997</v>
      </c>
      <c r="E12" s="176">
        <f t="shared" si="0"/>
        <v>7.6464416114193925E-2</v>
      </c>
      <c r="F12" s="175">
        <f t="shared" si="1"/>
        <v>36.479363009999986</v>
      </c>
      <c r="G12" s="183">
        <f>('Siniestros Diciembre 2024'!S15)/1000</f>
        <v>336.48770887000001</v>
      </c>
      <c r="H12" s="183">
        <f>('Siniestros Diciembre  2025'!P15)/1000</f>
        <v>359.60654499000003</v>
      </c>
      <c r="I12" s="176">
        <f t="shared" si="2"/>
        <v>6.8706331644737273E-2</v>
      </c>
      <c r="J12" s="175">
        <f t="shared" si="3"/>
        <v>23.118836120000026</v>
      </c>
      <c r="K12" s="158">
        <f t="shared" si="4"/>
        <v>0.70531210156532365</v>
      </c>
      <c r="L12" s="158">
        <f t="shared" si="5"/>
        <v>0.70022891369644258</v>
      </c>
      <c r="M12" s="176">
        <f t="shared" si="6"/>
        <v>-7.2070050373441372E-3</v>
      </c>
      <c r="N12" s="194">
        <f t="shared" si="7"/>
        <v>-5.0831878688810672E-3</v>
      </c>
      <c r="O12" s="226">
        <f t="shared" si="8"/>
        <v>0.14697108529270878</v>
      </c>
      <c r="P12" s="226">
        <f t="shared" si="9"/>
        <v>0.1455634876062091</v>
      </c>
      <c r="Q12" s="176">
        <f t="shared" si="10"/>
        <v>-9.5773783237450439E-3</v>
      </c>
      <c r="R12" s="176">
        <f t="shared" si="11"/>
        <v>-1.4075976864996731E-3</v>
      </c>
    </row>
    <row r="13" spans="1:18" s="4" customFormat="1" ht="15.75" x14ac:dyDescent="0.3">
      <c r="A13" s="173">
        <v>4</v>
      </c>
      <c r="B13" s="180" t="str">
        <f>'Primas Diciembre 2024'!L11</f>
        <v>SEGUROS ATLÁNTIDA</v>
      </c>
      <c r="C13" s="181">
        <f>('Primas Diciembre 2024'!L15)/1000</f>
        <v>382.18165798999985</v>
      </c>
      <c r="D13" s="181">
        <f>('Primas Diciembre 2025'!H15)/1000</f>
        <v>446.33782847000003</v>
      </c>
      <c r="E13" s="182">
        <f t="shared" si="0"/>
        <v>0.16786826143728462</v>
      </c>
      <c r="F13" s="181">
        <f t="shared" si="1"/>
        <v>64.156170480000185</v>
      </c>
      <c r="G13" s="183">
        <f>('Siniestros Diciembre 2024'!Q15)/1000</f>
        <v>351.03240850000003</v>
      </c>
      <c r="H13" s="183">
        <f>('Siniestros Diciembre  2025'!N15)/1000</f>
        <v>379.11830257000003</v>
      </c>
      <c r="I13" s="182">
        <f t="shared" si="2"/>
        <v>8.0009404801152401E-2</v>
      </c>
      <c r="J13" s="181">
        <f t="shared" si="3"/>
        <v>28.085894069999995</v>
      </c>
      <c r="K13" s="158">
        <f t="shared" si="4"/>
        <v>0.91849622074009929</v>
      </c>
      <c r="L13" s="158">
        <f t="shared" si="5"/>
        <v>0.84939764991369515</v>
      </c>
      <c r="M13" s="182">
        <f t="shared" si="6"/>
        <v>-7.5230109026171485E-2</v>
      </c>
      <c r="N13" s="280">
        <f t="shared" si="7"/>
        <v>-6.9098570826404138E-2</v>
      </c>
      <c r="O13" s="226">
        <f t="shared" si="8"/>
        <v>0.11773724565626371</v>
      </c>
      <c r="P13" s="226">
        <f t="shared" si="9"/>
        <v>0.1265110909212836</v>
      </c>
      <c r="Q13" s="176">
        <f t="shared" si="10"/>
        <v>7.4520558181183402E-2</v>
      </c>
      <c r="R13" s="176">
        <f t="shared" si="11"/>
        <v>8.7738452650198834E-3</v>
      </c>
    </row>
    <row r="14" spans="1:18" s="349" customFormat="1" ht="15.75" x14ac:dyDescent="0.3">
      <c r="A14" s="28">
        <v>5</v>
      </c>
      <c r="B14" s="178" t="str">
        <f>'Primas Diciembre 2024'!I11</f>
        <v>MAPFRE SEGUROS</v>
      </c>
      <c r="C14" s="175">
        <f>('Primas Diciembre 2024'!I15)/1000</f>
        <v>441.92554873000006</v>
      </c>
      <c r="D14" s="175">
        <f>('Primas Diciembre 2025'!E15)/1000</f>
        <v>413.58125612999999</v>
      </c>
      <c r="E14" s="176">
        <f t="shared" si="0"/>
        <v>-6.4138162370235299E-2</v>
      </c>
      <c r="F14" s="175">
        <f t="shared" si="1"/>
        <v>-28.344292600000074</v>
      </c>
      <c r="G14" s="365">
        <f>('Siniestros Diciembre 2024'!K15)/1000</f>
        <v>361.42817172000002</v>
      </c>
      <c r="H14" s="365">
        <f>('Siniestros Diciembre  2025'!H15)/1000</f>
        <v>332.01762144999998</v>
      </c>
      <c r="I14" s="176">
        <f t="shared" si="2"/>
        <v>-8.1373153979774779E-2</v>
      </c>
      <c r="J14" s="175">
        <f t="shared" si="3"/>
        <v>-29.410550270000044</v>
      </c>
      <c r="K14" s="155">
        <f t="shared" si="4"/>
        <v>0.81784855561908032</v>
      </c>
      <c r="L14" s="155">
        <f t="shared" si="5"/>
        <v>0.80278691678821557</v>
      </c>
      <c r="M14" s="176">
        <f t="shared" si="6"/>
        <v>-1.841617097368799E-2</v>
      </c>
      <c r="N14" s="194">
        <f t="shared" si="7"/>
        <v>-1.5061638830864754E-2</v>
      </c>
      <c r="O14" s="226">
        <f t="shared" si="8"/>
        <v>0.13614231820085043</v>
      </c>
      <c r="P14" s="226">
        <f t="shared" si="9"/>
        <v>0.11722648756202812</v>
      </c>
      <c r="Q14" s="176">
        <f t="shared" si="10"/>
        <v>-0.13894159353828417</v>
      </c>
      <c r="R14" s="176">
        <f t="shared" si="11"/>
        <v>-1.8915830638822309E-2</v>
      </c>
    </row>
    <row r="15" spans="1:18" s="4" customFormat="1" ht="15.75" x14ac:dyDescent="0.3">
      <c r="A15" s="173">
        <v>6</v>
      </c>
      <c r="B15" s="178" t="str">
        <f>'Primas Diciembre 2024'!R11</f>
        <v>ASSA CIA. DE SEGUROS</v>
      </c>
      <c r="C15" s="175">
        <f>('Primas Diciembre 2024'!N15)/1000</f>
        <v>71.898293310000014</v>
      </c>
      <c r="D15" s="166">
        <f>('Primas Diciembre 2025'!N15)/1000</f>
        <v>100.5240161</v>
      </c>
      <c r="E15" s="176">
        <f t="shared" si="0"/>
        <v>0.39814189561601959</v>
      </c>
      <c r="F15" s="175">
        <f t="shared" si="1"/>
        <v>28.625722789999983</v>
      </c>
      <c r="G15" s="365">
        <f>('Siniestros Diciembre 2024'!U15)/1000</f>
        <v>55.066514920000003</v>
      </c>
      <c r="H15" s="429">
        <f>('Siniestros Diciembre  2025'!Z15)/1000</f>
        <v>75.186177479999998</v>
      </c>
      <c r="I15" s="176">
        <f t="shared" si="2"/>
        <v>0.36537018166538426</v>
      </c>
      <c r="J15" s="175">
        <f t="shared" si="3"/>
        <v>20.119662559999995</v>
      </c>
      <c r="K15" s="155">
        <f t="shared" si="4"/>
        <v>0.76589460451547386</v>
      </c>
      <c r="L15" s="155">
        <f t="shared" si="5"/>
        <v>0.74794243601654109</v>
      </c>
      <c r="M15" s="176">
        <f t="shared" si="6"/>
        <v>-2.3439476388908385E-2</v>
      </c>
      <c r="N15" s="194">
        <f t="shared" si="7"/>
        <v>-1.7952168498932775E-2</v>
      </c>
      <c r="O15" s="226">
        <f t="shared" si="8"/>
        <v>2.214943298489503E-2</v>
      </c>
      <c r="P15" s="226">
        <f t="shared" si="9"/>
        <v>2.849277414866138E-2</v>
      </c>
      <c r="Q15" s="176">
        <f t="shared" si="10"/>
        <v>0.28638842213668581</v>
      </c>
      <c r="R15" s="176">
        <f t="shared" si="11"/>
        <v>6.34334116376635E-3</v>
      </c>
    </row>
    <row r="16" spans="1:18" s="4" customFormat="1" ht="15.75" x14ac:dyDescent="0.3">
      <c r="A16" s="173">
        <v>7</v>
      </c>
      <c r="B16" s="178" t="str">
        <f>'Primas Diciembre 2024'!O11</f>
        <v>SEGUROS DEL PAÍS</v>
      </c>
      <c r="C16" s="175">
        <f>('Primas Diciembre 2024'!O15)/1000</f>
        <v>101.66851627</v>
      </c>
      <c r="D16" s="175">
        <f>('Primas Diciembre 2025'!K15)/1000</f>
        <v>98.201007079999997</v>
      </c>
      <c r="E16" s="176">
        <f t="shared" si="0"/>
        <v>-3.4106027285687672E-2</v>
      </c>
      <c r="F16" s="175">
        <f t="shared" si="1"/>
        <v>-3.4675091900000012</v>
      </c>
      <c r="G16" s="365">
        <f>('Siniestros Diciembre 2024'!W15)/1000</f>
        <v>73.147582450000002</v>
      </c>
      <c r="H16" s="365">
        <f>('Siniestros Diciembre  2025'!T15)/1000</f>
        <v>73.684766780000004</v>
      </c>
      <c r="I16" s="176">
        <f t="shared" si="2"/>
        <v>7.3438425715189482E-3</v>
      </c>
      <c r="J16" s="175">
        <f t="shared" si="3"/>
        <v>0.53718433000000232</v>
      </c>
      <c r="K16" s="155">
        <f t="shared" si="4"/>
        <v>0.71947132832884808</v>
      </c>
      <c r="L16" s="155">
        <f t="shared" si="5"/>
        <v>0.7503463454297602</v>
      </c>
      <c r="M16" s="176">
        <f t="shared" si="6"/>
        <v>4.2913478112640097E-2</v>
      </c>
      <c r="N16" s="194">
        <f t="shared" si="7"/>
        <v>3.0875017100912117E-2</v>
      </c>
      <c r="O16" s="226">
        <f t="shared" si="8"/>
        <v>3.1320632022330187E-2</v>
      </c>
      <c r="P16" s="226">
        <f t="shared" si="9"/>
        <v>2.7834334763526595E-2</v>
      </c>
      <c r="Q16" s="182">
        <f t="shared" si="10"/>
        <v>-0.11130992683410798</v>
      </c>
      <c r="R16" s="176">
        <f t="shared" si="11"/>
        <v>-3.4862972588035925E-3</v>
      </c>
    </row>
    <row r="17" spans="1:18" s="349" customFormat="1" ht="15.75" x14ac:dyDescent="0.3">
      <c r="A17" s="28">
        <v>8</v>
      </c>
      <c r="B17" s="180" t="str">
        <f>'Primas Diciembre 2024'!Q11</f>
        <v>ASEGURADORA RURAL</v>
      </c>
      <c r="C17" s="181">
        <f>('Primas Diciembre 2024'!R15)/1000</f>
        <v>66.066166240000001</v>
      </c>
      <c r="D17" s="168">
        <f>('Primas Diciembre 2025'!M15)/1000</f>
        <v>89.300424210000003</v>
      </c>
      <c r="E17" s="182">
        <f t="shared" si="0"/>
        <v>0.35168164421099307</v>
      </c>
      <c r="F17" s="181">
        <f t="shared" si="1"/>
        <v>23.234257970000002</v>
      </c>
      <c r="G17" s="183">
        <f>('Siniestros Diciembre 2024'!AC15)/1000</f>
        <v>46.623295079999998</v>
      </c>
      <c r="H17" s="165">
        <f>('Siniestros Diciembre  2025'!X15)/1000</f>
        <v>67.768248709999995</v>
      </c>
      <c r="I17" s="182">
        <f t="shared" si="2"/>
        <v>0.45352765379876703</v>
      </c>
      <c r="J17" s="181">
        <f t="shared" si="3"/>
        <v>21.144953629999996</v>
      </c>
      <c r="K17" s="158">
        <f t="shared" si="4"/>
        <v>0.70570607821604991</v>
      </c>
      <c r="L17" s="158">
        <f t="shared" si="5"/>
        <v>0.75887935930332562</v>
      </c>
      <c r="M17" s="182">
        <f t="shared" si="6"/>
        <v>7.5347630874445792E-2</v>
      </c>
      <c r="N17" s="280">
        <f t="shared" si="7"/>
        <v>5.3173281087275703E-2</v>
      </c>
      <c r="O17" s="226">
        <f t="shared" si="8"/>
        <v>2.0352751843391623E-2</v>
      </c>
      <c r="P17" s="226">
        <f t="shared" si="9"/>
        <v>2.5311531682777475E-2</v>
      </c>
      <c r="Q17" s="182">
        <f t="shared" si="10"/>
        <v>0.24364173835273922</v>
      </c>
      <c r="R17" s="182">
        <f t="shared" si="11"/>
        <v>4.9587798393858525E-3</v>
      </c>
    </row>
    <row r="18" spans="1:18" s="4" customFormat="1" ht="15.75" x14ac:dyDescent="0.3">
      <c r="A18" s="173">
        <v>9</v>
      </c>
      <c r="B18" s="180" t="str">
        <f>'Primas Diciembre 2024'!G11</f>
        <v>SEGUROS DAVIVIENDA</v>
      </c>
      <c r="C18" s="175">
        <f>('Primas Diciembre 2024'!G15)/1000</f>
        <v>63.828601769999999</v>
      </c>
      <c r="D18" s="175">
        <f>('Primas Diciembre 2025'!C15)/1000</f>
        <v>83.423914199999999</v>
      </c>
      <c r="E18" s="176">
        <f t="shared" si="0"/>
        <v>0.30699892973701282</v>
      </c>
      <c r="F18" s="175">
        <f t="shared" si="1"/>
        <v>19.59531243</v>
      </c>
      <c r="G18" s="365">
        <f>('Siniestros Diciembre 2024'!G15)/1000</f>
        <v>55.535783520000003</v>
      </c>
      <c r="H18" s="429">
        <f>('Siniestros Diciembre  2025'!D15)/1000</f>
        <v>80.517116730000012</v>
      </c>
      <c r="I18" s="176">
        <f t="shared" si="2"/>
        <v>0.44982408866174595</v>
      </c>
      <c r="J18" s="175">
        <f t="shared" si="3"/>
        <v>24.98133321000001</v>
      </c>
      <c r="K18" s="155">
        <f t="shared" si="4"/>
        <v>0.87007676778065202</v>
      </c>
      <c r="L18" s="155">
        <f t="shared" si="5"/>
        <v>0.96515630442571598</v>
      </c>
      <c r="M18" s="176">
        <f t="shared" si="6"/>
        <v>0.10927718123952218</v>
      </c>
      <c r="N18" s="194">
        <f t="shared" si="7"/>
        <v>9.5079536645063967E-2</v>
      </c>
      <c r="O18" s="226">
        <f t="shared" si="8"/>
        <v>1.9663433891657239E-2</v>
      </c>
      <c r="P18" s="226">
        <f t="shared" si="9"/>
        <v>2.3645879244750003E-2</v>
      </c>
      <c r="Q18" s="176">
        <f t="shared" si="10"/>
        <v>0.20253051298341274</v>
      </c>
      <c r="R18" s="176">
        <f t="shared" si="11"/>
        <v>3.9824453530927645E-3</v>
      </c>
    </row>
    <row r="19" spans="1:18" s="4" customFormat="1" ht="15.75" x14ac:dyDescent="0.3">
      <c r="A19" s="173">
        <v>10</v>
      </c>
      <c r="B19" s="180" t="str">
        <f>'Primas Diciembre 2024'!N11</f>
        <v>SEGUROS EQUIDAD</v>
      </c>
      <c r="C19" s="181">
        <f>('Primas Diciembre 2024'!K15)/1000</f>
        <v>54.759426570000002</v>
      </c>
      <c r="D19" s="168">
        <f>('Primas Diciembre 2025'!J15)/1000</f>
        <v>65.567323510000008</v>
      </c>
      <c r="E19" s="182">
        <f t="shared" si="0"/>
        <v>0.19737052808951658</v>
      </c>
      <c r="F19" s="181">
        <f t="shared" si="1"/>
        <v>10.807896940000006</v>
      </c>
      <c r="G19" s="183">
        <f>('Siniestros Diciembre 2024'!O15)/1000</f>
        <v>34.08985654</v>
      </c>
      <c r="H19" s="165">
        <f>('Siniestros Diciembre  2025'!R15)/1000</f>
        <v>47.560899939999999</v>
      </c>
      <c r="I19" s="182">
        <f t="shared" si="2"/>
        <v>0.39516280698317069</v>
      </c>
      <c r="J19" s="181">
        <f t="shared" si="3"/>
        <v>13.471043399999999</v>
      </c>
      <c r="K19" s="158">
        <f t="shared" si="4"/>
        <v>0.62253859609764717</v>
      </c>
      <c r="L19" s="158">
        <f t="shared" si="5"/>
        <v>0.72537504040021161</v>
      </c>
      <c r="M19" s="182">
        <f t="shared" si="6"/>
        <v>0.16518886531243152</v>
      </c>
      <c r="N19" s="280">
        <f t="shared" si="7"/>
        <v>0.10283644430256444</v>
      </c>
      <c r="O19" s="226">
        <f t="shared" si="8"/>
        <v>1.6869527679522815E-2</v>
      </c>
      <c r="P19" s="226">
        <f t="shared" si="9"/>
        <v>1.8584563299223835E-2</v>
      </c>
      <c r="Q19" s="182">
        <f t="shared" si="10"/>
        <v>0.10166470883371719</v>
      </c>
      <c r="R19" s="182">
        <f t="shared" si="11"/>
        <v>1.7150356197010198E-3</v>
      </c>
    </row>
    <row r="20" spans="1:18" s="349" customFormat="1" ht="15.75" x14ac:dyDescent="0.3">
      <c r="A20" s="28">
        <v>11</v>
      </c>
      <c r="B20" s="178" t="str">
        <f>'Primas Diciembre 2024'!K11</f>
        <v>SEGUROS CONTINENTAL</v>
      </c>
      <c r="C20" s="175">
        <f>('Primas Diciembre 2024'!Q15)/1000</f>
        <v>49.346351659999996</v>
      </c>
      <c r="D20" s="166">
        <f>('Primas Diciembre 2025'!G15)/1000</f>
        <v>55.248097200000004</v>
      </c>
      <c r="E20" s="176">
        <f t="shared" si="0"/>
        <v>0.11959841693390971</v>
      </c>
      <c r="F20" s="175">
        <f t="shared" si="1"/>
        <v>5.9017455400000074</v>
      </c>
      <c r="G20" s="365">
        <f>('Siniestros Diciembre 2024'!AA15)/1000</f>
        <v>56.993020420000001</v>
      </c>
      <c r="H20" s="429">
        <f>('Siniestros Diciembre  2025'!L15)/1000</f>
        <v>69.722899060000003</v>
      </c>
      <c r="I20" s="176">
        <f t="shared" si="2"/>
        <v>0.22335855419118708</v>
      </c>
      <c r="J20" s="175">
        <f t="shared" si="3"/>
        <v>12.729878640000003</v>
      </c>
      <c r="K20" s="155">
        <f t="shared" si="4"/>
        <v>1.1549591510368611</v>
      </c>
      <c r="L20" s="155">
        <f t="shared" si="5"/>
        <v>1.2619963870900517</v>
      </c>
      <c r="M20" s="176">
        <f t="shared" si="6"/>
        <v>9.2676209333549364E-2</v>
      </c>
      <c r="N20" s="194">
        <f t="shared" si="7"/>
        <v>0.1070372360531906</v>
      </c>
      <c r="O20" s="226">
        <f t="shared" si="8"/>
        <v>1.5201942338598097E-2</v>
      </c>
      <c r="P20" s="226">
        <f t="shared" si="9"/>
        <v>1.5659656435701153E-2</v>
      </c>
      <c r="Q20" s="176">
        <f t="shared" si="10"/>
        <v>3.0108922064577832E-2</v>
      </c>
      <c r="R20" s="176">
        <f t="shared" si="11"/>
        <v>4.5771409710305619E-4</v>
      </c>
    </row>
    <row r="21" spans="1:18" s="349" customFormat="1" ht="15.75" x14ac:dyDescent="0.3">
      <c r="A21" s="28">
        <v>12</v>
      </c>
      <c r="B21" s="180" t="str">
        <f>'Primas Diciembre 2024'!P11</f>
        <v>SEGUROS LAFISE</v>
      </c>
      <c r="C21" s="181">
        <f>('Primas Diciembre 2024'!P15)/1000</f>
        <v>0</v>
      </c>
      <c r="D21" s="181">
        <f>('Primas Diciembre 2025'!L15)/1000</f>
        <v>0</v>
      </c>
      <c r="E21" s="182">
        <f t="shared" si="0"/>
        <v>0</v>
      </c>
      <c r="F21" s="181">
        <f t="shared" si="1"/>
        <v>0</v>
      </c>
      <c r="G21" s="183">
        <f>('Siniestros Diciembre 2024'!Y15)/1000</f>
        <v>0</v>
      </c>
      <c r="H21" s="183">
        <f>('Siniestros Diciembre  2025'!V15)/1000</f>
        <v>0</v>
      </c>
      <c r="I21" s="182">
        <f t="shared" si="2"/>
        <v>0</v>
      </c>
      <c r="J21" s="181">
        <f t="shared" si="3"/>
        <v>0</v>
      </c>
      <c r="K21" s="158">
        <f t="shared" si="4"/>
        <v>0</v>
      </c>
      <c r="L21" s="158">
        <f t="shared" si="5"/>
        <v>0</v>
      </c>
      <c r="M21" s="182">
        <f t="shared" si="6"/>
        <v>0</v>
      </c>
      <c r="N21" s="280">
        <f t="shared" si="7"/>
        <v>0</v>
      </c>
      <c r="O21" s="226">
        <f t="shared" si="8"/>
        <v>0</v>
      </c>
      <c r="P21" s="226">
        <f t="shared" si="9"/>
        <v>0</v>
      </c>
      <c r="Q21" s="182">
        <f t="shared" si="10"/>
        <v>0</v>
      </c>
      <c r="R21" s="182">
        <f t="shared" si="11"/>
        <v>0</v>
      </c>
    </row>
    <row r="22" spans="1:18" ht="15.75" x14ac:dyDescent="0.3">
      <c r="A22" s="665" t="s">
        <v>29</v>
      </c>
      <c r="B22" s="665"/>
      <c r="C22" s="185">
        <f>SUM(C10:C21)</f>
        <v>3246.0557053100001</v>
      </c>
      <c r="D22" s="185">
        <f>SUM(D10:D21)</f>
        <v>3528.0529574100005</v>
      </c>
      <c r="E22" s="186">
        <f>D22/C22-1</f>
        <v>8.6873817857993085E-2</v>
      </c>
      <c r="F22" s="185">
        <f>D22-C22</f>
        <v>281.99725210000042</v>
      </c>
      <c r="G22" s="187">
        <f>SUM(G10:G21)</f>
        <v>2443.8481987599998</v>
      </c>
      <c r="H22" s="187">
        <f>SUM(H10:H21)</f>
        <v>2666.7692057600002</v>
      </c>
      <c r="I22" s="188">
        <f>H22/G22-1</f>
        <v>9.121720699064273E-2</v>
      </c>
      <c r="J22" s="189">
        <f>H22-G22</f>
        <v>222.92100700000037</v>
      </c>
      <c r="K22" s="190">
        <f t="shared" si="4"/>
        <v>0.75286699324422435</v>
      </c>
      <c r="L22" s="190">
        <f t="shared" si="5"/>
        <v>0.75587561693453653</v>
      </c>
      <c r="M22" s="190">
        <f t="shared" si="6"/>
        <v>3.9962220648663898E-3</v>
      </c>
      <c r="N22" s="190">
        <f>L22-K22</f>
        <v>3.0086236903121844E-3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3.7073817857993088E-2</v>
      </c>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CC6F-948F-4DB5-885B-B351E6B6D380}">
  <sheetPr>
    <tabColor theme="0" tint="-0.249977111117893"/>
  </sheetPr>
  <dimension ref="A1:R25"/>
  <sheetViews>
    <sheetView showGridLines="0" zoomScaleNormal="100" workbookViewId="0">
      <selection activeCell="G27" sqref="G27"/>
    </sheetView>
  </sheetViews>
  <sheetFormatPr baseColWidth="10" defaultRowHeight="15" x14ac:dyDescent="0.3"/>
  <cols>
    <col min="1" max="1" width="5.7109375" customWidth="1"/>
    <col min="2" max="2" width="25.5703125" customWidth="1"/>
    <col min="3" max="4" width="11.140625" customWidth="1"/>
    <col min="5" max="6" width="12.28515625" customWidth="1"/>
    <col min="7" max="8" width="11.140625" customWidth="1"/>
    <col min="9" max="10" width="12.28515625" customWidth="1"/>
    <col min="11" max="12" width="11.140625" customWidth="1"/>
    <col min="13" max="14" width="12.2851562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364</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2024'!I11</f>
        <v>MAPFRE SEGUROS</v>
      </c>
      <c r="C10" s="175">
        <f>('Primas Diciembre 2024'!I14)/1000</f>
        <v>182.07744692</v>
      </c>
      <c r="D10" s="175">
        <f>('Primas Diciembre 2025'!E14)/1000</f>
        <v>219.51421472999999</v>
      </c>
      <c r="E10" s="176">
        <f t="shared" ref="E10:E21" si="0">IFERROR(F10/C10,0%)</f>
        <v>0.20560903309704642</v>
      </c>
      <c r="F10" s="175">
        <f t="shared" ref="F10:F21" si="1">IFERROR(D10-C10,0)</f>
        <v>37.436767809999992</v>
      </c>
      <c r="G10" s="365">
        <f>('Siniestros Diciembre 2024'!K14)/1000</f>
        <v>24.10390104</v>
      </c>
      <c r="H10" s="365">
        <f>('Siniestros Diciembre  2025'!H14)/1000</f>
        <v>23.215908089999999</v>
      </c>
      <c r="I10" s="176">
        <f t="shared" ref="I10:I21" si="2">IFERROR(J10/G10,0%)</f>
        <v>-3.6840217213238317E-2</v>
      </c>
      <c r="J10" s="175">
        <f t="shared" ref="J10:J21" si="3">IFERROR(H10-G10,0)</f>
        <v>-0.887992950000001</v>
      </c>
      <c r="K10" s="155">
        <f t="shared" ref="K10:K22" si="4">IFERROR((G10/C10),0%)</f>
        <v>0.13238268356536553</v>
      </c>
      <c r="L10" s="155">
        <f t="shared" ref="L10:L22" si="5">IFERROR(H10/D10,0%)</f>
        <v>0.10576038603493311</v>
      </c>
      <c r="M10" s="176">
        <f t="shared" ref="M10:M22" si="6">IFERROR(N10/K10,0%)</f>
        <v>-0.20110105652366039</v>
      </c>
      <c r="N10" s="194">
        <f t="shared" ref="N10:N21" si="7">IFERROR(L10-K10,0)</f>
        <v>-2.6622297530432423E-2</v>
      </c>
      <c r="O10" s="226">
        <f t="shared" ref="O10:O21" si="8">C10/$C$22</f>
        <v>0.44070668418364406</v>
      </c>
      <c r="P10" s="226">
        <f t="shared" ref="P10:P21" si="9">D10/$D$22</f>
        <v>0.4296684525471367</v>
      </c>
      <c r="Q10" s="176">
        <f t="shared" ref="Q10:Q21" si="10">IFERROR(R10/O10,0%)</f>
        <v>-2.5046662627671166E-2</v>
      </c>
      <c r="R10" s="176">
        <f t="shared" ref="R10:R21" si="11">IFERROR(P10-O10,0)</f>
        <v>-1.1038231636507356E-2</v>
      </c>
    </row>
    <row r="11" spans="1:18" s="4" customFormat="1" ht="15.75" x14ac:dyDescent="0.3">
      <c r="A11" s="173">
        <v>2</v>
      </c>
      <c r="B11" s="178" t="str">
        <f>'Primas Diciembre 2024'!J11</f>
        <v>FICOHSA SEGUROS</v>
      </c>
      <c r="C11" s="175">
        <f>('Primas Diciembre 2024'!J14)/1000</f>
        <v>39.016209529999998</v>
      </c>
      <c r="D11" s="175">
        <f>('Primas Diciembre 2025'!F14)/1000</f>
        <v>81.356294170000012</v>
      </c>
      <c r="E11" s="176">
        <f t="shared" si="0"/>
        <v>1.0851921585935778</v>
      </c>
      <c r="F11" s="175">
        <f t="shared" si="1"/>
        <v>42.340084640000015</v>
      </c>
      <c r="G11" s="365">
        <f>('Siniestros Diciembre 2024'!M14)/1000</f>
        <v>10.056147989999999</v>
      </c>
      <c r="H11" s="365">
        <f>('Siniestros Diciembre  2025'!J14)/1000</f>
        <v>25.093980800000001</v>
      </c>
      <c r="I11" s="176">
        <f t="shared" si="2"/>
        <v>1.4953869836595357</v>
      </c>
      <c r="J11" s="175">
        <f t="shared" si="3"/>
        <v>15.037832810000001</v>
      </c>
      <c r="K11" s="155">
        <f t="shared" si="4"/>
        <v>0.25774282307633484</v>
      </c>
      <c r="L11" s="155">
        <f t="shared" si="5"/>
        <v>0.30844547500607961</v>
      </c>
      <c r="M11" s="176">
        <f t="shared" si="6"/>
        <v>0.19671799712820068</v>
      </c>
      <c r="N11" s="194">
        <f t="shared" si="7"/>
        <v>5.0702651929744769E-2</v>
      </c>
      <c r="O11" s="226">
        <f t="shared" si="8"/>
        <v>9.4436211745299189E-2</v>
      </c>
      <c r="P11" s="226">
        <f t="shared" si="9"/>
        <v>0.15924359642945818</v>
      </c>
      <c r="Q11" s="182">
        <f t="shared" si="10"/>
        <v>0.68625565857034654</v>
      </c>
      <c r="R11" s="176">
        <f t="shared" si="11"/>
        <v>6.4807384684158989E-2</v>
      </c>
    </row>
    <row r="12" spans="1:18" s="4" customFormat="1" ht="15.75" x14ac:dyDescent="0.3">
      <c r="A12" s="173">
        <v>3</v>
      </c>
      <c r="B12" s="180" t="str">
        <f>'Primas Diciembre 2024'!M11</f>
        <v>CREFISA</v>
      </c>
      <c r="C12" s="181">
        <f>('Primas Diciembre 2024'!M14)/1000</f>
        <v>52.506298450000003</v>
      </c>
      <c r="D12" s="181">
        <f>('Primas Diciembre 2025'!I14)/1000</f>
        <v>55.173322089999999</v>
      </c>
      <c r="E12" s="176">
        <f t="shared" si="0"/>
        <v>5.0794356462581611E-2</v>
      </c>
      <c r="F12" s="175">
        <f t="shared" si="1"/>
        <v>2.6670236399999965</v>
      </c>
      <c r="G12" s="183">
        <f>('Siniestros Diciembre 2024'!S14)/1000</f>
        <v>10.60953763</v>
      </c>
      <c r="H12" s="183">
        <f>('Siniestros Diciembre  2025'!P14)/1000</f>
        <v>9.28287379</v>
      </c>
      <c r="I12" s="176">
        <f t="shared" si="2"/>
        <v>-0.12504445398719982</v>
      </c>
      <c r="J12" s="175">
        <f t="shared" si="3"/>
        <v>-1.3266638400000001</v>
      </c>
      <c r="K12" s="158">
        <f t="shared" si="4"/>
        <v>0.20206218955051858</v>
      </c>
      <c r="L12" s="158">
        <f t="shared" si="5"/>
        <v>0.16824931757521436</v>
      </c>
      <c r="M12" s="176">
        <f t="shared" si="6"/>
        <v>-0.16733893684177115</v>
      </c>
      <c r="N12" s="194">
        <f t="shared" si="7"/>
        <v>-3.3812871975304221E-2</v>
      </c>
      <c r="O12" s="226">
        <f t="shared" si="8"/>
        <v>0.12708809948781497</v>
      </c>
      <c r="P12" s="226">
        <f t="shared" si="9"/>
        <v>0.10799408117352881</v>
      </c>
      <c r="Q12" s="176">
        <f t="shared" si="10"/>
        <v>-0.15024237824971853</v>
      </c>
      <c r="R12" s="176">
        <f t="shared" si="11"/>
        <v>-1.9094018314286157E-2</v>
      </c>
    </row>
    <row r="13" spans="1:18" s="4" customFormat="1" ht="15.75" x14ac:dyDescent="0.3">
      <c r="A13" s="173">
        <v>4</v>
      </c>
      <c r="B13" s="178" t="str">
        <f>'Primas Diciembre 2024'!O11</f>
        <v>SEGUROS DEL PAÍS</v>
      </c>
      <c r="C13" s="175">
        <f>('Primas Diciembre 2024'!O14)/1000</f>
        <v>44.570475279999997</v>
      </c>
      <c r="D13" s="175">
        <f>('Primas Diciembre 2025'!K14)/1000</f>
        <v>52.40770285</v>
      </c>
      <c r="E13" s="176">
        <f t="shared" si="0"/>
        <v>0.1758389947777107</v>
      </c>
      <c r="F13" s="175">
        <f t="shared" si="1"/>
        <v>7.8372275700000031</v>
      </c>
      <c r="G13" s="365">
        <f>('Siniestros Diciembre 2024'!W14)/1000</f>
        <v>7.8026392100000006</v>
      </c>
      <c r="H13" s="365">
        <f>('Siniestros Diciembre  2025'!T14)/1000</f>
        <v>7.2345862500000004</v>
      </c>
      <c r="I13" s="176">
        <f t="shared" si="2"/>
        <v>-7.2802669034340767E-2</v>
      </c>
      <c r="J13" s="175">
        <f t="shared" si="3"/>
        <v>-0.56805296000000016</v>
      </c>
      <c r="K13" s="155">
        <f t="shared" si="4"/>
        <v>0.1750629572824246</v>
      </c>
      <c r="L13" s="155">
        <f t="shared" si="5"/>
        <v>0.13804433044330622</v>
      </c>
      <c r="M13" s="176">
        <f t="shared" si="6"/>
        <v>-0.21145893690917822</v>
      </c>
      <c r="N13" s="194">
        <f t="shared" si="7"/>
        <v>-3.7018626839118385E-2</v>
      </c>
      <c r="O13" s="226">
        <f t="shared" si="8"/>
        <v>0.10787995276410191</v>
      </c>
      <c r="P13" s="226">
        <f t="shared" si="9"/>
        <v>0.10258076732209107</v>
      </c>
      <c r="Q13" s="176">
        <f t="shared" si="10"/>
        <v>-4.912113239054177E-2</v>
      </c>
      <c r="R13" s="176">
        <f t="shared" si="11"/>
        <v>-5.2991854420108425E-3</v>
      </c>
    </row>
    <row r="14" spans="1:18" s="349" customFormat="1" ht="15.75" x14ac:dyDescent="0.3">
      <c r="A14" s="28">
        <v>5</v>
      </c>
      <c r="B14" s="178" t="str">
        <f>'Primas Diciembre 2024'!R11</f>
        <v>ASSA CIA. DE SEGUROS</v>
      </c>
      <c r="C14" s="181">
        <f>('Primas Diciembre 2024'!R14)/1000</f>
        <v>23.797219690000002</v>
      </c>
      <c r="D14" s="181">
        <f>('Primas Diciembre 2025'!N14)/1000</f>
        <v>25.260701960000002</v>
      </c>
      <c r="E14" s="176">
        <f t="shared" si="0"/>
        <v>6.1498035865718392E-2</v>
      </c>
      <c r="F14" s="175">
        <f t="shared" si="1"/>
        <v>1.4634822700000001</v>
      </c>
      <c r="G14" s="183">
        <f>('Siniestros Diciembre 2024'!AC14)/1000</f>
        <v>5.0645178199999998</v>
      </c>
      <c r="H14" s="183">
        <f>('Siniestros Diciembre  2025'!Z14)/1000</f>
        <v>4.1777589600000002</v>
      </c>
      <c r="I14" s="176">
        <f t="shared" si="2"/>
        <v>-0.17509245529715595</v>
      </c>
      <c r="J14" s="175">
        <f t="shared" si="3"/>
        <v>-0.88675885999999959</v>
      </c>
      <c r="K14" s="155">
        <f t="shared" si="4"/>
        <v>0.21281972793351975</v>
      </c>
      <c r="L14" s="155">
        <f t="shared" si="5"/>
        <v>0.16538570331954464</v>
      </c>
      <c r="M14" s="176">
        <f t="shared" si="6"/>
        <v>-0.22288358825828622</v>
      </c>
      <c r="N14" s="194">
        <f t="shared" si="7"/>
        <v>-4.7434024613975112E-2</v>
      </c>
      <c r="O14" s="226">
        <f t="shared" si="8"/>
        <v>5.7599631144749065E-2</v>
      </c>
      <c r="P14" s="226">
        <f t="shared" si="9"/>
        <v>4.944430015503818E-2</v>
      </c>
      <c r="Q14" s="176">
        <f t="shared" si="10"/>
        <v>-0.14158651414305709</v>
      </c>
      <c r="R14" s="176">
        <f t="shared" si="11"/>
        <v>-8.155330989710885E-3</v>
      </c>
    </row>
    <row r="15" spans="1:18" s="4" customFormat="1" ht="15.75" x14ac:dyDescent="0.3">
      <c r="A15" s="173">
        <v>6</v>
      </c>
      <c r="B15" s="180" t="str">
        <f>'Primas Diciembre 2024'!G11</f>
        <v>SEGUROS DAVIVIENDA</v>
      </c>
      <c r="C15" s="175">
        <f>('Primas Diciembre 2024'!G14)/1000</f>
        <v>23.628646989999996</v>
      </c>
      <c r="D15" s="175">
        <f>('Primas Diciembre 2025'!C14)/1000</f>
        <v>24.514412640000003</v>
      </c>
      <c r="E15" s="176">
        <f t="shared" si="0"/>
        <v>3.7486939069125556E-2</v>
      </c>
      <c r="F15" s="175">
        <f t="shared" si="1"/>
        <v>0.88576565000000684</v>
      </c>
      <c r="G15" s="365">
        <f>('Siniestros Diciembre 2024'!G14)/1000</f>
        <v>6.8220844000000005</v>
      </c>
      <c r="H15" s="365">
        <f>('Siniestros Diciembre  2025'!D14)/1000</f>
        <v>7.6841388499999992</v>
      </c>
      <c r="I15" s="176">
        <f t="shared" si="2"/>
        <v>0.12636232556724139</v>
      </c>
      <c r="J15" s="175">
        <f t="shared" si="3"/>
        <v>0.8620544499999987</v>
      </c>
      <c r="K15" s="155">
        <f t="shared" si="4"/>
        <v>0.28872090741747553</v>
      </c>
      <c r="L15" s="155">
        <f t="shared" si="5"/>
        <v>0.31345392454811832</v>
      </c>
      <c r="M15" s="176">
        <f t="shared" si="6"/>
        <v>8.566410154315611E-2</v>
      </c>
      <c r="N15" s="194">
        <f t="shared" si="7"/>
        <v>2.4733017130642798E-2</v>
      </c>
      <c r="O15" s="226">
        <f t="shared" si="8"/>
        <v>5.7191611827048898E-2</v>
      </c>
      <c r="P15" s="226">
        <f t="shared" si="9"/>
        <v>4.7983542920381379E-2</v>
      </c>
      <c r="Q15" s="176">
        <f t="shared" si="10"/>
        <v>-0.16100383627083828</v>
      </c>
      <c r="R15" s="176">
        <f t="shared" si="11"/>
        <v>-9.2080689066675186E-3</v>
      </c>
    </row>
    <row r="16" spans="1:18" s="4" customFormat="1" ht="15" customHeight="1" x14ac:dyDescent="0.3">
      <c r="A16" s="173">
        <v>7</v>
      </c>
      <c r="B16" s="178" t="str">
        <f>'Primas Diciembre 2024'!K11</f>
        <v>SEGUROS CONTINENTAL</v>
      </c>
      <c r="C16" s="175">
        <f>('Primas Diciembre 2024'!K14)/1000</f>
        <v>18.166174269999999</v>
      </c>
      <c r="D16" s="175">
        <f>('Primas Diciembre 2025'!G14)/1000</f>
        <v>19.37083097</v>
      </c>
      <c r="E16" s="176">
        <f t="shared" si="0"/>
        <v>6.6313175360725035E-2</v>
      </c>
      <c r="F16" s="175">
        <f t="shared" si="1"/>
        <v>1.204656700000001</v>
      </c>
      <c r="G16" s="365">
        <f>('Siniestros Diciembre 2024'!O14)/1000</f>
        <v>4.25458392</v>
      </c>
      <c r="H16" s="365">
        <f>('Siniestros Diciembre  2025'!L14)/1000</f>
        <v>4.6797341599999998</v>
      </c>
      <c r="I16" s="176">
        <f t="shared" si="2"/>
        <v>9.9927571765936585E-2</v>
      </c>
      <c r="J16" s="175">
        <f t="shared" si="3"/>
        <v>0.42515023999999979</v>
      </c>
      <c r="K16" s="155">
        <f t="shared" si="4"/>
        <v>0.23420362794967287</v>
      </c>
      <c r="L16" s="155">
        <f t="shared" si="5"/>
        <v>0.24158664990921655</v>
      </c>
      <c r="M16" s="176">
        <f t="shared" si="6"/>
        <v>3.1523943604879569E-2</v>
      </c>
      <c r="N16" s="194">
        <f t="shared" si="7"/>
        <v>7.3830219595436841E-3</v>
      </c>
      <c r="O16" s="226">
        <f t="shared" si="8"/>
        <v>4.3970049900532347E-2</v>
      </c>
      <c r="P16" s="226">
        <f t="shared" si="9"/>
        <v>3.7915699343977746E-2</v>
      </c>
      <c r="Q16" s="176">
        <f t="shared" si="10"/>
        <v>-0.13769260144690673</v>
      </c>
      <c r="R16" s="176">
        <f t="shared" si="11"/>
        <v>-6.054350556554601E-3</v>
      </c>
    </row>
    <row r="17" spans="1:18" s="349" customFormat="1" ht="15.75" x14ac:dyDescent="0.3">
      <c r="A17" s="28">
        <v>8</v>
      </c>
      <c r="B17" s="180" t="str">
        <f>'Primas Diciembre 2024'!L11</f>
        <v>SEGUROS ATLÁNTIDA</v>
      </c>
      <c r="C17" s="181">
        <f>('Primas Diciembre 2024'!L14)/1000</f>
        <v>15.369215700000002</v>
      </c>
      <c r="D17" s="181">
        <f>('Primas Diciembre 2025'!H14)/1000</f>
        <v>16.826319590000001</v>
      </c>
      <c r="E17" s="182">
        <f t="shared" si="0"/>
        <v>9.48066523654814E-2</v>
      </c>
      <c r="F17" s="181">
        <f t="shared" si="1"/>
        <v>1.4571038899999991</v>
      </c>
      <c r="G17" s="183">
        <f>('Siniestros Diciembre 2024'!Q14)/1000</f>
        <v>4.4484693599999998</v>
      </c>
      <c r="H17" s="183">
        <f>('Siniestros Diciembre  2025'!N14)/1000</f>
        <v>5.2337250400000004</v>
      </c>
      <c r="I17" s="182">
        <f t="shared" si="2"/>
        <v>0.17652266801271183</v>
      </c>
      <c r="J17" s="181">
        <f t="shared" si="3"/>
        <v>0.78525568000000057</v>
      </c>
      <c r="K17" s="158">
        <f t="shared" si="4"/>
        <v>0.28944023213884618</v>
      </c>
      <c r="L17" s="158">
        <f t="shared" si="5"/>
        <v>0.31104395777139759</v>
      </c>
      <c r="M17" s="182">
        <f t="shared" si="6"/>
        <v>7.4639677673378813E-2</v>
      </c>
      <c r="N17" s="280">
        <f t="shared" si="7"/>
        <v>2.1603725632551418E-2</v>
      </c>
      <c r="O17" s="226">
        <f t="shared" si="8"/>
        <v>3.720019257863507E-2</v>
      </c>
      <c r="P17" s="226">
        <f t="shared" si="9"/>
        <v>3.2935173283385626E-2</v>
      </c>
      <c r="Q17" s="176">
        <f t="shared" si="10"/>
        <v>-0.11465046279623144</v>
      </c>
      <c r="R17" s="176">
        <f t="shared" si="11"/>
        <v>-4.2650192952494448E-3</v>
      </c>
    </row>
    <row r="18" spans="1:18" s="4" customFormat="1" ht="15.75" x14ac:dyDescent="0.3">
      <c r="A18" s="173">
        <v>9</v>
      </c>
      <c r="B18" s="180" t="str">
        <f>'Primas Diciembre 2024'!P11</f>
        <v>SEGUROS LAFISE</v>
      </c>
      <c r="C18" s="181">
        <f>('Primas Diciembre 2024'!P14)/1000</f>
        <v>4.8785931900000001</v>
      </c>
      <c r="D18" s="181">
        <f>('Primas Diciembre 2025'!L14)/1000</f>
        <v>6.7589499399999999</v>
      </c>
      <c r="E18" s="182">
        <f t="shared" si="0"/>
        <v>0.38543011822635692</v>
      </c>
      <c r="F18" s="181">
        <f t="shared" si="1"/>
        <v>1.8803567499999998</v>
      </c>
      <c r="G18" s="183">
        <f>('Siniestros Diciembre 2024'!Y14)/1000</f>
        <v>2.3145313199999999</v>
      </c>
      <c r="H18" s="183">
        <f>('Siniestros Diciembre  2025'!V14)/1000</f>
        <v>4.8600086400000011</v>
      </c>
      <c r="I18" s="182">
        <f t="shared" si="2"/>
        <v>1.0997808921419137</v>
      </c>
      <c r="J18" s="181">
        <f t="shared" si="3"/>
        <v>2.5454773200000012</v>
      </c>
      <c r="K18" s="158">
        <f t="shared" si="4"/>
        <v>0.4744259727874543</v>
      </c>
      <c r="L18" s="158">
        <f t="shared" si="5"/>
        <v>0.71904788216259541</v>
      </c>
      <c r="M18" s="182">
        <f t="shared" si="6"/>
        <v>0.51561660492127648</v>
      </c>
      <c r="N18" s="280">
        <f t="shared" si="7"/>
        <v>0.24462190937514111</v>
      </c>
      <c r="O18" s="226">
        <f t="shared" si="8"/>
        <v>1.1808319287289173E-2</v>
      </c>
      <c r="P18" s="226">
        <f t="shared" si="9"/>
        <v>1.3229701616979027E-2</v>
      </c>
      <c r="Q18" s="182">
        <f t="shared" si="10"/>
        <v>0.12037126496231114</v>
      </c>
      <c r="R18" s="182">
        <f t="shared" si="11"/>
        <v>1.4213823296898541E-3</v>
      </c>
    </row>
    <row r="19" spans="1:18" s="4" customFormat="1" ht="15.75" x14ac:dyDescent="0.3">
      <c r="A19" s="173">
        <v>10</v>
      </c>
      <c r="B19" s="180" t="str">
        <f>'Primas Diciembre 2024'!H11</f>
        <v>PALIC</v>
      </c>
      <c r="C19" s="181">
        <f>('Primas Diciembre 2024'!H14)/1000</f>
        <v>5.6972506900000006</v>
      </c>
      <c r="D19" s="181">
        <f>('Primas Diciembre 2025'!D14)/1000</f>
        <v>6.04894803</v>
      </c>
      <c r="E19" s="176">
        <f t="shared" si="0"/>
        <v>6.1731062776877628E-2</v>
      </c>
      <c r="F19" s="175">
        <f t="shared" si="1"/>
        <v>0.35169733999999941</v>
      </c>
      <c r="G19" s="183">
        <f>('Siniestros Diciembre 2024'!I14)/1000</f>
        <v>0</v>
      </c>
      <c r="H19" s="183">
        <f>('Siniestros Diciembre  2025'!F14)/1000</f>
        <v>0</v>
      </c>
      <c r="I19" s="176">
        <f t="shared" si="2"/>
        <v>0</v>
      </c>
      <c r="J19" s="175">
        <f t="shared" si="3"/>
        <v>0</v>
      </c>
      <c r="K19" s="155">
        <f t="shared" si="4"/>
        <v>0</v>
      </c>
      <c r="L19" s="155">
        <f t="shared" si="5"/>
        <v>0</v>
      </c>
      <c r="M19" s="176">
        <f t="shared" si="6"/>
        <v>0</v>
      </c>
      <c r="N19" s="194">
        <f t="shared" si="7"/>
        <v>0</v>
      </c>
      <c r="O19" s="226">
        <f t="shared" si="8"/>
        <v>1.3789826818343211E-2</v>
      </c>
      <c r="P19" s="226">
        <f t="shared" si="9"/>
        <v>1.1839971925211966E-2</v>
      </c>
      <c r="Q19" s="176">
        <f t="shared" si="10"/>
        <v>-0.14139806966520788</v>
      </c>
      <c r="R19" s="176">
        <f t="shared" si="11"/>
        <v>-1.9498548931312452E-3</v>
      </c>
    </row>
    <row r="20" spans="1:18" s="349" customFormat="1" ht="15.75" x14ac:dyDescent="0.3">
      <c r="A20" s="28">
        <v>11</v>
      </c>
      <c r="B20" s="180" t="str">
        <f>'Primas Diciembre 2024'!N11</f>
        <v>SEGUROS EQUIDAD</v>
      </c>
      <c r="C20" s="181">
        <f>('Primas Diciembre 2024'!N14)/1000</f>
        <v>3.4412901599999999</v>
      </c>
      <c r="D20" s="181">
        <f>('Primas Diciembre 2025'!J14)/1000</f>
        <v>3.6603953599999999</v>
      </c>
      <c r="E20" s="182">
        <f t="shared" si="0"/>
        <v>6.3669493071749586E-2</v>
      </c>
      <c r="F20" s="181">
        <f t="shared" si="1"/>
        <v>0.2191052</v>
      </c>
      <c r="G20" s="183">
        <f>('Siniestros Diciembre 2024'!U14)/1000</f>
        <v>1.1487585100000002</v>
      </c>
      <c r="H20" s="183">
        <f>('Siniestros Diciembre  2025'!R14)/1000</f>
        <v>1.4457464899999999</v>
      </c>
      <c r="I20" s="182">
        <f t="shared" si="2"/>
        <v>0.25852951461486856</v>
      </c>
      <c r="J20" s="181">
        <f t="shared" si="3"/>
        <v>0.29698797999999971</v>
      </c>
      <c r="K20" s="158">
        <f t="shared" si="4"/>
        <v>0.33381623071272787</v>
      </c>
      <c r="L20" s="158">
        <f t="shared" si="5"/>
        <v>0.39497003678859433</v>
      </c>
      <c r="M20" s="182">
        <f t="shared" si="6"/>
        <v>0.18319602358848025</v>
      </c>
      <c r="N20" s="280">
        <f t="shared" si="7"/>
        <v>6.1153806075866457E-2</v>
      </c>
      <c r="O20" s="226">
        <f t="shared" si="8"/>
        <v>8.3294202625422108E-3</v>
      </c>
      <c r="P20" s="226">
        <f t="shared" si="9"/>
        <v>7.1647132828112836E-3</v>
      </c>
      <c r="Q20" s="182">
        <f t="shared" si="10"/>
        <v>-0.13983049756399837</v>
      </c>
      <c r="R20" s="182">
        <f t="shared" si="11"/>
        <v>-1.1647069797309272E-3</v>
      </c>
    </row>
    <row r="21" spans="1:18" s="349" customFormat="1" ht="15.75" x14ac:dyDescent="0.3">
      <c r="A21" s="28">
        <v>12</v>
      </c>
      <c r="B21" s="180" t="str">
        <f>'Primas Diciembre 2024'!Q11</f>
        <v>ASEGURADORA RURAL</v>
      </c>
      <c r="C21" s="567">
        <f>('Primas Diciembre 2024'!Q14)/1000</f>
        <v>0</v>
      </c>
      <c r="D21" s="168">
        <f>('Primas Diciembre 2025'!M14)/1000</f>
        <v>0</v>
      </c>
      <c r="E21" s="182">
        <f t="shared" si="0"/>
        <v>0</v>
      </c>
      <c r="F21" s="181">
        <f t="shared" si="1"/>
        <v>0</v>
      </c>
      <c r="G21" s="183">
        <f>('Siniestros Diciembre 2024'!AA14)/1000</f>
        <v>0</v>
      </c>
      <c r="H21" s="183">
        <f>('Siniestros Diciembre  2025'!X14)/1000</f>
        <v>0</v>
      </c>
      <c r="I21" s="182">
        <f t="shared" si="2"/>
        <v>0</v>
      </c>
      <c r="J21" s="181">
        <f t="shared" si="3"/>
        <v>0</v>
      </c>
      <c r="K21" s="158">
        <f t="shared" si="4"/>
        <v>0</v>
      </c>
      <c r="L21" s="158">
        <f t="shared" si="5"/>
        <v>0</v>
      </c>
      <c r="M21" s="182">
        <f t="shared" si="6"/>
        <v>0</v>
      </c>
      <c r="N21" s="280">
        <f t="shared" si="7"/>
        <v>0</v>
      </c>
      <c r="O21" s="226">
        <f t="shared" si="8"/>
        <v>0</v>
      </c>
      <c r="P21" s="226">
        <f t="shared" si="9"/>
        <v>0</v>
      </c>
      <c r="Q21" s="182">
        <f t="shared" si="10"/>
        <v>0</v>
      </c>
      <c r="R21" s="182">
        <f t="shared" si="11"/>
        <v>0</v>
      </c>
    </row>
    <row r="22" spans="1:18" ht="15.75" x14ac:dyDescent="0.3">
      <c r="A22" s="665" t="s">
        <v>29</v>
      </c>
      <c r="B22" s="665"/>
      <c r="C22" s="185">
        <f>SUM(C10:C21)</f>
        <v>413.14882086999995</v>
      </c>
      <c r="D22" s="185">
        <f>SUM(D10:D21)</f>
        <v>510.89209233000003</v>
      </c>
      <c r="E22" s="186">
        <f>D22/C22-1</f>
        <v>0.23658126690080916</v>
      </c>
      <c r="F22" s="185">
        <f>D22-C22</f>
        <v>97.743271460000074</v>
      </c>
      <c r="G22" s="187">
        <f>SUM(G10:G21)</f>
        <v>76.625171199999997</v>
      </c>
      <c r="H22" s="187">
        <f>SUM(H10:H21)</f>
        <v>92.908461070000001</v>
      </c>
      <c r="I22" s="188">
        <f>H22/G22-1</f>
        <v>0.2125057551584304</v>
      </c>
      <c r="J22" s="189">
        <f>H22-G22</f>
        <v>16.283289870000004</v>
      </c>
      <c r="K22" s="190">
        <f t="shared" si="4"/>
        <v>0.18546627106098076</v>
      </c>
      <c r="L22" s="190">
        <f t="shared" si="5"/>
        <v>0.18185535157977692</v>
      </c>
      <c r="M22" s="190">
        <f t="shared" si="6"/>
        <v>-1.9469413282248958E-2</v>
      </c>
      <c r="N22" s="190">
        <f>L22-K22</f>
        <v>-3.6109194812038448E-3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0.18678126690080915</v>
      </c>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R173"/>
  <sheetViews>
    <sheetView showGridLines="0" zoomScaleNormal="100" workbookViewId="0">
      <selection activeCell="J26" sqref="J26"/>
    </sheetView>
  </sheetViews>
  <sheetFormatPr baseColWidth="10" defaultColWidth="11.140625" defaultRowHeight="15" x14ac:dyDescent="0.3"/>
  <cols>
    <col min="1" max="1" width="6.5703125" customWidth="1"/>
    <col min="2" max="2" width="22.28515625" customWidth="1"/>
    <col min="3" max="4" width="9.42578125" customWidth="1"/>
    <col min="5" max="6" width="10.5703125" customWidth="1"/>
    <col min="7" max="8" width="9.42578125" customWidth="1"/>
    <col min="9" max="10" width="10.5703125" customWidth="1"/>
    <col min="11" max="12" width="9.42578125" customWidth="1"/>
    <col min="13" max="14" width="10.570312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c r="I3" s="508"/>
      <c r="J3" s="508"/>
      <c r="K3" s="508"/>
      <c r="L3" s="508"/>
      <c r="M3" s="508"/>
      <c r="N3" s="508"/>
    </row>
    <row r="4" spans="1:18" s="502" customFormat="1" x14ac:dyDescent="0.25">
      <c r="A4" s="494" t="s">
        <v>2</v>
      </c>
      <c r="B4" s="505"/>
      <c r="C4" s="505"/>
      <c r="D4" s="505"/>
      <c r="E4" s="505"/>
      <c r="F4" s="505"/>
      <c r="G4" s="505"/>
      <c r="H4" s="505"/>
    </row>
    <row r="5" spans="1:18" s="496" customFormat="1" ht="7.5" customHeight="1" x14ac:dyDescent="0.25">
      <c r="A5" s="503"/>
      <c r="B5" s="504"/>
      <c r="C5" s="504"/>
      <c r="D5" s="504"/>
      <c r="E5" s="504"/>
      <c r="F5" s="504"/>
      <c r="G5" s="504"/>
      <c r="H5" s="504"/>
      <c r="I5" s="504"/>
    </row>
    <row r="6" spans="1:18" s="502" customFormat="1" x14ac:dyDescent="0.25">
      <c r="A6" s="502" t="s">
        <v>31</v>
      </c>
      <c r="C6" s="501"/>
      <c r="D6" s="501"/>
      <c r="E6" s="501"/>
      <c r="F6" s="501"/>
      <c r="G6" s="501"/>
      <c r="H6" s="501"/>
      <c r="I6" s="501"/>
    </row>
    <row r="7" spans="1:18" ht="7.5" customHeight="1" x14ac:dyDescent="0.3">
      <c r="A7" s="114"/>
      <c r="B7" s="113"/>
      <c r="C7" s="113"/>
      <c r="D7" s="113"/>
      <c r="E7" s="113"/>
      <c r="F7" s="113"/>
      <c r="G7" s="113"/>
      <c r="H7" s="113"/>
      <c r="I7" s="113"/>
      <c r="J7" s="113"/>
      <c r="K7" s="108"/>
    </row>
    <row r="8" spans="1:18" s="3" customFormat="1"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s="3" customFormat="1"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3" customFormat="1" ht="15.75" x14ac:dyDescent="0.3">
      <c r="A10" s="173">
        <v>1</v>
      </c>
      <c r="B10" s="174" t="str">
        <f>'Primas Diciembre 2024'!J11</f>
        <v>FICOHSA SEGUROS</v>
      </c>
      <c r="C10" s="175">
        <f>('Primas Diciembre 2024'!J58)/1000</f>
        <v>1164.2642592</v>
      </c>
      <c r="D10" s="175">
        <f>('Primas Diciembre 2025'!F58)/1000</f>
        <v>1159.6978761400001</v>
      </c>
      <c r="E10" s="176">
        <f t="shared" ref="E10:E22" si="0">IFERROR(F10/C10,0%)</f>
        <v>-3.9221190755590165E-3</v>
      </c>
      <c r="F10" s="175">
        <f t="shared" ref="F10:F22" si="1">IFERROR(D10-C10,0)</f>
        <v>-4.5663830599999073</v>
      </c>
      <c r="G10" s="365">
        <f>('Siniestros Diciembre 2024'!M58)/1000</f>
        <v>68.421987880000003</v>
      </c>
      <c r="H10" s="365">
        <f>('Siniestros Diciembre  2025'!J58)/1000</f>
        <v>146.97505219999996</v>
      </c>
      <c r="I10" s="176">
        <f t="shared" ref="I10:I20" si="2">IFERROR(J10/G10,0%)</f>
        <v>1.1480675548007764</v>
      </c>
      <c r="J10" s="175">
        <f t="shared" ref="J10:J22" si="3">IFERROR(H10-G10,0)</f>
        <v>78.553064319999962</v>
      </c>
      <c r="K10" s="155">
        <f t="shared" ref="K10:K20" si="4">IFERROR((G10/C10),0%)</f>
        <v>5.8768434519337345E-2</v>
      </c>
      <c r="L10" s="155">
        <f t="shared" ref="L10:L20" si="5">IFERROR(H10/D10,0%)</f>
        <v>0.12673563970747237</v>
      </c>
      <c r="M10" s="155">
        <f t="shared" ref="M10:M20" si="6">IFERROR(N10/K10,0%)</f>
        <v>1.1565257054068863</v>
      </c>
      <c r="N10" s="177">
        <f t="shared" ref="N10:N20" si="7">L10-K10</f>
        <v>6.7967205188135024E-2</v>
      </c>
      <c r="O10" s="226">
        <f t="shared" ref="O10:O21" si="8">C10/$C$22</f>
        <v>0.32364925502748459</v>
      </c>
      <c r="P10" s="226">
        <f t="shared" ref="P10:P21" si="9">D10/$D$22</f>
        <v>0.29031273948225117</v>
      </c>
      <c r="Q10" s="176">
        <f t="shared" ref="Q10:Q21" si="10">IFERROR(R10/O10,0%)</f>
        <v>-0.10300198448595983</v>
      </c>
      <c r="R10" s="176">
        <f t="shared" ref="R10:R21" si="11">IFERROR(P10-O10,0)</f>
        <v>-3.3336515545233425E-2</v>
      </c>
    </row>
    <row r="11" spans="1:18" s="3" customFormat="1" ht="15.75" x14ac:dyDescent="0.3">
      <c r="A11" s="173">
        <v>2</v>
      </c>
      <c r="B11" s="180" t="str">
        <f>'Primas Diciembre 2024'!L11</f>
        <v>SEGUROS ATLÁNTIDA</v>
      </c>
      <c r="C11" s="181">
        <f>('Primas Diciembre 2024'!L58)/1000</f>
        <v>404.34218626000001</v>
      </c>
      <c r="D11" s="181">
        <f>('Primas Diciembre 2025'!H58)/1000</f>
        <v>507.92870218000002</v>
      </c>
      <c r="E11" s="182">
        <f t="shared" si="0"/>
        <v>0.2561852793005176</v>
      </c>
      <c r="F11" s="181">
        <f t="shared" si="1"/>
        <v>103.58651592000001</v>
      </c>
      <c r="G11" s="183">
        <f>('Siniestros Diciembre 2024'!Q58)/1000</f>
        <v>347.22973089999999</v>
      </c>
      <c r="H11" s="183">
        <f>('Siniestros Diciembre  2025'!N58)/1000</f>
        <v>56.292692779999996</v>
      </c>
      <c r="I11" s="182">
        <f t="shared" si="2"/>
        <v>-0.83788055062539579</v>
      </c>
      <c r="J11" s="181">
        <f t="shared" si="3"/>
        <v>-290.93703812000001</v>
      </c>
      <c r="K11" s="158">
        <f t="shared" si="4"/>
        <v>0.85875217253913849</v>
      </c>
      <c r="L11" s="158">
        <f t="shared" si="5"/>
        <v>0.11082794206823729</v>
      </c>
      <c r="M11" s="158">
        <f t="shared" si="6"/>
        <v>-0.87094304315930426</v>
      </c>
      <c r="N11" s="184">
        <f t="shared" si="7"/>
        <v>-0.74792423047090117</v>
      </c>
      <c r="O11" s="226">
        <f t="shared" si="8"/>
        <v>0.11240149847866551</v>
      </c>
      <c r="P11" s="226">
        <f t="shared" si="9"/>
        <v>0.12715223165049494</v>
      </c>
      <c r="Q11" s="176">
        <f t="shared" si="10"/>
        <v>0.13123253134057822</v>
      </c>
      <c r="R11" s="176">
        <f t="shared" si="11"/>
        <v>1.4750733171829428E-2</v>
      </c>
    </row>
    <row r="12" spans="1:18" s="3" customFormat="1" ht="13.5" customHeight="1" x14ac:dyDescent="0.3">
      <c r="A12" s="173">
        <v>3</v>
      </c>
      <c r="B12" s="180" t="str">
        <f>'Primas Diciembre 2024'!R11</f>
        <v>ASSA CIA. DE SEGUROS</v>
      </c>
      <c r="C12" s="181">
        <f>('Primas Diciembre 2024'!R58)/1000</f>
        <v>482.86120170999999</v>
      </c>
      <c r="D12" s="181">
        <f>('Primas Diciembre 2025'!N58)/1000</f>
        <v>467.57173520999993</v>
      </c>
      <c r="E12" s="176">
        <f t="shared" si="0"/>
        <v>-3.1664309424435204E-2</v>
      </c>
      <c r="F12" s="175">
        <f t="shared" si="1"/>
        <v>-15.28946650000006</v>
      </c>
      <c r="G12" s="183">
        <f>('Siniestros Diciembre 2024'!AC58)/1000</f>
        <v>55.235579229999999</v>
      </c>
      <c r="H12" s="183">
        <f>('Siniestros Diciembre  2025'!Z58)/1000</f>
        <v>1241.9448592100002</v>
      </c>
      <c r="I12" s="182">
        <f t="shared" si="2"/>
        <v>21.484508654078983</v>
      </c>
      <c r="J12" s="175">
        <f t="shared" si="3"/>
        <v>1186.7092799800002</v>
      </c>
      <c r="K12" s="158">
        <f t="shared" si="4"/>
        <v>0.11439224985231626</v>
      </c>
      <c r="L12" s="158">
        <f t="shared" si="5"/>
        <v>2.6561589713120854</v>
      </c>
      <c r="M12" s="158">
        <f t="shared" si="6"/>
        <v>22.219745872130886</v>
      </c>
      <c r="N12" s="184">
        <f t="shared" si="7"/>
        <v>2.5417667214597692</v>
      </c>
      <c r="O12" s="226">
        <f t="shared" si="8"/>
        <v>0.13422869162238169</v>
      </c>
      <c r="P12" s="226">
        <f t="shared" si="9"/>
        <v>0.11704947827023346</v>
      </c>
      <c r="Q12" s="176">
        <f t="shared" si="10"/>
        <v>-0.12798465919996879</v>
      </c>
      <c r="R12" s="176">
        <f t="shared" si="11"/>
        <v>-1.7179213352148226E-2</v>
      </c>
    </row>
    <row r="13" spans="1:18" s="1" customFormat="1" ht="15.75" x14ac:dyDescent="0.3">
      <c r="A13" s="28">
        <v>4</v>
      </c>
      <c r="B13" s="178" t="str">
        <f>'Primas Diciembre 2024'!I11</f>
        <v>MAPFRE SEGUROS</v>
      </c>
      <c r="C13" s="179">
        <f>('Primas Diciembre 2024'!I58)/1000</f>
        <v>418.04862482999999</v>
      </c>
      <c r="D13" s="179">
        <f>('Primas Diciembre 2025'!E58)/1000</f>
        <v>404.74271348000002</v>
      </c>
      <c r="E13" s="176">
        <f t="shared" si="0"/>
        <v>-3.1828621264836932E-2</v>
      </c>
      <c r="F13" s="175">
        <f t="shared" si="1"/>
        <v>-13.305911349999974</v>
      </c>
      <c r="G13" s="365">
        <f>('Siniestros Diciembre 2024'!K58)/1000</f>
        <v>145.48332490000001</v>
      </c>
      <c r="H13" s="365">
        <f>('Siniestros Diciembre  2025'!H58)/1000</f>
        <v>36.105767009999994</v>
      </c>
      <c r="I13" s="176">
        <f t="shared" si="2"/>
        <v>-0.75182195598830459</v>
      </c>
      <c r="J13" s="175">
        <f t="shared" si="3"/>
        <v>-109.37755789000002</v>
      </c>
      <c r="K13" s="155">
        <f t="shared" si="4"/>
        <v>0.34800574923350364</v>
      </c>
      <c r="L13" s="155">
        <f t="shared" si="5"/>
        <v>8.9206712826429002E-2</v>
      </c>
      <c r="M13" s="155">
        <f t="shared" si="6"/>
        <v>-0.74366310607537289</v>
      </c>
      <c r="N13" s="177">
        <f t="shared" si="7"/>
        <v>-0.25879903640707463</v>
      </c>
      <c r="O13" s="226">
        <f t="shared" si="8"/>
        <v>0.11621169757840308</v>
      </c>
      <c r="P13" s="226">
        <f t="shared" si="9"/>
        <v>0.1013211874863119</v>
      </c>
      <c r="Q13" s="182">
        <f t="shared" si="10"/>
        <v>-0.12813262694183764</v>
      </c>
      <c r="R13" s="176">
        <f t="shared" si="11"/>
        <v>-1.4890510092091178E-2</v>
      </c>
    </row>
    <row r="14" spans="1:18" s="3" customFormat="1" ht="15.75" x14ac:dyDescent="0.3">
      <c r="A14" s="173">
        <v>5</v>
      </c>
      <c r="B14" s="178" t="str">
        <f>'Primas Diciembre 2024'!O11</f>
        <v>SEGUROS DEL PAÍS</v>
      </c>
      <c r="C14" s="175">
        <f>('Primas Diciembre 2024'!O58)/1000</f>
        <v>389.23291619000003</v>
      </c>
      <c r="D14" s="175">
        <f>('Primas Diciembre 2025'!K58)/1000</f>
        <v>388.80806339999998</v>
      </c>
      <c r="E14" s="176">
        <f t="shared" si="0"/>
        <v>-1.0915130050117804E-3</v>
      </c>
      <c r="F14" s="175">
        <f t="shared" si="1"/>
        <v>-0.42485279000004539</v>
      </c>
      <c r="G14" s="365">
        <f>('Siniestros Diciembre 2024'!W58)/1000</f>
        <v>42.446307539999999</v>
      </c>
      <c r="H14" s="365">
        <f>('Siniestros Diciembre  2025'!T58)/1000</f>
        <v>176.41223315000002</v>
      </c>
      <c r="I14" s="176">
        <f t="shared" si="2"/>
        <v>3.1561267251280918</v>
      </c>
      <c r="J14" s="175">
        <f t="shared" si="3"/>
        <v>133.96592561000003</v>
      </c>
      <c r="K14" s="155">
        <f t="shared" si="4"/>
        <v>0.10905117674909147</v>
      </c>
      <c r="L14" s="155">
        <f t="shared" si="5"/>
        <v>0.45372575765875955</v>
      </c>
      <c r="M14" s="155">
        <f t="shared" si="6"/>
        <v>3.1606681485217409</v>
      </c>
      <c r="N14" s="177">
        <f t="shared" si="7"/>
        <v>0.34467458090966807</v>
      </c>
      <c r="O14" s="226">
        <f t="shared" si="8"/>
        <v>0.1082013317523205</v>
      </c>
      <c r="P14" s="226">
        <f t="shared" si="9"/>
        <v>9.7332189996022958E-2</v>
      </c>
      <c r="Q14" s="176">
        <f t="shared" si="10"/>
        <v>-0.10045293879725688</v>
      </c>
      <c r="R14" s="176">
        <f t="shared" si="11"/>
        <v>-1.0869141756297537E-2</v>
      </c>
    </row>
    <row r="15" spans="1:18" s="3" customFormat="1" ht="15.75" x14ac:dyDescent="0.3">
      <c r="A15" s="173">
        <v>6</v>
      </c>
      <c r="B15" s="178" t="str">
        <f>'Primas Diciembre 2024'!M11</f>
        <v>CREFISA</v>
      </c>
      <c r="C15" s="175">
        <f>('Primas Diciembre 2024'!M58)/1000</f>
        <v>157.57077687999998</v>
      </c>
      <c r="D15" s="175">
        <f>('Primas Diciembre 2025'!I58)/1000</f>
        <v>337.29488581999999</v>
      </c>
      <c r="E15" s="176">
        <f t="shared" si="0"/>
        <v>1.1405928973547625</v>
      </c>
      <c r="F15" s="175">
        <f t="shared" si="1"/>
        <v>179.72410894000001</v>
      </c>
      <c r="G15" s="365">
        <f>('Siniestros Diciembre 2024'!S58)/1000</f>
        <v>14.66487626</v>
      </c>
      <c r="H15" s="365">
        <f>('Siniestros Diciembre  2025'!P58)/1000</f>
        <v>9.0670236899999992</v>
      </c>
      <c r="I15" s="176">
        <f t="shared" si="2"/>
        <v>-0.38171836371158041</v>
      </c>
      <c r="J15" s="175">
        <f t="shared" si="3"/>
        <v>-5.5978525700000006</v>
      </c>
      <c r="K15" s="155">
        <f t="shared" si="4"/>
        <v>9.3068502614340867E-2</v>
      </c>
      <c r="L15" s="155">
        <f t="shared" si="5"/>
        <v>2.6881592550557335E-2</v>
      </c>
      <c r="M15" s="155">
        <f t="shared" si="6"/>
        <v>-0.71116337111439498</v>
      </c>
      <c r="N15" s="177">
        <f t="shared" si="7"/>
        <v>-6.6186910063783536E-2</v>
      </c>
      <c r="O15" s="226">
        <f t="shared" si="8"/>
        <v>4.3802482252917371E-2</v>
      </c>
      <c r="P15" s="226">
        <f t="shared" si="9"/>
        <v>8.4436648829333688E-2</v>
      </c>
      <c r="Q15" s="176">
        <f t="shared" si="10"/>
        <v>0.92766812487458894</v>
      </c>
      <c r="R15" s="176">
        <f t="shared" si="11"/>
        <v>4.0634166576416317E-2</v>
      </c>
    </row>
    <row r="16" spans="1:18" s="3" customFormat="1" ht="15.75" x14ac:dyDescent="0.3">
      <c r="A16" s="173">
        <v>7</v>
      </c>
      <c r="B16" s="180" t="str">
        <f>'Primas Diciembre 2024'!G11</f>
        <v>SEGUROS DAVIVIENDA</v>
      </c>
      <c r="C16" s="181">
        <f>('Primas Diciembre 2024'!G58)/1000</f>
        <v>250.25759993</v>
      </c>
      <c r="D16" s="181">
        <f>('Primas Diciembre 2025'!C58)/1000</f>
        <v>289.02377435</v>
      </c>
      <c r="E16" s="176">
        <f t="shared" si="0"/>
        <v>0.15490508352530893</v>
      </c>
      <c r="F16" s="175">
        <f t="shared" si="1"/>
        <v>38.766174419999999</v>
      </c>
      <c r="G16" s="183">
        <f>('Siniestros Diciembre 2024'!G58)/1000</f>
        <v>249.19870433</v>
      </c>
      <c r="H16" s="183">
        <f>('Siniestros Diciembre  2025'!D58)/1000</f>
        <v>6.7657204800000006</v>
      </c>
      <c r="I16" s="182">
        <f t="shared" si="2"/>
        <v>-0.97285009768333097</v>
      </c>
      <c r="J16" s="175">
        <f t="shared" si="3"/>
        <v>-242.43298385</v>
      </c>
      <c r="K16" s="155">
        <f t="shared" si="4"/>
        <v>0.99576877745053027</v>
      </c>
      <c r="L16" s="155">
        <f t="shared" si="5"/>
        <v>2.3408871796847048E-2</v>
      </c>
      <c r="M16" s="155">
        <f t="shared" si="6"/>
        <v>-0.97649165918138059</v>
      </c>
      <c r="N16" s="177">
        <f t="shared" si="7"/>
        <v>-0.97235990565368324</v>
      </c>
      <c r="O16" s="226">
        <f t="shared" si="8"/>
        <v>6.956812866347481E-2</v>
      </c>
      <c r="P16" s="226">
        <f t="shared" si="9"/>
        <v>7.2352709643937557E-2</v>
      </c>
      <c r="Q16" s="176">
        <f t="shared" si="10"/>
        <v>4.0026676496254951E-2</v>
      </c>
      <c r="R16" s="176">
        <f t="shared" si="11"/>
        <v>2.7845809804627475E-3</v>
      </c>
    </row>
    <row r="17" spans="1:18" s="1" customFormat="1" ht="15.75" x14ac:dyDescent="0.3">
      <c r="A17" s="28">
        <v>8</v>
      </c>
      <c r="B17" s="178" t="str">
        <f>'Primas Diciembre 2024'!K11</f>
        <v>SEGUROS CONTINENTAL</v>
      </c>
      <c r="C17" s="175">
        <f>('Primas Diciembre 2024'!K58)/1000</f>
        <v>182.88879969999996</v>
      </c>
      <c r="D17" s="175">
        <f>('Primas Diciembre 2025'!G58)/1000</f>
        <v>212.24820515999997</v>
      </c>
      <c r="E17" s="176">
        <f t="shared" si="0"/>
        <v>0.16053145686427736</v>
      </c>
      <c r="F17" s="175">
        <f t="shared" si="1"/>
        <v>29.359405460000005</v>
      </c>
      <c r="G17" s="365">
        <f>('Siniestros Diciembre 2024'!O58)/1000</f>
        <v>26.922790199999998</v>
      </c>
      <c r="H17" s="365">
        <f>('Siniestros Diciembre  2025'!L58)/1000</f>
        <v>12.979743839999999</v>
      </c>
      <c r="I17" s="176">
        <f t="shared" si="2"/>
        <v>-0.51789009446725176</v>
      </c>
      <c r="J17" s="175">
        <f t="shared" si="3"/>
        <v>-13.943046359999999</v>
      </c>
      <c r="K17" s="155">
        <f t="shared" si="4"/>
        <v>0.14720852367210327</v>
      </c>
      <c r="L17" s="155">
        <f t="shared" si="5"/>
        <v>6.1153609427299624E-2</v>
      </c>
      <c r="M17" s="155">
        <f t="shared" si="6"/>
        <v>-0.58457833893154831</v>
      </c>
      <c r="N17" s="177">
        <f t="shared" si="7"/>
        <v>-8.6054914244803646E-2</v>
      </c>
      <c r="O17" s="226">
        <f t="shared" si="8"/>
        <v>5.0840540116251845E-2</v>
      </c>
      <c r="P17" s="226">
        <f t="shared" si="9"/>
        <v>5.3133112647652921E-2</v>
      </c>
      <c r="Q17" s="176">
        <f t="shared" si="10"/>
        <v>4.5093394487133405E-2</v>
      </c>
      <c r="R17" s="176">
        <f t="shared" si="11"/>
        <v>2.2925725314010756E-3</v>
      </c>
    </row>
    <row r="18" spans="1:18" s="3" customFormat="1" ht="15.75" x14ac:dyDescent="0.3">
      <c r="A18" s="173">
        <v>9</v>
      </c>
      <c r="B18" s="180" t="str">
        <f>'Primas Diciembre 2024'!P11</f>
        <v>SEGUROS LAFISE</v>
      </c>
      <c r="C18" s="181">
        <f>('Primas Diciembre 2024'!P58)/1000</f>
        <v>47.272342070000001</v>
      </c>
      <c r="D18" s="181">
        <f>('Primas Diciembre 2025'!L58)/1000</f>
        <v>134.69260664999999</v>
      </c>
      <c r="E18" s="182">
        <f t="shared" si="0"/>
        <v>1.8492898966281317</v>
      </c>
      <c r="F18" s="181">
        <f t="shared" si="1"/>
        <v>87.42026457999998</v>
      </c>
      <c r="G18" s="183">
        <f>('Siniestros Diciembre 2024'!Y58)/1000</f>
        <v>8.8217413900000015</v>
      </c>
      <c r="H18" s="183">
        <f>('Siniestros Diciembre  2025'!V58)/1000</f>
        <v>1.9142492899999999</v>
      </c>
      <c r="I18" s="182">
        <f t="shared" si="2"/>
        <v>-0.78300777529367138</v>
      </c>
      <c r="J18" s="181">
        <f t="shared" si="3"/>
        <v>-6.9074921000000016</v>
      </c>
      <c r="K18" s="158">
        <f t="shared" si="4"/>
        <v>0.1866152808112814</v>
      </c>
      <c r="L18" s="158">
        <f t="shared" si="5"/>
        <v>1.4211984886254334E-2</v>
      </c>
      <c r="M18" s="158">
        <f t="shared" si="6"/>
        <v>-0.92384340218834227</v>
      </c>
      <c r="N18" s="184">
        <f t="shared" si="7"/>
        <v>-0.17240329592502707</v>
      </c>
      <c r="O18" s="226">
        <f t="shared" si="8"/>
        <v>1.3141052964103495E-2</v>
      </c>
      <c r="P18" s="226">
        <f t="shared" si="9"/>
        <v>3.3718247165131672E-2</v>
      </c>
      <c r="Q18" s="182">
        <f t="shared" si="10"/>
        <v>1.5658710346299853</v>
      </c>
      <c r="R18" s="182">
        <f t="shared" si="11"/>
        <v>2.0577194201028177E-2</v>
      </c>
    </row>
    <row r="19" spans="1:18" s="1" customFormat="1" ht="15.75" x14ac:dyDescent="0.3">
      <c r="A19" s="28">
        <v>10</v>
      </c>
      <c r="B19" s="180" t="str">
        <f>'Primas Diciembre 2024'!N11</f>
        <v>SEGUROS EQUIDAD</v>
      </c>
      <c r="C19" s="181">
        <f>('Primas Diciembre 2024'!N58)/1000</f>
        <v>68.17387143000002</v>
      </c>
      <c r="D19" s="181">
        <f>('Primas Diciembre 2025'!J58)/1000</f>
        <v>58.953564770000007</v>
      </c>
      <c r="E19" s="182">
        <f t="shared" si="0"/>
        <v>-0.13524692769527244</v>
      </c>
      <c r="F19" s="181">
        <f t="shared" si="1"/>
        <v>-9.2203066600000128</v>
      </c>
      <c r="G19" s="183">
        <f>('Siniestros Diciembre 2024'!U58)/1000</f>
        <v>64.224130000000002</v>
      </c>
      <c r="H19" s="183">
        <f>('Siniestros Diciembre  2025'!R58)/1000</f>
        <v>7.1290362199999997</v>
      </c>
      <c r="I19" s="182">
        <f t="shared" si="2"/>
        <v>-0.88899754313526702</v>
      </c>
      <c r="J19" s="181">
        <f t="shared" si="3"/>
        <v>-57.095093779999999</v>
      </c>
      <c r="K19" s="158">
        <f t="shared" si="4"/>
        <v>0.94206370641491943</v>
      </c>
      <c r="L19" s="158">
        <f t="shared" si="5"/>
        <v>0.12092629593838891</v>
      </c>
      <c r="M19" s="158">
        <f t="shared" si="6"/>
        <v>-0.87163681700616491</v>
      </c>
      <c r="N19" s="184">
        <f t="shared" si="7"/>
        <v>-0.82113741047653055</v>
      </c>
      <c r="O19" s="226">
        <f t="shared" si="8"/>
        <v>1.895138713252276E-2</v>
      </c>
      <c r="P19" s="226">
        <f t="shared" si="9"/>
        <v>1.475812902890657E-2</v>
      </c>
      <c r="Q19" s="182">
        <f t="shared" si="10"/>
        <v>-0.22126391457752859</v>
      </c>
      <c r="R19" s="182">
        <f t="shared" si="11"/>
        <v>-4.1932581036161903E-3</v>
      </c>
    </row>
    <row r="20" spans="1:18" s="1" customFormat="1" ht="15.75" x14ac:dyDescent="0.3">
      <c r="A20" s="28">
        <v>11</v>
      </c>
      <c r="B20" s="180" t="str">
        <f>'Primas Diciembre 2024'!Q11</f>
        <v>ASEGURADORA RURAL</v>
      </c>
      <c r="C20" s="181">
        <f>('Primas Diciembre 2024'!Q58)/1000</f>
        <v>32.389875350000004</v>
      </c>
      <c r="D20" s="181">
        <f>('Primas Diciembre 2025'!M58)/1000</f>
        <v>33.688187560000003</v>
      </c>
      <c r="E20" s="182">
        <f t="shared" si="0"/>
        <v>4.0083890288883088E-2</v>
      </c>
      <c r="F20" s="181">
        <f t="shared" si="1"/>
        <v>1.2983122099999989</v>
      </c>
      <c r="G20" s="183">
        <f>('Siniestros Diciembre 2024'!AA58)/1000</f>
        <v>6.1390189600000005</v>
      </c>
      <c r="H20" s="183">
        <f>('Siniestros Diciembre  2025'!X58)/1000</f>
        <v>2.1985051800000002</v>
      </c>
      <c r="I20" s="182">
        <f t="shared" si="2"/>
        <v>-0.64188004723152048</v>
      </c>
      <c r="J20" s="181">
        <f t="shared" si="3"/>
        <v>-3.9405137800000003</v>
      </c>
      <c r="K20" s="158">
        <f t="shared" si="4"/>
        <v>0.18953512150518356</v>
      </c>
      <c r="L20" s="158">
        <f t="shared" si="5"/>
        <v>6.5260417352057745E-2</v>
      </c>
      <c r="M20" s="158">
        <f t="shared" si="6"/>
        <v>-0.6556816655731379</v>
      </c>
      <c r="N20" s="184">
        <f t="shared" si="7"/>
        <v>-0.12427470415312582</v>
      </c>
      <c r="O20" s="226">
        <f t="shared" si="8"/>
        <v>9.0039344114743649E-3</v>
      </c>
      <c r="P20" s="226">
        <f t="shared" si="9"/>
        <v>8.4333257997230553E-3</v>
      </c>
      <c r="Q20" s="182">
        <f t="shared" si="10"/>
        <v>-6.3373252810920266E-2</v>
      </c>
      <c r="R20" s="182">
        <f t="shared" si="11"/>
        <v>-5.7060861175130956E-4</v>
      </c>
    </row>
    <row r="21" spans="1:18" s="3" customFormat="1" ht="15" customHeight="1" x14ac:dyDescent="0.3">
      <c r="A21" s="173">
        <v>12</v>
      </c>
      <c r="B21" s="178" t="str">
        <f>'Primas Diciembre 2024'!H11</f>
        <v>PALIC</v>
      </c>
      <c r="C21" s="175">
        <f>('Primas Diciembre 2024'!H58)/1000</f>
        <v>0</v>
      </c>
      <c r="D21" s="175">
        <f>('Primas Diciembre 2025'!D58)/1000</f>
        <v>0</v>
      </c>
      <c r="E21" s="176">
        <f t="shared" si="0"/>
        <v>0</v>
      </c>
      <c r="F21" s="175">
        <f t="shared" si="1"/>
        <v>0</v>
      </c>
      <c r="G21" s="365">
        <f>('Siniestros Diciembre 2024'!I58)/1000</f>
        <v>0</v>
      </c>
      <c r="H21" s="365">
        <f>('Siniestros Diciembre  2025'!F58)/1000</f>
        <v>0</v>
      </c>
      <c r="I21" s="176"/>
      <c r="J21" s="175">
        <f t="shared" si="3"/>
        <v>0</v>
      </c>
      <c r="K21" s="155"/>
      <c r="L21" s="155"/>
      <c r="M21" s="155"/>
      <c r="N21" s="177"/>
      <c r="O21" s="226">
        <f t="shared" si="8"/>
        <v>0</v>
      </c>
      <c r="P21" s="226">
        <f t="shared" si="9"/>
        <v>0</v>
      </c>
      <c r="Q21" s="176">
        <f t="shared" si="10"/>
        <v>0</v>
      </c>
      <c r="R21" s="176">
        <f t="shared" si="11"/>
        <v>0</v>
      </c>
    </row>
    <row r="22" spans="1:18" ht="15.75" x14ac:dyDescent="0.3">
      <c r="A22" s="665" t="s">
        <v>29</v>
      </c>
      <c r="B22" s="665"/>
      <c r="C22" s="185">
        <f>SUM(C10:C21)</f>
        <v>3597.3024535499999</v>
      </c>
      <c r="D22" s="185">
        <f>SUM(D10:D21)</f>
        <v>3994.6503147200006</v>
      </c>
      <c r="E22" s="186">
        <f t="shared" si="0"/>
        <v>0.11045717347949927</v>
      </c>
      <c r="F22" s="185">
        <f t="shared" si="1"/>
        <v>397.34786117000067</v>
      </c>
      <c r="G22" s="187">
        <f>SUM(G10:G21)</f>
        <v>1028.78819159</v>
      </c>
      <c r="H22" s="187">
        <f>SUM(H10:H21)</f>
        <v>1697.7848830500002</v>
      </c>
      <c r="I22" s="188">
        <f>IFERROR(J22/G22,0%)</f>
        <v>0.65027640959414656</v>
      </c>
      <c r="J22" s="189">
        <f t="shared" si="3"/>
        <v>668.99669146000019</v>
      </c>
      <c r="K22" s="190">
        <f>IFERROR((G22/C22),0%)</f>
        <v>0.28598879434636915</v>
      </c>
      <c r="L22" s="190">
        <f>IFERROR(H22/D22,0%)</f>
        <v>0.42501464440924513</v>
      </c>
      <c r="M22" s="190">
        <f>IFERROR(N22/K22,0%)</f>
        <v>0.48612341745983878</v>
      </c>
      <c r="N22" s="190">
        <f>L22-K22</f>
        <v>0.13902585006287599</v>
      </c>
      <c r="O22" s="187"/>
      <c r="P22" s="187"/>
      <c r="Q22" s="188"/>
      <c r="R22" s="189"/>
    </row>
    <row r="23" spans="1:18" x14ac:dyDescent="0.3">
      <c r="A23" s="105"/>
      <c r="B23" s="106"/>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6.0657173479499268E-2</v>
      </c>
    </row>
    <row r="26" spans="1:18" x14ac:dyDescent="0.3">
      <c r="A26" s="105"/>
      <c r="B26" s="106"/>
    </row>
    <row r="27" spans="1:18" x14ac:dyDescent="0.3">
      <c r="A27" s="105"/>
      <c r="B27" s="106"/>
    </row>
    <row r="28" spans="1:18" x14ac:dyDescent="0.3">
      <c r="A28" s="105"/>
      <c r="B28" s="106"/>
    </row>
    <row r="29" spans="1:18" x14ac:dyDescent="0.3">
      <c r="A29" s="105"/>
      <c r="B29" s="106"/>
    </row>
    <row r="30" spans="1:18" x14ac:dyDescent="0.3">
      <c r="A30" s="105"/>
      <c r="B30" s="106"/>
    </row>
    <row r="31" spans="1:18" x14ac:dyDescent="0.3">
      <c r="A31" s="105"/>
      <c r="B31" s="106"/>
    </row>
    <row r="32" spans="1:18" x14ac:dyDescent="0.3">
      <c r="A32" s="105"/>
      <c r="B32" s="106"/>
    </row>
    <row r="33" spans="1:2" x14ac:dyDescent="0.3">
      <c r="A33" s="105"/>
      <c r="B33" s="106"/>
    </row>
    <row r="34" spans="1:2" x14ac:dyDescent="0.3">
      <c r="A34" s="105"/>
      <c r="B34" s="106"/>
    </row>
    <row r="35" spans="1:2" x14ac:dyDescent="0.3">
      <c r="A35" s="105"/>
      <c r="B35" s="106"/>
    </row>
    <row r="36" spans="1:2" x14ac:dyDescent="0.3">
      <c r="A36" s="105"/>
      <c r="B36" s="106"/>
    </row>
    <row r="37" spans="1:2" x14ac:dyDescent="0.3">
      <c r="A37" s="105"/>
      <c r="B37" s="106"/>
    </row>
    <row r="38" spans="1:2" x14ac:dyDescent="0.3">
      <c r="A38" s="105"/>
      <c r="B38" s="106"/>
    </row>
    <row r="39" spans="1:2" x14ac:dyDescent="0.3">
      <c r="A39" s="105"/>
      <c r="B39" s="106"/>
    </row>
    <row r="40" spans="1:2" x14ac:dyDescent="0.3">
      <c r="A40" s="105"/>
      <c r="B40" s="106"/>
    </row>
    <row r="41" spans="1:2" x14ac:dyDescent="0.3">
      <c r="A41" s="105"/>
      <c r="B41" s="106"/>
    </row>
    <row r="42" spans="1:2" x14ac:dyDescent="0.3">
      <c r="A42" s="105"/>
      <c r="B42" s="106"/>
    </row>
    <row r="43" spans="1:2" x14ac:dyDescent="0.3">
      <c r="A43" s="105"/>
      <c r="B43" s="106"/>
    </row>
    <row r="44" spans="1:2" x14ac:dyDescent="0.3">
      <c r="A44" s="105"/>
      <c r="B44" s="106"/>
    </row>
    <row r="45" spans="1:2" x14ac:dyDescent="0.3">
      <c r="A45" s="105"/>
      <c r="B45" s="106"/>
    </row>
    <row r="46" spans="1:2" x14ac:dyDescent="0.3">
      <c r="A46" s="105"/>
      <c r="B46" s="106"/>
    </row>
    <row r="47" spans="1:2" x14ac:dyDescent="0.3">
      <c r="A47" s="105"/>
      <c r="B47" s="106"/>
    </row>
    <row r="48" spans="1:2" x14ac:dyDescent="0.3">
      <c r="A48" s="105"/>
      <c r="B48" s="106"/>
    </row>
    <row r="49" spans="1:2" x14ac:dyDescent="0.3">
      <c r="A49" s="105"/>
      <c r="B49" s="106"/>
    </row>
    <row r="50" spans="1:2" x14ac:dyDescent="0.3">
      <c r="A50" s="105"/>
      <c r="B50" s="106"/>
    </row>
    <row r="51" spans="1:2" x14ac:dyDescent="0.3">
      <c r="A51" s="105"/>
      <c r="B51" s="106"/>
    </row>
    <row r="52" spans="1:2" x14ac:dyDescent="0.3">
      <c r="A52" s="105"/>
      <c r="B52" s="106"/>
    </row>
    <row r="53" spans="1:2" x14ac:dyDescent="0.3">
      <c r="A53" s="105"/>
      <c r="B53" s="106"/>
    </row>
    <row r="54" spans="1:2" x14ac:dyDescent="0.3">
      <c r="A54" s="105"/>
      <c r="B54" s="106"/>
    </row>
    <row r="55" spans="1:2" x14ac:dyDescent="0.3">
      <c r="A55" s="105"/>
      <c r="B55" s="106"/>
    </row>
    <row r="56" spans="1:2" x14ac:dyDescent="0.3">
      <c r="A56" s="105"/>
      <c r="B56" s="106"/>
    </row>
    <row r="57" spans="1:2" x14ac:dyDescent="0.3">
      <c r="A57" s="105"/>
      <c r="B57" s="106"/>
    </row>
    <row r="58" spans="1:2" x14ac:dyDescent="0.3">
      <c r="A58" s="105"/>
      <c r="B58" s="106"/>
    </row>
    <row r="59" spans="1:2" x14ac:dyDescent="0.3">
      <c r="A59" s="105"/>
      <c r="B59" s="106"/>
    </row>
    <row r="60" spans="1:2" x14ac:dyDescent="0.3">
      <c r="A60" s="105"/>
      <c r="B60" s="106"/>
    </row>
    <row r="61" spans="1:2" x14ac:dyDescent="0.3">
      <c r="A61" s="105"/>
      <c r="B61" s="106"/>
    </row>
    <row r="62" spans="1:2" x14ac:dyDescent="0.3">
      <c r="A62" s="105"/>
      <c r="B62" s="106"/>
    </row>
    <row r="63" spans="1:2" x14ac:dyDescent="0.3">
      <c r="A63" s="105"/>
      <c r="B63" s="106"/>
    </row>
    <row r="64" spans="1:2" x14ac:dyDescent="0.3">
      <c r="A64" s="105"/>
      <c r="B64" s="106"/>
    </row>
    <row r="65" spans="1:2" x14ac:dyDescent="0.3">
      <c r="A65" s="105"/>
      <c r="B65" s="106"/>
    </row>
    <row r="66" spans="1:2" x14ac:dyDescent="0.3">
      <c r="A66" s="105"/>
      <c r="B66" s="106"/>
    </row>
    <row r="67" spans="1:2" x14ac:dyDescent="0.3">
      <c r="A67" s="105"/>
      <c r="B67" s="106"/>
    </row>
    <row r="68" spans="1:2" x14ac:dyDescent="0.3">
      <c r="A68" s="105"/>
      <c r="B68" s="106"/>
    </row>
    <row r="69" spans="1:2" x14ac:dyDescent="0.3">
      <c r="A69" s="105"/>
      <c r="B69" s="106"/>
    </row>
    <row r="70" spans="1:2" x14ac:dyDescent="0.3">
      <c r="A70" s="105"/>
      <c r="B70" s="106"/>
    </row>
    <row r="71" spans="1:2" x14ac:dyDescent="0.3">
      <c r="A71" s="105"/>
      <c r="B71" s="106"/>
    </row>
    <row r="72" spans="1:2" x14ac:dyDescent="0.3">
      <c r="A72" s="105"/>
      <c r="B72" s="106"/>
    </row>
    <row r="73" spans="1:2" x14ac:dyDescent="0.3">
      <c r="A73" s="105"/>
      <c r="B73" s="106"/>
    </row>
    <row r="74" spans="1:2" x14ac:dyDescent="0.3">
      <c r="A74" s="105"/>
      <c r="B74" s="106"/>
    </row>
    <row r="75" spans="1:2" x14ac:dyDescent="0.3">
      <c r="A75" s="105"/>
      <c r="B75" s="106"/>
    </row>
    <row r="76" spans="1:2" x14ac:dyDescent="0.3">
      <c r="A76" s="105"/>
      <c r="B76" s="106"/>
    </row>
    <row r="77" spans="1:2" x14ac:dyDescent="0.3">
      <c r="A77" s="105"/>
      <c r="B77" s="106"/>
    </row>
    <row r="78" spans="1:2" x14ac:dyDescent="0.3">
      <c r="A78" s="105"/>
      <c r="B78" s="106"/>
    </row>
    <row r="79" spans="1:2" x14ac:dyDescent="0.3">
      <c r="A79" s="105"/>
      <c r="B79" s="106"/>
    </row>
    <row r="80" spans="1:2" x14ac:dyDescent="0.3">
      <c r="A80" s="105"/>
      <c r="B80" s="106"/>
    </row>
    <row r="81" spans="1:2" x14ac:dyDescent="0.3">
      <c r="A81" s="105"/>
      <c r="B81" s="106"/>
    </row>
    <row r="82" spans="1:2" x14ac:dyDescent="0.3">
      <c r="A82" s="105"/>
      <c r="B82" s="106"/>
    </row>
    <row r="83" spans="1:2" x14ac:dyDescent="0.3">
      <c r="A83" s="105"/>
      <c r="B83" s="106"/>
    </row>
    <row r="84" spans="1:2" x14ac:dyDescent="0.3">
      <c r="A84" s="105"/>
      <c r="B84" s="106"/>
    </row>
    <row r="85" spans="1:2" x14ac:dyDescent="0.3">
      <c r="A85" s="105"/>
      <c r="B85" s="106"/>
    </row>
    <row r="86" spans="1:2" x14ac:dyDescent="0.3">
      <c r="A86" s="105"/>
      <c r="B86" s="106"/>
    </row>
    <row r="87" spans="1:2" x14ac:dyDescent="0.3">
      <c r="A87" s="105"/>
      <c r="B87" s="106"/>
    </row>
    <row r="88" spans="1:2" x14ac:dyDescent="0.3">
      <c r="A88" s="105"/>
      <c r="B88" s="106"/>
    </row>
    <row r="89" spans="1:2" x14ac:dyDescent="0.3">
      <c r="A89" s="105"/>
      <c r="B89" s="106"/>
    </row>
    <row r="90" spans="1:2" x14ac:dyDescent="0.3">
      <c r="A90" s="105"/>
      <c r="B90" s="106"/>
    </row>
    <row r="91" spans="1:2" x14ac:dyDescent="0.3">
      <c r="A91" s="105"/>
      <c r="B91" s="106"/>
    </row>
    <row r="92" spans="1:2" x14ac:dyDescent="0.3">
      <c r="A92" s="105"/>
      <c r="B92" s="106"/>
    </row>
    <row r="93" spans="1:2" x14ac:dyDescent="0.3">
      <c r="A93" s="105"/>
      <c r="B93" s="106"/>
    </row>
    <row r="94" spans="1:2" x14ac:dyDescent="0.3">
      <c r="A94" s="105"/>
      <c r="B94" s="106"/>
    </row>
    <row r="95" spans="1:2" x14ac:dyDescent="0.3">
      <c r="A95" s="105"/>
      <c r="B95" s="106"/>
    </row>
    <row r="96" spans="1:2" x14ac:dyDescent="0.3">
      <c r="A96" s="105"/>
      <c r="B96" s="106"/>
    </row>
    <row r="97" spans="1:2" x14ac:dyDescent="0.3">
      <c r="A97" s="105"/>
      <c r="B97" s="106"/>
    </row>
    <row r="98" spans="1:2" x14ac:dyDescent="0.3">
      <c r="A98" s="105"/>
      <c r="B98" s="106"/>
    </row>
    <row r="99" spans="1:2" x14ac:dyDescent="0.3">
      <c r="A99" s="105"/>
      <c r="B99" s="106"/>
    </row>
    <row r="100" spans="1:2" x14ac:dyDescent="0.3">
      <c r="A100" s="105"/>
      <c r="B100" s="106"/>
    </row>
    <row r="101" spans="1:2" x14ac:dyDescent="0.3">
      <c r="A101" s="105"/>
      <c r="B101" s="106"/>
    </row>
    <row r="102" spans="1:2" x14ac:dyDescent="0.3">
      <c r="A102" s="105"/>
      <c r="B102" s="106"/>
    </row>
    <row r="103" spans="1:2" x14ac:dyDescent="0.3">
      <c r="A103" s="105"/>
      <c r="B103" s="106"/>
    </row>
    <row r="104" spans="1:2" x14ac:dyDescent="0.3">
      <c r="A104" s="105"/>
      <c r="B104" s="106"/>
    </row>
    <row r="105" spans="1:2" x14ac:dyDescent="0.3">
      <c r="A105" s="105"/>
      <c r="B105" s="106"/>
    </row>
    <row r="106" spans="1:2" x14ac:dyDescent="0.3">
      <c r="A106" s="105"/>
      <c r="B106" s="106"/>
    </row>
    <row r="107" spans="1:2" x14ac:dyDescent="0.3">
      <c r="A107" s="105"/>
      <c r="B107" s="106"/>
    </row>
    <row r="108" spans="1:2" x14ac:dyDescent="0.3">
      <c r="A108" s="105"/>
      <c r="B108" s="106"/>
    </row>
    <row r="109" spans="1:2" x14ac:dyDescent="0.3">
      <c r="A109" s="105"/>
      <c r="B109" s="106"/>
    </row>
    <row r="110" spans="1:2" x14ac:dyDescent="0.3">
      <c r="A110" s="105"/>
      <c r="B110" s="106"/>
    </row>
    <row r="111" spans="1:2" x14ac:dyDescent="0.3">
      <c r="A111" s="105"/>
      <c r="B111" s="106"/>
    </row>
    <row r="112" spans="1:2" x14ac:dyDescent="0.3">
      <c r="A112" s="105"/>
      <c r="B112" s="106"/>
    </row>
    <row r="113" spans="1:2" x14ac:dyDescent="0.3">
      <c r="A113" s="105"/>
      <c r="B113" s="106"/>
    </row>
    <row r="114" spans="1:2" x14ac:dyDescent="0.3">
      <c r="A114" s="105"/>
      <c r="B114" s="106"/>
    </row>
    <row r="115" spans="1:2" x14ac:dyDescent="0.3">
      <c r="A115" s="105"/>
      <c r="B115" s="106"/>
    </row>
    <row r="116" spans="1:2" x14ac:dyDescent="0.3">
      <c r="A116" s="105"/>
      <c r="B116" s="106"/>
    </row>
    <row r="117" spans="1:2" x14ac:dyDescent="0.3">
      <c r="A117" s="105"/>
      <c r="B117" s="106"/>
    </row>
    <row r="118" spans="1:2" x14ac:dyDescent="0.3">
      <c r="A118" s="105"/>
      <c r="B118" s="106"/>
    </row>
    <row r="119" spans="1:2" x14ac:dyDescent="0.3">
      <c r="A119" s="105"/>
      <c r="B119" s="106"/>
    </row>
    <row r="120" spans="1:2" x14ac:dyDescent="0.3">
      <c r="A120" s="105"/>
      <c r="B120" s="106"/>
    </row>
    <row r="121" spans="1:2" x14ac:dyDescent="0.3">
      <c r="A121" s="105"/>
      <c r="B121" s="106"/>
    </row>
    <row r="122" spans="1:2" x14ac:dyDescent="0.3">
      <c r="A122" s="105"/>
      <c r="B122" s="106"/>
    </row>
    <row r="123" spans="1:2" x14ac:dyDescent="0.3">
      <c r="A123" s="105"/>
      <c r="B123" s="106"/>
    </row>
    <row r="124" spans="1:2" x14ac:dyDescent="0.3">
      <c r="A124" s="105"/>
      <c r="B124" s="106"/>
    </row>
    <row r="125" spans="1:2" x14ac:dyDescent="0.3">
      <c r="A125" s="105"/>
      <c r="B125" s="106"/>
    </row>
    <row r="126" spans="1:2" x14ac:dyDescent="0.3">
      <c r="A126" s="105"/>
      <c r="B126" s="106"/>
    </row>
    <row r="127" spans="1:2" x14ac:dyDescent="0.3">
      <c r="A127" s="105"/>
      <c r="B127" s="106"/>
    </row>
    <row r="128" spans="1:2" x14ac:dyDescent="0.3">
      <c r="A128" s="105"/>
      <c r="B128" s="106"/>
    </row>
    <row r="129" spans="1:2" x14ac:dyDescent="0.3">
      <c r="A129" s="105"/>
      <c r="B129" s="106"/>
    </row>
    <row r="130" spans="1:2" x14ac:dyDescent="0.3">
      <c r="A130" s="105"/>
      <c r="B130" s="106"/>
    </row>
    <row r="131" spans="1:2" x14ac:dyDescent="0.3">
      <c r="A131" s="105"/>
      <c r="B131" s="106"/>
    </row>
    <row r="132" spans="1:2" x14ac:dyDescent="0.3">
      <c r="A132" s="105"/>
      <c r="B132" s="106"/>
    </row>
    <row r="133" spans="1:2" x14ac:dyDescent="0.3">
      <c r="A133" s="105"/>
      <c r="B133" s="106"/>
    </row>
    <row r="134" spans="1:2" x14ac:dyDescent="0.3">
      <c r="A134" s="105"/>
      <c r="B134" s="106"/>
    </row>
    <row r="135" spans="1:2" x14ac:dyDescent="0.3">
      <c r="A135" s="105"/>
      <c r="B135" s="106"/>
    </row>
    <row r="136" spans="1:2" x14ac:dyDescent="0.3">
      <c r="A136" s="105"/>
      <c r="B136" s="106"/>
    </row>
    <row r="137" spans="1:2" x14ac:dyDescent="0.3">
      <c r="A137" s="105"/>
      <c r="B137" s="106"/>
    </row>
    <row r="138" spans="1:2" x14ac:dyDescent="0.3">
      <c r="A138" s="105"/>
      <c r="B138" s="106"/>
    </row>
    <row r="139" spans="1:2" x14ac:dyDescent="0.3">
      <c r="A139" s="105"/>
      <c r="B139" s="106"/>
    </row>
    <row r="140" spans="1:2" x14ac:dyDescent="0.3">
      <c r="A140" s="105"/>
      <c r="B140" s="106"/>
    </row>
    <row r="141" spans="1:2" x14ac:dyDescent="0.3">
      <c r="A141" s="105"/>
      <c r="B141" s="106"/>
    </row>
    <row r="142" spans="1:2" x14ac:dyDescent="0.3">
      <c r="A142" s="105"/>
      <c r="B142" s="106"/>
    </row>
    <row r="143" spans="1:2" x14ac:dyDescent="0.3">
      <c r="A143" s="105"/>
      <c r="B143" s="106"/>
    </row>
    <row r="144" spans="1:2" x14ac:dyDescent="0.3">
      <c r="A144" s="105"/>
      <c r="B144" s="106"/>
    </row>
    <row r="145" spans="1:2" x14ac:dyDescent="0.3">
      <c r="A145" s="105"/>
      <c r="B145" s="106"/>
    </row>
    <row r="146" spans="1:2" x14ac:dyDescent="0.3">
      <c r="A146" s="105"/>
      <c r="B146" s="106"/>
    </row>
    <row r="147" spans="1:2" x14ac:dyDescent="0.3">
      <c r="A147" s="105"/>
      <c r="B147" s="106"/>
    </row>
    <row r="148" spans="1:2" x14ac:dyDescent="0.3">
      <c r="A148" s="105"/>
      <c r="B148" s="106"/>
    </row>
    <row r="149" spans="1:2" x14ac:dyDescent="0.3">
      <c r="A149" s="105"/>
      <c r="B149" s="106"/>
    </row>
    <row r="150" spans="1:2" x14ac:dyDescent="0.3">
      <c r="A150" s="105"/>
      <c r="B150" s="106"/>
    </row>
    <row r="151" spans="1:2" x14ac:dyDescent="0.3">
      <c r="A151" s="105"/>
      <c r="B151" s="106"/>
    </row>
    <row r="152" spans="1:2" x14ac:dyDescent="0.3">
      <c r="A152" s="105"/>
      <c r="B152" s="106"/>
    </row>
    <row r="153" spans="1:2" x14ac:dyDescent="0.3">
      <c r="A153" s="105"/>
      <c r="B153" s="106"/>
    </row>
    <row r="154" spans="1:2" x14ac:dyDescent="0.3">
      <c r="A154" s="105"/>
      <c r="B154" s="106"/>
    </row>
    <row r="155" spans="1:2" x14ac:dyDescent="0.3">
      <c r="A155" s="105"/>
      <c r="B155" s="106"/>
    </row>
    <row r="156" spans="1:2" x14ac:dyDescent="0.3">
      <c r="A156" s="105"/>
      <c r="B156" s="106"/>
    </row>
    <row r="157" spans="1:2" x14ac:dyDescent="0.3">
      <c r="A157" s="105"/>
      <c r="B157" s="106"/>
    </row>
    <row r="158" spans="1:2" x14ac:dyDescent="0.3">
      <c r="A158" s="105"/>
      <c r="B158" s="106"/>
    </row>
    <row r="159" spans="1:2" x14ac:dyDescent="0.3">
      <c r="A159" s="105"/>
      <c r="B159" s="106"/>
    </row>
    <row r="160" spans="1:2" x14ac:dyDescent="0.3">
      <c r="A160" s="105"/>
      <c r="B160" s="106"/>
    </row>
    <row r="161" spans="1:2" x14ac:dyDescent="0.3">
      <c r="A161" s="105"/>
      <c r="B161" s="106"/>
    </row>
    <row r="162" spans="1:2" x14ac:dyDescent="0.3">
      <c r="A162" s="105"/>
      <c r="B162" s="106"/>
    </row>
    <row r="163" spans="1:2" x14ac:dyDescent="0.3">
      <c r="A163" s="105"/>
      <c r="B163" s="106"/>
    </row>
    <row r="164" spans="1:2" x14ac:dyDescent="0.3">
      <c r="A164" s="105"/>
      <c r="B164" s="106"/>
    </row>
    <row r="165" spans="1:2" x14ac:dyDescent="0.3">
      <c r="A165" s="105"/>
      <c r="B165" s="106"/>
    </row>
    <row r="166" spans="1:2" x14ac:dyDescent="0.3">
      <c r="A166" s="105"/>
      <c r="B166" s="106"/>
    </row>
    <row r="167" spans="1:2" x14ac:dyDescent="0.3">
      <c r="A167" s="105"/>
      <c r="B167" s="106"/>
    </row>
    <row r="168" spans="1:2" x14ac:dyDescent="0.3">
      <c r="A168" s="105"/>
      <c r="B168" s="106"/>
    </row>
    <row r="169" spans="1:2" x14ac:dyDescent="0.3">
      <c r="A169" s="105"/>
      <c r="B169" s="106"/>
    </row>
    <row r="170" spans="1:2" x14ac:dyDescent="0.3">
      <c r="A170" s="105"/>
      <c r="B170" s="106"/>
    </row>
    <row r="171" spans="1:2" x14ac:dyDescent="0.3">
      <c r="A171" s="105"/>
      <c r="B171" s="106"/>
    </row>
    <row r="172" spans="1:2" x14ac:dyDescent="0.3">
      <c r="A172" s="105"/>
      <c r="B172" s="106"/>
    </row>
    <row r="173" spans="1:2" x14ac:dyDescent="0.3">
      <c r="A173" s="105"/>
      <c r="B173" s="106"/>
    </row>
  </sheetData>
  <sortState xmlns:xlrd2="http://schemas.microsoft.com/office/spreadsheetml/2017/richdata2" ref="B10:R21">
    <sortCondition descending="1" ref="D10:D21"/>
  </sortState>
  <mergeCells count="6">
    <mergeCell ref="A22:B22"/>
    <mergeCell ref="O8:R8"/>
    <mergeCell ref="K8:N8"/>
    <mergeCell ref="A8:A9"/>
    <mergeCell ref="C8:F8"/>
    <mergeCell ref="G8:J8"/>
  </mergeCell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R25"/>
  <sheetViews>
    <sheetView showGridLines="0" zoomScale="90" zoomScaleNormal="90" workbookViewId="0">
      <selection activeCell="M28" sqref="M28"/>
    </sheetView>
  </sheetViews>
  <sheetFormatPr baseColWidth="10" defaultRowHeight="15" x14ac:dyDescent="0.3"/>
  <cols>
    <col min="1" max="1" width="4.5703125" customWidth="1"/>
    <col min="2" max="2" width="22.7109375" bestFit="1" customWidth="1"/>
    <col min="3" max="4" width="10.140625" customWidth="1"/>
    <col min="5" max="6" width="11" customWidth="1"/>
    <col min="7" max="8" width="10.140625" customWidth="1"/>
    <col min="9" max="9" width="12.85546875" customWidth="1"/>
    <col min="10" max="10" width="11" customWidth="1"/>
    <col min="11" max="12" width="10.140625" customWidth="1"/>
    <col min="13" max="14" width="11"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9"/>
      <c r="H2" s="509"/>
      <c r="I2" s="508"/>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32</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350" customFormat="1" ht="15.75" x14ac:dyDescent="0.3">
      <c r="A10" s="28">
        <v>1</v>
      </c>
      <c r="B10" s="195" t="str">
        <f>'Primas Diciembre 2024'!J11</f>
        <v>FICOHSA SEGUROS</v>
      </c>
      <c r="C10" s="181">
        <f>('Primas Diciembre 2024'!J59)/1000</f>
        <v>594.3936291</v>
      </c>
      <c r="D10" s="181">
        <f>('Primas Diciembre 2025'!F59)/1000</f>
        <v>677.14786759000003</v>
      </c>
      <c r="E10" s="176">
        <f t="shared" ref="E10:E20" si="0">IFERROR(F10/C10,0%)</f>
        <v>0.13922463909194688</v>
      </c>
      <c r="F10" s="175">
        <f t="shared" ref="F10:F22" si="1">IFERROR(D10-C10,0)</f>
        <v>82.754238490000034</v>
      </c>
      <c r="G10" s="183">
        <f>('Siniestros Diciembre 2024'!M59)/1000</f>
        <v>280.72303976000001</v>
      </c>
      <c r="H10" s="183">
        <f>('Siniestros Diciembre  2025'!J59)/1000</f>
        <v>329.99563985000003</v>
      </c>
      <c r="I10" s="176">
        <f t="shared" ref="I10:I20" si="2">IFERROR(J10/G10,0%)</f>
        <v>0.17552032826420269</v>
      </c>
      <c r="J10" s="175">
        <f t="shared" ref="J10:J22" si="3">IFERROR(H10-G10,0)</f>
        <v>49.272600090000026</v>
      </c>
      <c r="K10" s="155">
        <f t="shared" ref="K10:K20" si="4">IFERROR((G10/C10),0%)</f>
        <v>0.47228473862523773</v>
      </c>
      <c r="L10" s="155">
        <f t="shared" ref="L10:L20" si="5">IFERROR(H10/D10,0%)</f>
        <v>0.4873317271521056</v>
      </c>
      <c r="M10" s="155">
        <f t="shared" ref="M10:M20" si="6">IFERROR(N10/K10,0%)</f>
        <v>3.1859993127594556E-2</v>
      </c>
      <c r="N10" s="177">
        <f t="shared" ref="N10:N20" si="7">L10-K10</f>
        <v>1.5046988526867866E-2</v>
      </c>
      <c r="O10" s="226">
        <f t="shared" ref="O10:O21" si="8">C10/$C$22</f>
        <v>0.21106251545683641</v>
      </c>
      <c r="P10" s="226">
        <f t="shared" ref="P10:P21" si="9">D10/$D$22</f>
        <v>0.21630428966948015</v>
      </c>
      <c r="Q10" s="176">
        <f t="shared" ref="Q10:Q21" si="10">IFERROR(R10/O10,0%)</f>
        <v>2.4835173603887591E-2</v>
      </c>
      <c r="R10" s="176">
        <f t="shared" ref="R10:R21" si="11">IFERROR(P10-O10,0)</f>
        <v>5.2417742126437405E-3</v>
      </c>
    </row>
    <row r="11" spans="1:18" ht="15.75" x14ac:dyDescent="0.3">
      <c r="A11" s="173">
        <v>2</v>
      </c>
      <c r="B11" s="180" t="str">
        <f>'Primas Diciembre 2024'!L11</f>
        <v>SEGUROS ATLÁNTIDA</v>
      </c>
      <c r="C11" s="181">
        <f>('Primas Diciembre 2024'!L59)/1000</f>
        <v>614.34833699000001</v>
      </c>
      <c r="D11" s="181">
        <f>('Primas Diciembre 2025'!H59)/1000</f>
        <v>651.2175182200001</v>
      </c>
      <c r="E11" s="182">
        <f t="shared" si="0"/>
        <v>6.0013479340793312E-2</v>
      </c>
      <c r="F11" s="181">
        <f t="shared" si="1"/>
        <v>36.869181230000095</v>
      </c>
      <c r="G11" s="183">
        <f>('Siniestros Diciembre 2024'!Q59)/1000</f>
        <v>311.06059948000001</v>
      </c>
      <c r="H11" s="183">
        <f>('Siniestros Diciembre  2025'!N59)/1000</f>
        <v>338.76123206</v>
      </c>
      <c r="I11" s="182">
        <f t="shared" si="2"/>
        <v>8.9052205989145317E-2</v>
      </c>
      <c r="J11" s="181">
        <f t="shared" si="3"/>
        <v>27.70063257999999</v>
      </c>
      <c r="K11" s="158">
        <f t="shared" si="4"/>
        <v>0.50632610320724813</v>
      </c>
      <c r="L11" s="158">
        <f t="shared" si="5"/>
        <v>0.52019674314958564</v>
      </c>
      <c r="M11" s="158">
        <f t="shared" si="6"/>
        <v>2.7394676779403587E-2</v>
      </c>
      <c r="N11" s="184">
        <f t="shared" si="7"/>
        <v>1.3870639942337504E-2</v>
      </c>
      <c r="O11" s="226">
        <f t="shared" si="8"/>
        <v>0.21814820856705178</v>
      </c>
      <c r="P11" s="226">
        <f t="shared" si="9"/>
        <v>0.20802124534517116</v>
      </c>
      <c r="Q11" s="182">
        <f t="shared" si="10"/>
        <v>-4.6422399195489655E-2</v>
      </c>
      <c r="R11" s="176">
        <f t="shared" si="11"/>
        <v>-1.0126963221880614E-2</v>
      </c>
    </row>
    <row r="12" spans="1:18" ht="15.75" x14ac:dyDescent="0.3">
      <c r="A12" s="173">
        <v>3</v>
      </c>
      <c r="B12" s="178" t="str">
        <f>'Primas Diciembre 2024'!I11</f>
        <v>MAPFRE SEGUROS</v>
      </c>
      <c r="C12" s="179">
        <f>('Primas Diciembre 2024'!I59)/1000</f>
        <v>417.05203864999999</v>
      </c>
      <c r="D12" s="179">
        <f>('Primas Diciembre 2025'!E59)/1000</f>
        <v>437.01250168000001</v>
      </c>
      <c r="E12" s="176">
        <f t="shared" si="0"/>
        <v>4.7860845122858459E-2</v>
      </c>
      <c r="F12" s="175">
        <f t="shared" si="1"/>
        <v>19.960463030000028</v>
      </c>
      <c r="G12" s="365">
        <f>('Siniestros Diciembre 2024'!K59)/1000</f>
        <v>245.03281256</v>
      </c>
      <c r="H12" s="365">
        <f>('Siniestros Diciembre  2025'!H59)/1000</f>
        <v>261.70377386000001</v>
      </c>
      <c r="I12" s="176">
        <f t="shared" si="2"/>
        <v>6.8035628068864776E-2</v>
      </c>
      <c r="J12" s="175">
        <f t="shared" si="3"/>
        <v>16.670961300000016</v>
      </c>
      <c r="K12" s="155">
        <f t="shared" si="4"/>
        <v>0.58753534295905308</v>
      </c>
      <c r="L12" s="155">
        <f t="shared" si="5"/>
        <v>0.59884733927275868</v>
      </c>
      <c r="M12" s="155">
        <f t="shared" si="6"/>
        <v>1.9253303565933685E-2</v>
      </c>
      <c r="N12" s="177">
        <f t="shared" si="7"/>
        <v>1.1311996313705608E-2</v>
      </c>
      <c r="O12" s="226">
        <f t="shared" si="8"/>
        <v>0.14809050441397262</v>
      </c>
      <c r="P12" s="226">
        <f t="shared" si="9"/>
        <v>0.13959680488842591</v>
      </c>
      <c r="Q12" s="176">
        <f t="shared" si="10"/>
        <v>-5.7354788270579452E-2</v>
      </c>
      <c r="R12" s="176">
        <f t="shared" si="11"/>
        <v>-8.4936995255467107E-3</v>
      </c>
    </row>
    <row r="13" spans="1:18" ht="15.75" x14ac:dyDescent="0.3">
      <c r="A13" s="173">
        <v>4</v>
      </c>
      <c r="B13" s="178" t="str">
        <f>'Primas Diciembre 2024'!G11</f>
        <v>SEGUROS DAVIVIENDA</v>
      </c>
      <c r="C13" s="175">
        <f>('Primas Diciembre 2024'!G59)/1000</f>
        <v>358.39109336000001</v>
      </c>
      <c r="D13" s="175">
        <f>('Primas Diciembre 2025'!C59)/1000</f>
        <v>388.50748018000002</v>
      </c>
      <c r="E13" s="176">
        <f t="shared" si="0"/>
        <v>8.4032185447612151E-2</v>
      </c>
      <c r="F13" s="175">
        <f t="shared" si="1"/>
        <v>30.116386820000002</v>
      </c>
      <c r="G13" s="365">
        <f>('Siniestros Diciembre 2024'!G59)/1000</f>
        <v>276.95292569000003</v>
      </c>
      <c r="H13" s="365">
        <f>('Siniestros Diciembre  2025'!D59)/1000</f>
        <v>290.43405763999999</v>
      </c>
      <c r="I13" s="176">
        <f t="shared" si="2"/>
        <v>4.8676618657893196E-2</v>
      </c>
      <c r="J13" s="175">
        <f t="shared" si="3"/>
        <v>13.481131949999963</v>
      </c>
      <c r="K13" s="155">
        <f t="shared" si="4"/>
        <v>0.77276732268511983</v>
      </c>
      <c r="L13" s="155">
        <f t="shared" si="5"/>
        <v>0.74756361835153995</v>
      </c>
      <c r="M13" s="155">
        <f t="shared" si="6"/>
        <v>-3.2614868141687271E-2</v>
      </c>
      <c r="N13" s="177">
        <f t="shared" si="7"/>
        <v>-2.5203704333579879E-2</v>
      </c>
      <c r="O13" s="226">
        <f t="shared" si="8"/>
        <v>0.12726066024028909</v>
      </c>
      <c r="P13" s="226">
        <f t="shared" si="9"/>
        <v>0.1241026348214045</v>
      </c>
      <c r="Q13" s="176">
        <f t="shared" si="10"/>
        <v>-2.4815409671156162E-2</v>
      </c>
      <c r="R13" s="176">
        <f t="shared" si="11"/>
        <v>-3.1580254188845885E-3</v>
      </c>
    </row>
    <row r="14" spans="1:18" ht="15.75" x14ac:dyDescent="0.3">
      <c r="A14" s="173">
        <v>5</v>
      </c>
      <c r="B14" s="180" t="str">
        <f>'Primas Diciembre 2024'!O11</f>
        <v>SEGUROS DEL PAÍS</v>
      </c>
      <c r="C14" s="181">
        <f>('Primas Diciembre 2024'!O59)/1000</f>
        <v>231.41300375999998</v>
      </c>
      <c r="D14" s="181">
        <f>('Primas Diciembre 2025'!K59)/1000</f>
        <v>290.12756069999995</v>
      </c>
      <c r="E14" s="176">
        <f t="shared" si="0"/>
        <v>0.25372194295914863</v>
      </c>
      <c r="F14" s="175">
        <f t="shared" si="1"/>
        <v>58.714556939999966</v>
      </c>
      <c r="G14" s="183">
        <f>('Siniestros Diciembre 2024'!W59)/1000</f>
        <v>198.11310484000001</v>
      </c>
      <c r="H14" s="183">
        <f>('Siniestros Diciembre  2025'!T59)/1000</f>
        <v>237.42301350999998</v>
      </c>
      <c r="I14" s="176">
        <f t="shared" si="2"/>
        <v>0.19842154662987802</v>
      </c>
      <c r="J14" s="175">
        <f t="shared" si="3"/>
        <v>39.30990866999997</v>
      </c>
      <c r="K14" s="158">
        <f t="shared" si="4"/>
        <v>0.85610186817964851</v>
      </c>
      <c r="L14" s="158">
        <f t="shared" si="5"/>
        <v>0.81834008784674561</v>
      </c>
      <c r="M14" s="155">
        <f t="shared" si="6"/>
        <v>-4.4108980176852948E-2</v>
      </c>
      <c r="N14" s="177">
        <f t="shared" si="7"/>
        <v>-3.7761780332902894E-2</v>
      </c>
      <c r="O14" s="226">
        <f t="shared" si="8"/>
        <v>8.2172163852029995E-2</v>
      </c>
      <c r="P14" s="226">
        <f t="shared" si="9"/>
        <v>9.2676709082911743E-2</v>
      </c>
      <c r="Q14" s="176">
        <f t="shared" si="10"/>
        <v>0.12783581128273089</v>
      </c>
      <c r="R14" s="176">
        <f t="shared" si="11"/>
        <v>1.0504545230881748E-2</v>
      </c>
    </row>
    <row r="15" spans="1:18" ht="15.75" x14ac:dyDescent="0.3">
      <c r="A15" s="173">
        <v>6</v>
      </c>
      <c r="B15" s="180" t="str">
        <f>'Primas Diciembre 2024'!M11</f>
        <v>CREFISA</v>
      </c>
      <c r="C15" s="181">
        <f>('Primas Diciembre 2024'!M59)/1000</f>
        <v>174.47333042</v>
      </c>
      <c r="D15" s="181">
        <f>('Primas Diciembre 2025'!I59)/1000</f>
        <v>208.86036539</v>
      </c>
      <c r="E15" s="176">
        <f t="shared" si="0"/>
        <v>0.19709049450263827</v>
      </c>
      <c r="F15" s="175">
        <f t="shared" si="1"/>
        <v>34.387034970000002</v>
      </c>
      <c r="G15" s="183">
        <f>('Siniestros Diciembre 2024'!S59)/1000</f>
        <v>94.273133520000002</v>
      </c>
      <c r="H15" s="183">
        <f>('Siniestros Diciembre  2025'!P59)/1000</f>
        <v>134.01072257999999</v>
      </c>
      <c r="I15" s="176">
        <f t="shared" si="2"/>
        <v>0.4215155217214635</v>
      </c>
      <c r="J15" s="175">
        <f t="shared" si="3"/>
        <v>39.737589059999991</v>
      </c>
      <c r="K15" s="155">
        <f t="shared" si="4"/>
        <v>0.54032976440044733</v>
      </c>
      <c r="L15" s="155">
        <f t="shared" si="5"/>
        <v>0.64162830669076421</v>
      </c>
      <c r="M15" s="155">
        <f t="shared" si="6"/>
        <v>0.18747540662084061</v>
      </c>
      <c r="N15" s="177">
        <f t="shared" si="7"/>
        <v>0.10129854229031687</v>
      </c>
      <c r="O15" s="226">
        <f t="shared" si="8"/>
        <v>6.1953524054985498E-2</v>
      </c>
      <c r="P15" s="226">
        <f t="shared" si="9"/>
        <v>6.6717175284890753E-2</v>
      </c>
      <c r="Q15" s="182">
        <f t="shared" si="10"/>
        <v>7.6890722562890534E-2</v>
      </c>
      <c r="R15" s="176">
        <f t="shared" si="11"/>
        <v>4.7636512299052552E-3</v>
      </c>
    </row>
    <row r="16" spans="1:18" ht="15.75" x14ac:dyDescent="0.3">
      <c r="A16" s="173">
        <v>7</v>
      </c>
      <c r="B16" s="178" t="str">
        <f>'Primas Diciembre 2024'!K11</f>
        <v>SEGUROS CONTINENTAL</v>
      </c>
      <c r="C16" s="175">
        <f>('Primas Diciembre 2024'!K59)/1000</f>
        <v>157.57675000999998</v>
      </c>
      <c r="D16" s="175">
        <f>('Primas Diciembre 2025'!G59)/1000</f>
        <v>185.08496238999996</v>
      </c>
      <c r="E16" s="176">
        <f t="shared" si="0"/>
        <v>0.17457024832822277</v>
      </c>
      <c r="F16" s="175">
        <f t="shared" si="1"/>
        <v>27.508212379999975</v>
      </c>
      <c r="G16" s="365">
        <f>('Siniestros Diciembre 2024'!O59)/1000</f>
        <v>86.705347279999998</v>
      </c>
      <c r="H16" s="365">
        <f>('Siniestros Diciembre  2025'!L59)/1000</f>
        <v>96.006450150000006</v>
      </c>
      <c r="I16" s="176">
        <f t="shared" si="2"/>
        <v>0.1072725404116507</v>
      </c>
      <c r="J16" s="175">
        <f t="shared" si="3"/>
        <v>9.3011028700000082</v>
      </c>
      <c r="K16" s="155">
        <f t="shared" si="4"/>
        <v>0.55024200762166742</v>
      </c>
      <c r="L16" s="155">
        <f t="shared" si="5"/>
        <v>0.51871556127666907</v>
      </c>
      <c r="M16" s="155">
        <f t="shared" si="6"/>
        <v>-5.729560067808407E-2</v>
      </c>
      <c r="N16" s="177">
        <f t="shared" si="7"/>
        <v>-3.1526446344998349E-2</v>
      </c>
      <c r="O16" s="226">
        <f t="shared" si="8"/>
        <v>5.5953737736021893E-2</v>
      </c>
      <c r="P16" s="226">
        <f t="shared" si="9"/>
        <v>5.9122494855896983E-2</v>
      </c>
      <c r="Q16" s="176">
        <f t="shared" si="10"/>
        <v>5.6631732715062361E-2</v>
      </c>
      <c r="R16" s="176">
        <f t="shared" si="11"/>
        <v>3.1687571198750902E-3</v>
      </c>
    </row>
    <row r="17" spans="1:18" s="350" customFormat="1" ht="15.75" x14ac:dyDescent="0.3">
      <c r="A17" s="28">
        <v>8</v>
      </c>
      <c r="B17" s="180" t="str">
        <f>'Primas Diciembre 2024'!P11</f>
        <v>SEGUROS LAFISE</v>
      </c>
      <c r="C17" s="181">
        <f>('Primas Diciembre 2024'!P59)/1000</f>
        <v>96.611460480000005</v>
      </c>
      <c r="D17" s="181">
        <f>('Primas Diciembre 2025'!L59)/1000</f>
        <v>113.41348178</v>
      </c>
      <c r="E17" s="182">
        <f t="shared" si="0"/>
        <v>0.17391333509007723</v>
      </c>
      <c r="F17" s="181">
        <f t="shared" si="1"/>
        <v>16.802021299999993</v>
      </c>
      <c r="G17" s="183">
        <f>('Siniestros Diciembre 2024'!Y59)/1000</f>
        <v>68.898812340000006</v>
      </c>
      <c r="H17" s="183">
        <f>('Siniestros Diciembre  2025'!V59)/1000</f>
        <v>67.252604260000012</v>
      </c>
      <c r="I17" s="182">
        <f t="shared" si="2"/>
        <v>-2.3893127095955306E-2</v>
      </c>
      <c r="J17" s="181">
        <f t="shared" si="3"/>
        <v>-1.6462080799999939</v>
      </c>
      <c r="K17" s="158">
        <f t="shared" si="4"/>
        <v>0.71315361549950973</v>
      </c>
      <c r="L17" s="158">
        <f t="shared" si="5"/>
        <v>0.59298597666243003</v>
      </c>
      <c r="M17" s="158">
        <f t="shared" si="6"/>
        <v>-0.16850175926390198</v>
      </c>
      <c r="N17" s="184">
        <f t="shared" si="7"/>
        <v>-0.1201676388370797</v>
      </c>
      <c r="O17" s="226">
        <f t="shared" si="8"/>
        <v>3.430564675086209E-2</v>
      </c>
      <c r="P17" s="226">
        <f t="shared" si="9"/>
        <v>3.6228161956228702E-2</v>
      </c>
      <c r="Q17" s="182">
        <f t="shared" si="10"/>
        <v>5.6040780088726941E-2</v>
      </c>
      <c r="R17" s="182">
        <f t="shared" si="11"/>
        <v>1.9225152053666122E-3</v>
      </c>
    </row>
    <row r="18" spans="1:18" s="350" customFormat="1" ht="15.75" x14ac:dyDescent="0.3">
      <c r="A18" s="28">
        <v>9</v>
      </c>
      <c r="B18" s="180" t="str">
        <f>'Primas Diciembre 2024'!Q11</f>
        <v>ASEGURADORA RURAL</v>
      </c>
      <c r="C18" s="181">
        <f>('Primas Diciembre 2024'!Q59)/1000</f>
        <v>85.881218669999996</v>
      </c>
      <c r="D18" s="181">
        <f>('Primas Diciembre 2025'!M59)/1000</f>
        <v>86.201289689999996</v>
      </c>
      <c r="E18" s="182">
        <f t="shared" si="0"/>
        <v>3.7269035646766788E-3</v>
      </c>
      <c r="F18" s="181">
        <f t="shared" si="1"/>
        <v>0.32007102000000032</v>
      </c>
      <c r="G18" s="183">
        <f>('Siniestros Diciembre 2024'!AA59)/1000</f>
        <v>35.925658259999999</v>
      </c>
      <c r="H18" s="183">
        <f>('Siniestros Diciembre  2025'!X59)/1000</f>
        <v>53.048329709999997</v>
      </c>
      <c r="I18" s="182">
        <f t="shared" si="2"/>
        <v>0.47661399343278171</v>
      </c>
      <c r="J18" s="181">
        <f t="shared" si="3"/>
        <v>17.122671449999999</v>
      </c>
      <c r="K18" s="158">
        <f t="shared" si="4"/>
        <v>0.41831798402913839</v>
      </c>
      <c r="L18" s="158">
        <f t="shared" si="5"/>
        <v>0.61540065004565714</v>
      </c>
      <c r="M18" s="158">
        <f t="shared" si="6"/>
        <v>0.4711312292105298</v>
      </c>
      <c r="N18" s="184">
        <f t="shared" si="7"/>
        <v>0.19708266601651875</v>
      </c>
      <c r="O18" s="226">
        <f t="shared" si="8"/>
        <v>3.0495458153605607E-2</v>
      </c>
      <c r="P18" s="226">
        <f t="shared" si="9"/>
        <v>2.7535653034468609E-2</v>
      </c>
      <c r="Q18" s="182">
        <f t="shared" si="10"/>
        <v>-9.7057243876398289E-2</v>
      </c>
      <c r="R18" s="182">
        <f t="shared" si="11"/>
        <v>-2.9598051191369983E-3</v>
      </c>
    </row>
    <row r="19" spans="1:18" ht="15.75" x14ac:dyDescent="0.3">
      <c r="A19" s="173">
        <v>10</v>
      </c>
      <c r="B19" s="178" t="str">
        <f>'Primas Diciembre 2024'!R11</f>
        <v>ASSA CIA. DE SEGUROS</v>
      </c>
      <c r="C19" s="175">
        <f>('Primas Diciembre 2024'!R59)/1000</f>
        <v>42.756848949999998</v>
      </c>
      <c r="D19" s="175">
        <f>('Primas Diciembre 2025'!N59)/1000</f>
        <v>50.777557639999998</v>
      </c>
      <c r="E19" s="176">
        <f t="shared" si="0"/>
        <v>0.18758886323403867</v>
      </c>
      <c r="F19" s="175">
        <f t="shared" si="1"/>
        <v>8.0207086899999993</v>
      </c>
      <c r="G19" s="365">
        <f>('Siniestros Diciembre 2024'!AC59)/1000</f>
        <v>37.895641349999998</v>
      </c>
      <c r="H19" s="365">
        <f>('Siniestros Diciembre  2025'!Z59)/1000</f>
        <v>30.938421559999998</v>
      </c>
      <c r="I19" s="176">
        <f t="shared" si="2"/>
        <v>-0.18358891793765619</v>
      </c>
      <c r="J19" s="175">
        <f t="shared" si="3"/>
        <v>-6.9572197899999999</v>
      </c>
      <c r="K19" s="155">
        <f t="shared" si="4"/>
        <v>0.88630575640209797</v>
      </c>
      <c r="L19" s="155">
        <f t="shared" si="5"/>
        <v>0.60929321924747859</v>
      </c>
      <c r="M19" s="155">
        <f t="shared" si="6"/>
        <v>-0.31254737448522757</v>
      </c>
      <c r="N19" s="177">
        <f t="shared" si="7"/>
        <v>-0.27701253715461938</v>
      </c>
      <c r="O19" s="226">
        <f t="shared" si="8"/>
        <v>1.518247782376003E-2</v>
      </c>
      <c r="P19" s="226">
        <f t="shared" si="9"/>
        <v>1.6220096174210392E-2</v>
      </c>
      <c r="Q19" s="176">
        <f t="shared" si="10"/>
        <v>6.8343149418372717E-2</v>
      </c>
      <c r="R19" s="176">
        <f t="shared" si="11"/>
        <v>1.037618350450362E-3</v>
      </c>
    </row>
    <row r="20" spans="1:18" s="350" customFormat="1" ht="15.75" x14ac:dyDescent="0.3">
      <c r="A20" s="28">
        <v>11</v>
      </c>
      <c r="B20" s="180" t="str">
        <f>'Primas Diciembre 2024'!N11</f>
        <v>SEGUROS EQUIDAD</v>
      </c>
      <c r="C20" s="181">
        <f>('Primas Diciembre 2024'!N59)/1000</f>
        <v>43.299319259999997</v>
      </c>
      <c r="D20" s="181">
        <f>('Primas Diciembre 2025'!J59)/1000</f>
        <v>42.183111619999998</v>
      </c>
      <c r="E20" s="182">
        <f t="shared" si="0"/>
        <v>-2.577887271847144E-2</v>
      </c>
      <c r="F20" s="181">
        <f t="shared" si="1"/>
        <v>-1.1162076399999989</v>
      </c>
      <c r="G20" s="183">
        <f>('Siniestros Diciembre 2024'!U59)/1000</f>
        <v>24.160053359999999</v>
      </c>
      <c r="H20" s="183">
        <f>('Siniestros Diciembre  2025'!R59)/1000</f>
        <v>31.286386280000002</v>
      </c>
      <c r="I20" s="182">
        <f t="shared" si="2"/>
        <v>0.29496345946812114</v>
      </c>
      <c r="J20" s="181">
        <f t="shared" si="3"/>
        <v>7.126332920000003</v>
      </c>
      <c r="K20" s="158">
        <f t="shared" si="4"/>
        <v>0.55797767200278148</v>
      </c>
      <c r="L20" s="158">
        <f t="shared" si="5"/>
        <v>0.74168038057122354</v>
      </c>
      <c r="M20" s="158">
        <f t="shared" si="6"/>
        <v>0.32922949749775349</v>
      </c>
      <c r="N20" s="184">
        <f t="shared" si="7"/>
        <v>0.18370270856844206</v>
      </c>
      <c r="O20" s="226">
        <f t="shared" si="8"/>
        <v>1.5375102950584845E-2</v>
      </c>
      <c r="P20" s="226">
        <f t="shared" si="9"/>
        <v>1.3474734886911192E-2</v>
      </c>
      <c r="Q20" s="182">
        <f t="shared" si="10"/>
        <v>-0.12360034724849538</v>
      </c>
      <c r="R20" s="182">
        <f t="shared" si="11"/>
        <v>-1.9003680636736527E-3</v>
      </c>
    </row>
    <row r="21" spans="1:18" ht="15" customHeight="1" x14ac:dyDescent="0.3">
      <c r="A21" s="173">
        <v>12</v>
      </c>
      <c r="B21" s="178" t="str">
        <f>'Primas Diciembre 2024'!H11</f>
        <v>PALIC</v>
      </c>
      <c r="C21" s="175">
        <f>('Primas Diciembre 2024'!H59)/1000</f>
        <v>0</v>
      </c>
      <c r="D21" s="175">
        <f>('Primas Diciembre 2025'!D59)/1000</f>
        <v>0</v>
      </c>
      <c r="E21" s="176"/>
      <c r="F21" s="175">
        <f t="shared" si="1"/>
        <v>0</v>
      </c>
      <c r="G21" s="365">
        <f>('Siniestros Diciembre 2024'!I59)/1000</f>
        <v>0</v>
      </c>
      <c r="H21" s="365">
        <f>('Siniestros Diciembre  2025'!F59)/1000</f>
        <v>0</v>
      </c>
      <c r="I21" s="176"/>
      <c r="J21" s="175">
        <f t="shared" si="3"/>
        <v>0</v>
      </c>
      <c r="K21" s="155"/>
      <c r="L21" s="155"/>
      <c r="M21" s="155"/>
      <c r="N21" s="177"/>
      <c r="O21" s="226">
        <f t="shared" si="8"/>
        <v>0</v>
      </c>
      <c r="P21" s="226">
        <f t="shared" si="9"/>
        <v>0</v>
      </c>
      <c r="Q21" s="176">
        <f t="shared" si="10"/>
        <v>0</v>
      </c>
      <c r="R21" s="176">
        <f t="shared" si="11"/>
        <v>0</v>
      </c>
    </row>
    <row r="22" spans="1:18" ht="15.75" x14ac:dyDescent="0.3">
      <c r="A22" s="665" t="s">
        <v>29</v>
      </c>
      <c r="B22" s="665"/>
      <c r="C22" s="185">
        <f>SUM(C10:C21)</f>
        <v>2816.1970296500003</v>
      </c>
      <c r="D22" s="185">
        <f>SUM(D10:D21)</f>
        <v>3130.5336968799998</v>
      </c>
      <c r="E22" s="186">
        <f>IFERROR(F22/C22,0%)</f>
        <v>0.11161742730375136</v>
      </c>
      <c r="F22" s="185">
        <f t="shared" si="1"/>
        <v>314.33666722999942</v>
      </c>
      <c r="G22" s="187">
        <f>SUM(G10:G21)</f>
        <v>1659.74112844</v>
      </c>
      <c r="H22" s="187">
        <f>SUM(H10:H21)</f>
        <v>1870.8606314599999</v>
      </c>
      <c r="I22" s="188">
        <f>IFERROR(J22/G22,0%)</f>
        <v>0.12720025996971726</v>
      </c>
      <c r="J22" s="189">
        <f t="shared" si="3"/>
        <v>211.11950301999991</v>
      </c>
      <c r="K22" s="190">
        <f>IFERROR((G22/C22),0%)</f>
        <v>0.58935547156878942</v>
      </c>
      <c r="L22" s="190">
        <f>IFERROR(H22/D22,0%)</f>
        <v>0.59761715177337515</v>
      </c>
      <c r="M22" s="190">
        <f>IFERROR(N22/K22,0%)</f>
        <v>1.4018161539408783E-2</v>
      </c>
      <c r="N22" s="190">
        <f>L22-K22</f>
        <v>8.2616802045857307E-3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6.1817427303751366E-2</v>
      </c>
    </row>
  </sheetData>
  <sortState xmlns:xlrd2="http://schemas.microsoft.com/office/spreadsheetml/2017/richdata2" ref="B10:R21">
    <sortCondition descending="1" ref="D10:D21"/>
  </sortState>
  <mergeCells count="6">
    <mergeCell ref="A22:B22"/>
    <mergeCell ref="O8:R8"/>
    <mergeCell ref="K8:N8"/>
    <mergeCell ref="A8:A9"/>
    <mergeCell ref="C8:F8"/>
    <mergeCell ref="G8:J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R25"/>
  <sheetViews>
    <sheetView showGridLines="0" zoomScaleNormal="100" workbookViewId="0">
      <selection activeCell="L26" sqref="L26"/>
    </sheetView>
  </sheetViews>
  <sheetFormatPr baseColWidth="10" defaultRowHeight="15" x14ac:dyDescent="0.3"/>
  <cols>
    <col min="1" max="1" width="4.140625" customWidth="1"/>
    <col min="2" max="2" width="22.7109375" bestFit="1" customWidth="1"/>
    <col min="3" max="3" width="9.85546875" customWidth="1"/>
    <col min="4" max="4" width="10" customWidth="1"/>
    <col min="5" max="5" width="9.42578125" customWidth="1"/>
    <col min="6" max="6" width="9.140625" customWidth="1"/>
    <col min="7" max="7" width="8.85546875" bestFit="1" customWidth="1"/>
    <col min="8" max="8" width="9.5703125" customWidth="1"/>
    <col min="9" max="9" width="11.28515625" customWidth="1"/>
    <col min="10" max="10" width="9" customWidth="1"/>
    <col min="11" max="11" width="15.8554687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33</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2024'!J11</f>
        <v>FICOHSA SEGUROS</v>
      </c>
      <c r="C10" s="175">
        <f>('Primas Diciembre 2024'!J22)/1000</f>
        <v>586.25879276000001</v>
      </c>
      <c r="D10" s="175">
        <f>('Primas Diciembre 2025'!F22)/1000</f>
        <v>643.89228063000007</v>
      </c>
      <c r="E10" s="176">
        <f t="shared" ref="E10:E22" si="0">IFERROR(F10/C10,0%)</f>
        <v>9.8307246870741272E-2</v>
      </c>
      <c r="F10" s="175">
        <f t="shared" ref="F10:F22" si="1">IFERROR(D10-C10,0)</f>
        <v>57.633487870000067</v>
      </c>
      <c r="G10" s="429">
        <f>('Siniestros Diciembre 2024'!M22)/1000</f>
        <v>245.87884629999999</v>
      </c>
      <c r="H10" s="429">
        <f>('Siniestros Diciembre  2025'!J22)/1000</f>
        <v>169.60136261000002</v>
      </c>
      <c r="I10" s="155">
        <f t="shared" ref="I10:I22" si="2">IFERROR(J10/G10,0%)</f>
        <v>-0.31022385552001824</v>
      </c>
      <c r="J10" s="175">
        <f t="shared" ref="J10:J22" si="3">IFERROR(H10-G10,0)</f>
        <v>-76.277483689999968</v>
      </c>
      <c r="K10" s="155">
        <f t="shared" ref="K10:K22" si="4">IFERROR((G10/C10),0%)</f>
        <v>0.41940325558691754</v>
      </c>
      <c r="L10" s="155">
        <f t="shared" ref="L10:L22" si="5">IFERROR(H10/D10,0%)</f>
        <v>0.26340021104781358</v>
      </c>
      <c r="M10" s="155">
        <f t="shared" ref="M10:M22" si="6">IFERROR(N10/K10,0%)</f>
        <v>-0.37196431468037028</v>
      </c>
      <c r="N10" s="177">
        <f t="shared" ref="N10:N22" si="7">L10-K10</f>
        <v>-0.15600304453910396</v>
      </c>
      <c r="O10" s="226">
        <f t="shared" ref="O10:O21" si="8">C10/$C$22</f>
        <v>0.36191857675978506</v>
      </c>
      <c r="P10" s="226">
        <f t="shared" ref="P10:P21" si="9">D10/$D$22</f>
        <v>0.35539239787443405</v>
      </c>
      <c r="Q10" s="176">
        <f t="shared" ref="Q10:Q21" si="10">IFERROR(R10/O10,0%)</f>
        <v>-1.8032174374079189E-2</v>
      </c>
      <c r="R10" s="176">
        <f t="shared" ref="R10:R21" si="11">IFERROR(P10-O10,0)</f>
        <v>-6.5261788853510083E-3</v>
      </c>
    </row>
    <row r="11" spans="1:18" s="349" customFormat="1" ht="15.75" x14ac:dyDescent="0.3">
      <c r="A11" s="28">
        <v>2</v>
      </c>
      <c r="B11" s="180" t="str">
        <f>'Primas Diciembre 2024'!L11</f>
        <v>SEGUROS ATLÁNTIDA</v>
      </c>
      <c r="C11" s="168">
        <f>('Primas Diciembre 2024'!L22)/1000</f>
        <v>278.48826604000004</v>
      </c>
      <c r="D11" s="168">
        <f>('Primas Diciembre 2025'!H22)/1000</f>
        <v>328.07184805000003</v>
      </c>
      <c r="E11" s="182">
        <f t="shared" si="0"/>
        <v>0.17804549798474512</v>
      </c>
      <c r="F11" s="181">
        <f t="shared" si="1"/>
        <v>49.583582009999986</v>
      </c>
      <c r="G11" s="165">
        <f>('Siniestros Diciembre 2024'!Q22)/1000</f>
        <v>34.761446040000003</v>
      </c>
      <c r="H11" s="165">
        <f>('Siniestros Diciembre  2025'!N22)/1000</f>
        <v>40.514561749999999</v>
      </c>
      <c r="I11" s="158">
        <f t="shared" si="2"/>
        <v>0.16550277291053669</v>
      </c>
      <c r="J11" s="181">
        <f t="shared" si="3"/>
        <v>5.7531157099999959</v>
      </c>
      <c r="K11" s="158">
        <f t="shared" si="4"/>
        <v>0.12482194145661821</v>
      </c>
      <c r="L11" s="158">
        <f t="shared" si="5"/>
        <v>0.12349295433549466</v>
      </c>
      <c r="M11" s="158">
        <f t="shared" si="6"/>
        <v>-1.0647063373753356E-2</v>
      </c>
      <c r="N11" s="184">
        <f t="shared" si="7"/>
        <v>-1.3289871211235454E-3</v>
      </c>
      <c r="O11" s="226">
        <f t="shared" si="8"/>
        <v>0.17192079357137793</v>
      </c>
      <c r="P11" s="226">
        <f t="shared" si="9"/>
        <v>0.18107724577705422</v>
      </c>
      <c r="Q11" s="182">
        <f t="shared" si="10"/>
        <v>5.3259713473080977E-2</v>
      </c>
      <c r="R11" s="176">
        <f t="shared" si="11"/>
        <v>9.1564522056762909E-3</v>
      </c>
    </row>
    <row r="12" spans="1:18" s="330" customFormat="1" ht="15.75" x14ac:dyDescent="0.3">
      <c r="A12" s="28">
        <v>3</v>
      </c>
      <c r="B12" s="180" t="str">
        <f>'Primas Diciembre 2024'!R11</f>
        <v>ASSA CIA. DE SEGUROS</v>
      </c>
      <c r="C12" s="181">
        <f>('Primas Diciembre 2024'!R22)/1000</f>
        <v>212.07928691000001</v>
      </c>
      <c r="D12" s="181">
        <f>('Primas Diciembre 2025'!N22)/1000</f>
        <v>244.16559325999998</v>
      </c>
      <c r="E12" s="176">
        <f t="shared" si="0"/>
        <v>0.15129391850330215</v>
      </c>
      <c r="F12" s="175">
        <f t="shared" si="1"/>
        <v>32.086306349999973</v>
      </c>
      <c r="G12" s="165">
        <f>('Siniestros Diciembre 2024'!AC22)/1000</f>
        <v>64.156665709999999</v>
      </c>
      <c r="H12" s="165">
        <f>('Siniestros Diciembre  2025'!Z22)/1000</f>
        <v>53.9280112</v>
      </c>
      <c r="I12" s="155">
        <f t="shared" si="2"/>
        <v>-0.15943245174609619</v>
      </c>
      <c r="J12" s="175">
        <f t="shared" si="3"/>
        <v>-10.228654509999998</v>
      </c>
      <c r="K12" s="155">
        <f t="shared" si="4"/>
        <v>0.30251264347765433</v>
      </c>
      <c r="L12" s="155">
        <f t="shared" si="5"/>
        <v>0.22086654585511031</v>
      </c>
      <c r="M12" s="155">
        <f t="shared" si="6"/>
        <v>-0.26989317432801768</v>
      </c>
      <c r="N12" s="177">
        <f t="shared" si="7"/>
        <v>-8.1646097622544017E-2</v>
      </c>
      <c r="O12" s="226">
        <f t="shared" si="8"/>
        <v>0.13092414924362442</v>
      </c>
      <c r="P12" s="226">
        <f t="shared" si="9"/>
        <v>0.13476570270760624</v>
      </c>
      <c r="Q12" s="176">
        <f t="shared" si="10"/>
        <v>2.9341824912938238E-2</v>
      </c>
      <c r="R12" s="176">
        <f t="shared" si="11"/>
        <v>3.8415534639818227E-3</v>
      </c>
    </row>
    <row r="13" spans="1:18" s="4" customFormat="1" ht="15.75" x14ac:dyDescent="0.3">
      <c r="A13" s="173">
        <v>4</v>
      </c>
      <c r="B13" s="180" t="str">
        <f>'Primas Diciembre 2024'!O11</f>
        <v>SEGUROS DEL PAÍS</v>
      </c>
      <c r="C13" s="181">
        <f>('Primas Diciembre 2024'!O22)/1000</f>
        <v>153.94541288999997</v>
      </c>
      <c r="D13" s="181">
        <f>('Primas Diciembre 2025'!K22)/1000</f>
        <v>182.91336925999997</v>
      </c>
      <c r="E13" s="176">
        <f t="shared" si="0"/>
        <v>0.18817031197089801</v>
      </c>
      <c r="F13" s="175">
        <f t="shared" si="1"/>
        <v>28.967956369999996</v>
      </c>
      <c r="G13" s="165">
        <f>('Siniestros Diciembre 2024'!W22)/1000</f>
        <v>34.09731189</v>
      </c>
      <c r="H13" s="165">
        <f>('Siniestros Diciembre  2025'!T22)/1000</f>
        <v>43.531129620000002</v>
      </c>
      <c r="I13" s="155">
        <f t="shared" si="2"/>
        <v>0.27667335655180297</v>
      </c>
      <c r="J13" s="175">
        <f t="shared" si="3"/>
        <v>9.4338177300000012</v>
      </c>
      <c r="K13" s="158">
        <f t="shared" si="4"/>
        <v>0.22148962576990758</v>
      </c>
      <c r="L13" s="158">
        <f t="shared" si="5"/>
        <v>0.23798768671809445</v>
      </c>
      <c r="M13" s="155">
        <f t="shared" si="6"/>
        <v>7.4486833822753062E-2</v>
      </c>
      <c r="N13" s="177">
        <f t="shared" si="7"/>
        <v>1.6498060948186871E-2</v>
      </c>
      <c r="O13" s="226">
        <f t="shared" si="8"/>
        <v>9.5036024056111515E-2</v>
      </c>
      <c r="P13" s="226">
        <f t="shared" si="9"/>
        <v>0.10095791308602069</v>
      </c>
      <c r="Q13" s="182">
        <f t="shared" si="10"/>
        <v>6.2312045234686468E-2</v>
      </c>
      <c r="R13" s="176">
        <f t="shared" si="11"/>
        <v>5.921889029909172E-3</v>
      </c>
    </row>
    <row r="14" spans="1:18" s="4" customFormat="1" ht="15.75" x14ac:dyDescent="0.3">
      <c r="A14" s="173">
        <v>5</v>
      </c>
      <c r="B14" s="178" t="str">
        <f>'Primas Diciembre 2024'!I11</f>
        <v>MAPFRE SEGUROS</v>
      </c>
      <c r="C14" s="175">
        <f>('Primas Diciembre 2024'!I22)/1000</f>
        <v>132.76372098000002</v>
      </c>
      <c r="D14" s="175">
        <f>('Primas Diciembre 2025'!E22)/1000</f>
        <v>141.48190561000001</v>
      </c>
      <c r="E14" s="176">
        <f t="shared" si="0"/>
        <v>6.5666919890813649E-2</v>
      </c>
      <c r="F14" s="175">
        <f t="shared" si="1"/>
        <v>8.7181846299999961</v>
      </c>
      <c r="G14" s="429">
        <f>('Siniestros Diciembre 2024'!K22)/1000</f>
        <v>13.15693907</v>
      </c>
      <c r="H14" s="429">
        <f>('Siniestros Diciembre  2025'!H22)/1000</f>
        <v>65.702008419999999</v>
      </c>
      <c r="I14" s="155">
        <f t="shared" si="2"/>
        <v>3.9937153368606424</v>
      </c>
      <c r="J14" s="175">
        <f t="shared" si="3"/>
        <v>52.545069349999999</v>
      </c>
      <c r="K14" s="155">
        <f t="shared" si="4"/>
        <v>9.9100409154561184E-2</v>
      </c>
      <c r="L14" s="155">
        <f t="shared" si="5"/>
        <v>0.46438453127080404</v>
      </c>
      <c r="M14" s="155">
        <f t="shared" si="6"/>
        <v>3.6860001409936691</v>
      </c>
      <c r="N14" s="177">
        <f t="shared" si="7"/>
        <v>0.36528412211624284</v>
      </c>
      <c r="O14" s="226">
        <f t="shared" si="8"/>
        <v>8.195980603754488E-2</v>
      </c>
      <c r="P14" s="226">
        <f t="shared" si="9"/>
        <v>7.8090070658069541E-2</v>
      </c>
      <c r="Q14" s="176">
        <f t="shared" si="10"/>
        <v>-4.7215038279893637E-2</v>
      </c>
      <c r="R14" s="176">
        <f t="shared" si="11"/>
        <v>-3.8697353794753392E-3</v>
      </c>
    </row>
    <row r="15" spans="1:18" s="4" customFormat="1" ht="15.75" x14ac:dyDescent="0.3">
      <c r="A15" s="173">
        <v>6</v>
      </c>
      <c r="B15" s="178" t="str">
        <f>'Primas Diciembre 2024'!G11</f>
        <v>SEGUROS DAVIVIENDA</v>
      </c>
      <c r="C15" s="175">
        <f>('Primas Diciembre 2024'!G22)/1000</f>
        <v>87.322546060000008</v>
      </c>
      <c r="D15" s="175">
        <f>('Primas Diciembre 2025'!C22)/1000</f>
        <v>95.124858769999989</v>
      </c>
      <c r="E15" s="176">
        <f t="shared" si="0"/>
        <v>8.9350494941351694E-2</v>
      </c>
      <c r="F15" s="175">
        <f t="shared" si="1"/>
        <v>7.8023127099999812</v>
      </c>
      <c r="G15" s="429">
        <f>('Siniestros Diciembre 2024'!G22)/1000</f>
        <v>35.113727509999997</v>
      </c>
      <c r="H15" s="429">
        <f>('Siniestros Diciembre  2025'!D22)/1000</f>
        <v>37.174556090000003</v>
      </c>
      <c r="I15" s="155">
        <f t="shared" si="2"/>
        <v>5.8690111421896327E-2</v>
      </c>
      <c r="J15" s="175">
        <f t="shared" si="3"/>
        <v>2.0608285800000061</v>
      </c>
      <c r="K15" s="155">
        <f t="shared" si="4"/>
        <v>0.40211525080673988</v>
      </c>
      <c r="L15" s="155">
        <f t="shared" si="5"/>
        <v>0.39079749048441093</v>
      </c>
      <c r="M15" s="155">
        <f t="shared" si="6"/>
        <v>-2.8145563491120525E-2</v>
      </c>
      <c r="N15" s="177">
        <f t="shared" si="7"/>
        <v>-1.1317760322328951E-2</v>
      </c>
      <c r="O15" s="226">
        <f t="shared" si="8"/>
        <v>5.3907339180861956E-2</v>
      </c>
      <c r="P15" s="226">
        <f t="shared" si="9"/>
        <v>5.2503582777324066E-2</v>
      </c>
      <c r="Q15" s="176">
        <f t="shared" si="10"/>
        <v>-2.6040172356276262E-2</v>
      </c>
      <c r="R15" s="176">
        <f t="shared" si="11"/>
        <v>-1.4037564035378897E-3</v>
      </c>
    </row>
    <row r="16" spans="1:18" s="4" customFormat="1" ht="15.75" x14ac:dyDescent="0.3">
      <c r="A16" s="173">
        <v>7</v>
      </c>
      <c r="B16" s="178" t="str">
        <f>'Primas Diciembre 2024'!M11</f>
        <v>CREFISA</v>
      </c>
      <c r="C16" s="175">
        <f>('Primas Diciembre 2024'!M22)/1000</f>
        <v>43.823224359999998</v>
      </c>
      <c r="D16" s="175">
        <f>('Primas Diciembre 2025'!I22)/1000</f>
        <v>52.55128414</v>
      </c>
      <c r="E16" s="176">
        <f t="shared" si="0"/>
        <v>0.19916516658611294</v>
      </c>
      <c r="F16" s="175">
        <f t="shared" si="1"/>
        <v>8.7280597800000024</v>
      </c>
      <c r="G16" s="429">
        <f>('Siniestros Diciembre 2024'!S22)/1000</f>
        <v>11.480555339999999</v>
      </c>
      <c r="H16" s="429">
        <f>('Siniestros Diciembre  2025'!P22)/1000</f>
        <v>4.1190250800000001</v>
      </c>
      <c r="I16" s="155">
        <f t="shared" si="2"/>
        <v>-0.64121726188203709</v>
      </c>
      <c r="J16" s="175">
        <f t="shared" si="3"/>
        <v>-7.3615302599999985</v>
      </c>
      <c r="K16" s="155">
        <f t="shared" si="4"/>
        <v>0.26197422731128311</v>
      </c>
      <c r="L16" s="155">
        <f t="shared" si="5"/>
        <v>7.8381054762175786E-2</v>
      </c>
      <c r="M16" s="155">
        <f t="shared" si="6"/>
        <v>-0.70080623744319015</v>
      </c>
      <c r="N16" s="177">
        <f t="shared" si="7"/>
        <v>-0.18359317254910734</v>
      </c>
      <c r="O16" s="226">
        <f t="shared" si="8"/>
        <v>2.7053647954221501E-2</v>
      </c>
      <c r="P16" s="226">
        <f t="shared" si="9"/>
        <v>2.9005359193966324E-2</v>
      </c>
      <c r="Q16" s="176">
        <f t="shared" si="10"/>
        <v>7.2142257600431095E-2</v>
      </c>
      <c r="R16" s="176">
        <f t="shared" si="11"/>
        <v>1.951711239744823E-3</v>
      </c>
    </row>
    <row r="17" spans="1:18" s="349" customFormat="1" ht="15.75" x14ac:dyDescent="0.3">
      <c r="A17" s="28">
        <v>8</v>
      </c>
      <c r="B17" s="180" t="str">
        <f>'Primas Diciembre 2024'!P11</f>
        <v>SEGUROS LAFISE</v>
      </c>
      <c r="C17" s="181">
        <f>('Primas Diciembre 2024'!P22)/1000</f>
        <v>30.680129100000002</v>
      </c>
      <c r="D17" s="181">
        <f>('Primas Diciembre 2025'!L22)/1000</f>
        <v>42.451206329999998</v>
      </c>
      <c r="E17" s="182">
        <f t="shared" si="0"/>
        <v>0.38367104622124926</v>
      </c>
      <c r="F17" s="181">
        <f t="shared" si="1"/>
        <v>11.771077229999996</v>
      </c>
      <c r="G17" s="165">
        <f>('Siniestros Diciembre 2024'!Y22)/1000</f>
        <v>1.1745536100000002</v>
      </c>
      <c r="H17" s="165">
        <f>('Siniestros Diciembre  2025'!V22)/1000</f>
        <v>1.5437389200000002</v>
      </c>
      <c r="I17" s="158">
        <f t="shared" si="2"/>
        <v>0.31431967588095011</v>
      </c>
      <c r="J17" s="181">
        <f t="shared" si="3"/>
        <v>0.36918530999999999</v>
      </c>
      <c r="K17" s="158">
        <f t="shared" si="4"/>
        <v>3.8283854874652405E-2</v>
      </c>
      <c r="L17" s="158">
        <f t="shared" si="5"/>
        <v>3.6365018887791881E-2</v>
      </c>
      <c r="M17" s="158">
        <f t="shared" si="6"/>
        <v>-5.0121284628810422E-2</v>
      </c>
      <c r="N17" s="184">
        <f t="shared" si="7"/>
        <v>-1.9188359868605245E-3</v>
      </c>
      <c r="O17" s="226">
        <f t="shared" si="8"/>
        <v>1.8939943922042037E-2</v>
      </c>
      <c r="P17" s="226">
        <f t="shared" si="9"/>
        <v>2.3430683150168722E-2</v>
      </c>
      <c r="Q17" s="182">
        <f t="shared" si="10"/>
        <v>0.23710414595792051</v>
      </c>
      <c r="R17" s="182">
        <f t="shared" si="11"/>
        <v>4.4907392281266847E-3</v>
      </c>
    </row>
    <row r="18" spans="1:18" s="4" customFormat="1" ht="15.75" x14ac:dyDescent="0.3">
      <c r="A18" s="173">
        <v>9</v>
      </c>
      <c r="B18" s="178" t="str">
        <f>'Primas Diciembre 2024'!K11</f>
        <v>SEGUROS CONTINENTAL</v>
      </c>
      <c r="C18" s="175">
        <f>('Primas Diciembre 2024'!K22)/1000</f>
        <v>33.888322310000007</v>
      </c>
      <c r="D18" s="175">
        <f>('Primas Diciembre 2025'!G22)/1000</f>
        <v>37.386608509999995</v>
      </c>
      <c r="E18" s="176">
        <f t="shared" si="0"/>
        <v>0.10322984324802911</v>
      </c>
      <c r="F18" s="175">
        <f t="shared" si="1"/>
        <v>3.4982861999999884</v>
      </c>
      <c r="G18" s="429">
        <f>('Siniestros Diciembre 2024'!O22)/1000</f>
        <v>3.9084831699999998</v>
      </c>
      <c r="H18" s="429">
        <f>('Siniestros Diciembre  2025'!L22)/1000</f>
        <v>1.4212784899999999</v>
      </c>
      <c r="I18" s="155">
        <f t="shared" si="2"/>
        <v>-0.63636059612353402</v>
      </c>
      <c r="J18" s="175">
        <f t="shared" si="3"/>
        <v>-2.4872046799999996</v>
      </c>
      <c r="K18" s="155">
        <f t="shared" si="4"/>
        <v>0.11533421850295188</v>
      </c>
      <c r="L18" s="155">
        <f t="shared" si="5"/>
        <v>3.801571061520178E-2</v>
      </c>
      <c r="M18" s="155">
        <f t="shared" si="6"/>
        <v>-0.67038654175101731</v>
      </c>
      <c r="N18" s="177">
        <f t="shared" si="7"/>
        <v>-7.7318507887750104E-2</v>
      </c>
      <c r="O18" s="226">
        <f t="shared" si="8"/>
        <v>2.0920476640480832E-2</v>
      </c>
      <c r="P18" s="226">
        <f t="shared" si="9"/>
        <v>2.0635309424367341E-2</v>
      </c>
      <c r="Q18" s="176">
        <f t="shared" si="10"/>
        <v>-1.3631009513506803E-2</v>
      </c>
      <c r="R18" s="176">
        <f t="shared" si="11"/>
        <v>-2.8516721611349105E-4</v>
      </c>
    </row>
    <row r="19" spans="1:18" s="349" customFormat="1" ht="15.75" x14ac:dyDescent="0.3">
      <c r="A19" s="28">
        <v>10</v>
      </c>
      <c r="B19" s="180" t="str">
        <f>'Primas Diciembre 2024'!N11</f>
        <v>SEGUROS EQUIDAD</v>
      </c>
      <c r="C19" s="181">
        <f>('Primas Diciembre 2024'!N22)/1000</f>
        <v>44.987869100000005</v>
      </c>
      <c r="D19" s="181">
        <f>('Primas Diciembre 2025'!J22)/1000</f>
        <v>24.701509480000002</v>
      </c>
      <c r="E19" s="182">
        <f t="shared" si="0"/>
        <v>-0.45092955113982047</v>
      </c>
      <c r="F19" s="181">
        <f t="shared" si="1"/>
        <v>-20.286359620000002</v>
      </c>
      <c r="G19" s="165">
        <f>('Siniestros Diciembre 2024'!U22)/1000</f>
        <v>5.5960206599999998</v>
      </c>
      <c r="H19" s="165">
        <f>('Siniestros Diciembre  2025'!R22)/1000</f>
        <v>1.9743590200000001</v>
      </c>
      <c r="I19" s="158">
        <f t="shared" si="2"/>
        <v>-0.64718518033491312</v>
      </c>
      <c r="J19" s="181">
        <f t="shared" si="3"/>
        <v>-3.6216616399999997</v>
      </c>
      <c r="K19" s="158">
        <f t="shared" si="4"/>
        <v>0.1243895470479174</v>
      </c>
      <c r="L19" s="158">
        <f t="shared" si="5"/>
        <v>7.9928678917317725E-2</v>
      </c>
      <c r="M19" s="158">
        <f t="shared" si="6"/>
        <v>-0.35743251089637329</v>
      </c>
      <c r="N19" s="184">
        <f t="shared" si="7"/>
        <v>-4.4460868130599671E-2</v>
      </c>
      <c r="O19" s="226">
        <f t="shared" si="8"/>
        <v>2.7772624917871285E-2</v>
      </c>
      <c r="P19" s="226">
        <f t="shared" si="9"/>
        <v>1.363384676179988E-2</v>
      </c>
      <c r="Q19" s="182">
        <f t="shared" si="10"/>
        <v>-0.50909045140249976</v>
      </c>
      <c r="R19" s="182">
        <f t="shared" si="11"/>
        <v>-1.4138778156071405E-2</v>
      </c>
    </row>
    <row r="20" spans="1:18" s="349" customFormat="1" ht="15.75" x14ac:dyDescent="0.3">
      <c r="A20" s="28">
        <v>11</v>
      </c>
      <c r="B20" s="180" t="str">
        <f>'Primas Diciembre 2024'!Q11</f>
        <v>ASEGURADORA RURAL</v>
      </c>
      <c r="C20" s="181">
        <f>('Primas Diciembre 2024'!Q22)/1000</f>
        <v>15.626206609999999</v>
      </c>
      <c r="D20" s="181">
        <f>('Primas Diciembre 2025'!M22)/1000</f>
        <v>19.037965889999999</v>
      </c>
      <c r="E20" s="182">
        <f t="shared" si="0"/>
        <v>0.21833573337092849</v>
      </c>
      <c r="F20" s="181">
        <f t="shared" si="1"/>
        <v>3.4117592800000001</v>
      </c>
      <c r="G20" s="183">
        <f>('Siniestros Diciembre 2024'!AA22)/1000</f>
        <v>107.83744439</v>
      </c>
      <c r="H20" s="183">
        <f>('Siniestros Diciembre  2025'!X22)/1000</f>
        <v>2.6671207799999999</v>
      </c>
      <c r="I20" s="182">
        <f t="shared" si="2"/>
        <v>-0.9752672107996716</v>
      </c>
      <c r="J20" s="181">
        <f t="shared" si="3"/>
        <v>-105.17032361</v>
      </c>
      <c r="K20" s="158">
        <f t="shared" si="4"/>
        <v>6.9010635198557644</v>
      </c>
      <c r="L20" s="158">
        <f t="shared" si="5"/>
        <v>0.14009483972239642</v>
      </c>
      <c r="M20" s="158">
        <f t="shared" si="6"/>
        <v>-0.97969952901906865</v>
      </c>
      <c r="N20" s="184">
        <f t="shared" si="7"/>
        <v>-6.7609686801333684</v>
      </c>
      <c r="O20" s="226">
        <f t="shared" si="8"/>
        <v>9.6466177160787307E-3</v>
      </c>
      <c r="P20" s="226">
        <f t="shared" si="9"/>
        <v>1.0507888589188883E-2</v>
      </c>
      <c r="Q20" s="182">
        <f t="shared" si="10"/>
        <v>8.9282160697070942E-2</v>
      </c>
      <c r="R20" s="182">
        <f t="shared" si="11"/>
        <v>8.6127087311015267E-4</v>
      </c>
    </row>
    <row r="21" spans="1:18" s="4" customFormat="1" ht="15" customHeight="1" x14ac:dyDescent="0.3">
      <c r="A21" s="173">
        <v>12</v>
      </c>
      <c r="B21" s="178" t="str">
        <f>'Primas Diciembre 2024'!H11</f>
        <v>PALIC</v>
      </c>
      <c r="C21" s="175">
        <f>('Primas Diciembre 2024'!H22)/1000</f>
        <v>0</v>
      </c>
      <c r="D21" s="175">
        <f>('Primas Diciembre 2025'!D22)/1000</f>
        <v>0</v>
      </c>
      <c r="E21" s="176">
        <f t="shared" si="0"/>
        <v>0</v>
      </c>
      <c r="F21" s="175">
        <f t="shared" si="1"/>
        <v>0</v>
      </c>
      <c r="G21" s="365">
        <f>('Siniestros Diciembre 2024'!I22)/1000</f>
        <v>0</v>
      </c>
      <c r="H21" s="365">
        <f>('Siniestros Diciembre  2025'!F22)/1000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1619.8637771199999</v>
      </c>
      <c r="D22" s="185">
        <f>SUM(D10:D21)</f>
        <v>1811.7784299300001</v>
      </c>
      <c r="E22" s="186">
        <f t="shared" si="0"/>
        <v>0.11847579748416286</v>
      </c>
      <c r="F22" s="185">
        <f t="shared" si="1"/>
        <v>191.91465281000023</v>
      </c>
      <c r="G22" s="187">
        <f>SUM(G10:G21)</f>
        <v>557.16199369000003</v>
      </c>
      <c r="H22" s="187">
        <f>SUM(H10:H21)</f>
        <v>422.17715198000008</v>
      </c>
      <c r="I22" s="188">
        <f t="shared" si="2"/>
        <v>-0.24227216364134183</v>
      </c>
      <c r="J22" s="189">
        <f t="shared" si="3"/>
        <v>-134.98484170999996</v>
      </c>
      <c r="K22" s="190">
        <f t="shared" si="4"/>
        <v>0.34395607924549904</v>
      </c>
      <c r="L22" s="190">
        <f t="shared" si="5"/>
        <v>0.23301809150929748</v>
      </c>
      <c r="M22" s="190">
        <f t="shared" si="6"/>
        <v>-0.32253533061417256</v>
      </c>
      <c r="N22" s="190">
        <f t="shared" si="7"/>
        <v>-0.11093798773620156</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6.8675797484162859E-2</v>
      </c>
    </row>
  </sheetData>
  <sortState xmlns:xlrd2="http://schemas.microsoft.com/office/spreadsheetml/2017/richdata2" ref="B10:R21">
    <sortCondition descending="1" ref="D10:D21"/>
  </sortState>
  <mergeCells count="6">
    <mergeCell ref="A22:B22"/>
    <mergeCell ref="O8:R8"/>
    <mergeCell ref="K8:N8"/>
    <mergeCell ref="A8:A9"/>
    <mergeCell ref="C8:F8"/>
    <mergeCell ref="G8:J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2">
    <tabColor theme="0" tint="-0.249977111117893"/>
  </sheetPr>
  <dimension ref="A1:R25"/>
  <sheetViews>
    <sheetView showGridLines="0" zoomScale="90" zoomScaleNormal="90" workbookViewId="0">
      <selection activeCell="M26" sqref="M26"/>
    </sheetView>
  </sheetViews>
  <sheetFormatPr baseColWidth="10" defaultRowHeight="15" x14ac:dyDescent="0.3"/>
  <cols>
    <col min="1" max="1" width="4.140625" customWidth="1"/>
    <col min="2" max="2" width="22.7109375" bestFit="1" customWidth="1"/>
    <col min="3" max="3" width="9.85546875" customWidth="1"/>
    <col min="4" max="4" width="10" customWidth="1"/>
    <col min="5" max="5" width="9.42578125" customWidth="1"/>
    <col min="6" max="6" width="9.140625" customWidth="1"/>
    <col min="7" max="7" width="8.85546875" bestFit="1" customWidth="1"/>
    <col min="8" max="8" width="9.5703125" customWidth="1"/>
    <col min="9" max="9" width="12.140625" customWidth="1"/>
    <col min="10" max="10" width="9" customWidth="1"/>
    <col min="11" max="11" width="15.8554687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34</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2024'!J11</f>
        <v>FICOHSA SEGUROS</v>
      </c>
      <c r="C10" s="175">
        <f>('Primas Diciembre 2024'!J42+'Primas Diciembre 2024'!J43+'Primas Diciembre 2024'!J44)/1000</f>
        <v>80.728902989999995</v>
      </c>
      <c r="D10" s="175">
        <f>('Primas Diciembre 2025'!F42+'Primas Diciembre 2025'!F43+'Primas Diciembre 2025'!F44)/1000</f>
        <v>78.403282290000007</v>
      </c>
      <c r="E10" s="176">
        <f t="shared" ref="E10:E22" si="0">IFERROR(F10/C10,0%)</f>
        <v>-2.8807782762613109E-2</v>
      </c>
      <c r="F10" s="175">
        <f t="shared" ref="F10:F22" si="1">IFERROR(D10-C10,0)</f>
        <v>-2.3256206999999876</v>
      </c>
      <c r="G10" s="365">
        <f>('Siniestros Diciembre 2024'!M42+'Siniestros Diciembre 2024'!M43+'Siniestros Diciembre 2024'!M44)/1000</f>
        <v>9.3793240900000008</v>
      </c>
      <c r="H10" s="365">
        <f>('Siniestros Diciembre  2025'!J42+'Siniestros Diciembre  2025'!J43+'Siniestros Diciembre  2025'!J44)/1000</f>
        <v>17.62139466</v>
      </c>
      <c r="I10" s="176">
        <f t="shared" ref="I10:I22" si="2">IFERROR(J10/G10,0%)</f>
        <v>0.87874888327907208</v>
      </c>
      <c r="J10" s="175">
        <f t="shared" ref="J10:J22" si="3">IFERROR(H10-G10,0)</f>
        <v>8.2420705699999992</v>
      </c>
      <c r="K10" s="155">
        <f t="shared" ref="K10:K22" si="4">IFERROR((G10/C10),0%)</f>
        <v>0.11618297465483746</v>
      </c>
      <c r="L10" s="155">
        <f t="shared" ref="L10:L22" si="5">IFERROR(H10/D10,0%)</f>
        <v>0.22475327748169455</v>
      </c>
      <c r="M10" s="155">
        <f t="shared" ref="M10:M22" si="6">IFERROR(N10/K10,0%)</f>
        <v>0.9344768727896966</v>
      </c>
      <c r="N10" s="177">
        <f t="shared" ref="N10:N22" si="7">L10-K10</f>
        <v>0.10857030282685709</v>
      </c>
      <c r="O10" s="226">
        <f t="shared" ref="O10:O21" si="8">C10/$C$22</f>
        <v>0.29145733954362674</v>
      </c>
      <c r="P10" s="226">
        <f t="shared" ref="P10:P21" si="9">D10/$D$22</f>
        <v>0.25590728867102297</v>
      </c>
      <c r="Q10" s="176">
        <f t="shared" ref="Q10:Q21" si="10">IFERROR(R10/O10,0%)</f>
        <v>-0.12197342818084175</v>
      </c>
      <c r="R10" s="176">
        <f t="shared" ref="R10:R21" si="11">IFERROR(P10-O10,0)</f>
        <v>-3.5550050872603767E-2</v>
      </c>
    </row>
    <row r="11" spans="1:18" s="4" customFormat="1" ht="15.75" x14ac:dyDescent="0.3">
      <c r="A11" s="173">
        <v>2</v>
      </c>
      <c r="B11" s="180" t="str">
        <f>'Primas Diciembre 2024'!O11</f>
        <v>SEGUROS DEL PAÍS</v>
      </c>
      <c r="C11" s="175">
        <f>('Primas Diciembre 2024'!O42+'Primas Diciembre 2024'!O43+'Primas Diciembre 2024'!O44)/1000</f>
        <v>34.235007979999999</v>
      </c>
      <c r="D11" s="175">
        <f>('Primas Diciembre 2025'!K42+'Primas Diciembre 2025'!K43+'Primas Diciembre 2025'!K44)/1000</f>
        <v>51.425013399999997</v>
      </c>
      <c r="E11" s="176">
        <f t="shared" si="0"/>
        <v>0.50211775706441641</v>
      </c>
      <c r="F11" s="175">
        <f t="shared" si="1"/>
        <v>17.190005419999999</v>
      </c>
      <c r="G11" s="429">
        <f>('Siniestros Diciembre 2024'!W42+'Siniestros Diciembre 2024'!W43+'Siniestros Diciembre 2024'!W44)/1000</f>
        <v>16.02506996</v>
      </c>
      <c r="H11" s="429">
        <f>('Siniestros Diciembre  2025'!T42+'Siniestros Diciembre  2025'!T43+'Siniestros Diciembre  2025'!T44)/1000</f>
        <v>5.564513129999999</v>
      </c>
      <c r="I11" s="155">
        <f t="shared" si="2"/>
        <v>-0.65276200703712883</v>
      </c>
      <c r="J11" s="175">
        <f t="shared" si="3"/>
        <v>-10.460556830000002</v>
      </c>
      <c r="K11" s="158">
        <f t="shared" si="4"/>
        <v>0.46809014822960765</v>
      </c>
      <c r="L11" s="158">
        <f t="shared" si="5"/>
        <v>0.10820635255293874</v>
      </c>
      <c r="M11" s="155">
        <f t="shared" si="6"/>
        <v>-0.76883437311767266</v>
      </c>
      <c r="N11" s="177">
        <f t="shared" si="7"/>
        <v>-0.35988379567666889</v>
      </c>
      <c r="O11" s="226">
        <f t="shared" si="8"/>
        <v>0.12359940461895817</v>
      </c>
      <c r="P11" s="226">
        <f t="shared" si="9"/>
        <v>0.16785057161750391</v>
      </c>
      <c r="Q11" s="176">
        <f t="shared" si="10"/>
        <v>0.35802087505976804</v>
      </c>
      <c r="R11" s="176">
        <f t="shared" si="11"/>
        <v>4.4251166998545741E-2</v>
      </c>
    </row>
    <row r="12" spans="1:18" s="4" customFormat="1" ht="15.75" x14ac:dyDescent="0.3">
      <c r="A12" s="173">
        <v>3</v>
      </c>
      <c r="B12" s="180" t="str">
        <f>'Primas Diciembre 2024'!R11</f>
        <v>ASSA CIA. DE SEGUROS</v>
      </c>
      <c r="C12" s="175">
        <f>('Primas Diciembre 2024'!R42+'Primas Diciembre 2024'!R43+'Primas Diciembre 2024'!R44)/1000</f>
        <v>45.093811680000002</v>
      </c>
      <c r="D12" s="175">
        <f>('Primas Diciembre 2025'!N42+'Primas Diciembre 2025'!N43+'Primas Diciembre 2025'!N44)/1000</f>
        <v>49.404023780000003</v>
      </c>
      <c r="E12" s="176">
        <f t="shared" si="0"/>
        <v>9.5583228372589882E-2</v>
      </c>
      <c r="F12" s="175">
        <f t="shared" si="1"/>
        <v>4.3102121000000011</v>
      </c>
      <c r="G12" s="429">
        <f>('Siniestros Diciembre 2024'!AC42+'Siniestros Diciembre 2024'!AC43+'Siniestros Diciembre 2024'!AC44)/1000</f>
        <v>11.877589029999999</v>
      </c>
      <c r="H12" s="429">
        <f>('Siniestros Diciembre  2025'!Z42+'Siniestros Diciembre  2025'!Z43+'Siniestros Diciembre  2025'!Z44)/1000</f>
        <v>19.575880659999999</v>
      </c>
      <c r="I12" s="155">
        <f t="shared" si="2"/>
        <v>0.64813588099031916</v>
      </c>
      <c r="J12" s="175">
        <f t="shared" si="3"/>
        <v>7.6982916299999999</v>
      </c>
      <c r="K12" s="155">
        <f t="shared" si="4"/>
        <v>0.26339731744761657</v>
      </c>
      <c r="L12" s="155">
        <f t="shared" si="5"/>
        <v>0.3962406128531743</v>
      </c>
      <c r="M12" s="155">
        <f t="shared" si="6"/>
        <v>0.50434566567663353</v>
      </c>
      <c r="N12" s="177">
        <f t="shared" si="7"/>
        <v>0.13284329540555773</v>
      </c>
      <c r="O12" s="226">
        <f t="shared" si="8"/>
        <v>0.16280318318907611</v>
      </c>
      <c r="P12" s="226">
        <f t="shared" si="9"/>
        <v>0.16125408791196849</v>
      </c>
      <c r="Q12" s="176">
        <f t="shared" si="10"/>
        <v>-9.5151412077031025E-3</v>
      </c>
      <c r="R12" s="176">
        <f t="shared" si="11"/>
        <v>-1.549095277107615E-3</v>
      </c>
    </row>
    <row r="13" spans="1:18" s="349" customFormat="1" ht="15.75" x14ac:dyDescent="0.3">
      <c r="A13" s="28">
        <v>4</v>
      </c>
      <c r="B13" s="178" t="str">
        <f>'Primas Diciembre 2024'!I11</f>
        <v>MAPFRE SEGUROS</v>
      </c>
      <c r="C13" s="175">
        <f>('Primas Diciembre 2024'!I42+'Primas Diciembre 2024'!I43+'Primas Diciembre 2024'!I44)/1000</f>
        <v>44.939803959999999</v>
      </c>
      <c r="D13" s="175">
        <f>('Primas Diciembre 2025'!E42+'Primas Diciembre 2025'!E43+'Primas Diciembre 2025'!E44)/1000</f>
        <v>45.083455090000001</v>
      </c>
      <c r="E13" s="176">
        <f t="shared" si="0"/>
        <v>3.1965232898626575E-3</v>
      </c>
      <c r="F13" s="175">
        <f t="shared" si="1"/>
        <v>0.14365113000000207</v>
      </c>
      <c r="G13" s="365">
        <f>('Siniestros Diciembre 2024'!K42+'Siniestros Diciembre 2024'!K43+'Siniestros Diciembre 2024'!K44)/1000</f>
        <v>2.3139395899999999</v>
      </c>
      <c r="H13" s="365">
        <f>('Siniestros Diciembre  2025'!H42+'Siniestros Diciembre  2025'!H43+'Siniestros Diciembre  2025'!H44)/1000</f>
        <v>7.5212772999999995</v>
      </c>
      <c r="I13" s="176">
        <f t="shared" si="2"/>
        <v>2.2504207683312938</v>
      </c>
      <c r="J13" s="175">
        <f t="shared" si="3"/>
        <v>5.2073377099999991</v>
      </c>
      <c r="K13" s="155">
        <f t="shared" si="4"/>
        <v>5.148975709951005E-2</v>
      </c>
      <c r="L13" s="155">
        <f t="shared" si="5"/>
        <v>0.16683009953397074</v>
      </c>
      <c r="M13" s="155">
        <f t="shared" si="6"/>
        <v>2.2400638288417603</v>
      </c>
      <c r="N13" s="177">
        <f t="shared" si="7"/>
        <v>0.11534034243446069</v>
      </c>
      <c r="O13" s="226">
        <f t="shared" si="8"/>
        <v>0.16224716571976971</v>
      </c>
      <c r="P13" s="226">
        <f t="shared" si="9"/>
        <v>0.14715180817723553</v>
      </c>
      <c r="Q13" s="182">
        <f t="shared" si="10"/>
        <v>-9.3039268054806015E-2</v>
      </c>
      <c r="R13" s="176">
        <f t="shared" si="11"/>
        <v>-1.5095357542534188E-2</v>
      </c>
    </row>
    <row r="14" spans="1:18" s="4" customFormat="1" ht="15.75" x14ac:dyDescent="0.3">
      <c r="A14" s="173">
        <v>5</v>
      </c>
      <c r="B14" s="180" t="str">
        <f>'Primas Diciembre 2024'!L11</f>
        <v>SEGUROS ATLÁNTIDA</v>
      </c>
      <c r="C14" s="175">
        <f>('Primas Diciembre 2024'!L42+'Primas Diciembre 2024'!L43+'Primas Diciembre 2024'!L44)/1000</f>
        <v>29.429325300000006</v>
      </c>
      <c r="D14" s="175">
        <f>('Primas Diciembre 2025'!H42+'Primas Diciembre 2025'!H43+'Primas Diciembre 2025'!H44)/1000</f>
        <v>36.468677030000002</v>
      </c>
      <c r="E14" s="176">
        <f t="shared" si="0"/>
        <v>0.23919514491893551</v>
      </c>
      <c r="F14" s="175">
        <f t="shared" si="1"/>
        <v>7.0393517299999964</v>
      </c>
      <c r="G14" s="365">
        <f>('Siniestros Diciembre 2024'!Q42+'Siniestros Diciembre 2024'!Q43+'Siniestros Diciembre 2024'!Q44)/1000</f>
        <v>17.429366130000002</v>
      </c>
      <c r="H14" s="365">
        <f>('Siniestros Diciembre  2025'!N42+'Siniestros Diciembre  2025'!N43+'Siniestros Diciembre  2025'!N44)/1000</f>
        <v>4.4643941500000004</v>
      </c>
      <c r="I14" s="176">
        <f t="shared" si="2"/>
        <v>-0.74385791676521518</v>
      </c>
      <c r="J14" s="175">
        <f t="shared" si="3"/>
        <v>-12.964971980000001</v>
      </c>
      <c r="K14" s="155">
        <f t="shared" si="4"/>
        <v>0.59224484259583066</v>
      </c>
      <c r="L14" s="155">
        <f t="shared" si="5"/>
        <v>0.12241722249281167</v>
      </c>
      <c r="M14" s="155">
        <f t="shared" si="6"/>
        <v>-0.793299639459497</v>
      </c>
      <c r="N14" s="177">
        <f t="shared" si="7"/>
        <v>-0.46982762010301898</v>
      </c>
      <c r="O14" s="226">
        <f t="shared" si="8"/>
        <v>0.10624934241413439</v>
      </c>
      <c r="P14" s="226">
        <f t="shared" si="9"/>
        <v>0.11903328518373581</v>
      </c>
      <c r="Q14" s="176">
        <f t="shared" si="10"/>
        <v>0.12032020602793646</v>
      </c>
      <c r="R14" s="176">
        <f t="shared" si="11"/>
        <v>1.2783942769601417E-2</v>
      </c>
    </row>
    <row r="15" spans="1:18" s="4" customFormat="1" ht="15.75" x14ac:dyDescent="0.3">
      <c r="A15" s="173">
        <v>6</v>
      </c>
      <c r="B15" s="178" t="str">
        <f>'Primas Diciembre 2024'!G11</f>
        <v>SEGUROS DAVIVIENDA</v>
      </c>
      <c r="C15" s="181">
        <f>('Primas Diciembre 2024'!G42+'Primas Diciembre 2024'!G43+'Primas Diciembre 2024'!G44)/1000</f>
        <v>26.901441640000002</v>
      </c>
      <c r="D15" s="181">
        <f>('Primas Diciembre 2025'!C42+'Primas Diciembre 2025'!C43+'Primas Diciembre 2025'!C44)/1000</f>
        <v>27.801913109999997</v>
      </c>
      <c r="E15" s="182">
        <f t="shared" si="0"/>
        <v>3.347298193346919E-2</v>
      </c>
      <c r="F15" s="181">
        <f t="shared" si="1"/>
        <v>0.90047146999999583</v>
      </c>
      <c r="G15" s="183">
        <f>('Siniestros Diciembre 2024'!G42+'Siniestros Diciembre 2024'!G43+'Siniestros Diciembre 2024'!G44)/1000</f>
        <v>11.478018689999999</v>
      </c>
      <c r="H15" s="183">
        <f>('Siniestros Diciembre  2025'!D42+'Siniestros Diciembre  2025'!D43+'Siniestros Diciembre  2025'!D44)/1000</f>
        <v>8.8756257899999991</v>
      </c>
      <c r="I15" s="182">
        <f t="shared" si="2"/>
        <v>-0.22672840760115542</v>
      </c>
      <c r="J15" s="181">
        <f t="shared" si="3"/>
        <v>-2.6023928999999999</v>
      </c>
      <c r="K15" s="158">
        <f t="shared" si="4"/>
        <v>0.42666927830861029</v>
      </c>
      <c r="L15" s="158">
        <f t="shared" si="5"/>
        <v>0.31924514528489584</v>
      </c>
      <c r="M15" s="158">
        <f t="shared" si="6"/>
        <v>-0.25177377065806572</v>
      </c>
      <c r="N15" s="184">
        <f t="shared" si="7"/>
        <v>-0.10742413302371445</v>
      </c>
      <c r="O15" s="226">
        <f t="shared" si="8"/>
        <v>9.7122868265084303E-2</v>
      </c>
      <c r="P15" s="226">
        <f t="shared" si="9"/>
        <v>9.0745081022646376E-2</v>
      </c>
      <c r="Q15" s="182">
        <f t="shared" si="10"/>
        <v>-6.5667204401651136E-2</v>
      </c>
      <c r="R15" s="176">
        <f t="shared" si="11"/>
        <v>-6.3777872424379267E-3</v>
      </c>
    </row>
    <row r="16" spans="1:18" s="4" customFormat="1" ht="15.75" x14ac:dyDescent="0.3">
      <c r="A16" s="173">
        <v>7</v>
      </c>
      <c r="B16" s="178" t="str">
        <f>'Primas Diciembre 2024'!M11</f>
        <v>CREFISA</v>
      </c>
      <c r="C16" s="175">
        <f>('Primas Diciembre 2024'!M42+'Primas Diciembre 2024'!M43+'Primas Diciembre 2024'!M44)/1000</f>
        <v>9.2033323299999985</v>
      </c>
      <c r="D16" s="175">
        <f>('Primas Diciembre 2025'!I42+'Primas Diciembre 2025'!I43+'Primas Diciembre 2025'!I44)/1000</f>
        <v>9.3925085299999989</v>
      </c>
      <c r="E16" s="176">
        <f t="shared" si="0"/>
        <v>2.0555185145639567E-2</v>
      </c>
      <c r="F16" s="175">
        <f t="shared" si="1"/>
        <v>0.18917620000000035</v>
      </c>
      <c r="G16" s="365">
        <f>('Siniestros Diciembre 2024'!S42+'Siniestros Diciembre 2024'!S43+'Siniestros Diciembre 2024'!S44)/1000</f>
        <v>3.02463733</v>
      </c>
      <c r="H16" s="365">
        <f>('Siniestros Diciembre  2025'!P42+'Siniestros Diciembre  2025'!P43+'Siniestros Diciembre  2025'!P44)/1000</f>
        <v>1.6392181499999998</v>
      </c>
      <c r="I16" s="176">
        <f t="shared" si="2"/>
        <v>-0.45804472696896859</v>
      </c>
      <c r="J16" s="175">
        <f t="shared" si="3"/>
        <v>-1.3854191800000002</v>
      </c>
      <c r="K16" s="155">
        <f t="shared" si="4"/>
        <v>0.32864588841811393</v>
      </c>
      <c r="L16" s="155">
        <f t="shared" si="5"/>
        <v>0.17452399907482438</v>
      </c>
      <c r="M16" s="155">
        <f t="shared" si="6"/>
        <v>-0.46896034538917064</v>
      </c>
      <c r="N16" s="177">
        <f t="shared" si="7"/>
        <v>-0.15412188934328955</v>
      </c>
      <c r="O16" s="226">
        <f t="shared" si="8"/>
        <v>3.3226993759222979E-2</v>
      </c>
      <c r="P16" s="226">
        <f t="shared" si="9"/>
        <v>3.0657025082715512E-2</v>
      </c>
      <c r="Q16" s="176">
        <f t="shared" si="10"/>
        <v>-7.7345807903373989E-2</v>
      </c>
      <c r="R16" s="176">
        <f t="shared" si="11"/>
        <v>-2.569968676507467E-3</v>
      </c>
    </row>
    <row r="17" spans="1:18" s="4" customFormat="1" ht="15.75" x14ac:dyDescent="0.3">
      <c r="A17" s="173">
        <v>8</v>
      </c>
      <c r="B17" s="178" t="str">
        <f>'Primas Diciembre 2024'!K11</f>
        <v>SEGUROS CONTINENTAL</v>
      </c>
      <c r="C17" s="175">
        <f>('Primas Diciembre 2024'!K42+'Primas Diciembre 2024'!K43+'Primas Diciembre 2024'!K44)/1000</f>
        <v>3.0523291299999999</v>
      </c>
      <c r="D17" s="175">
        <f>('Primas Diciembre 2025'!G42+'Primas Diciembre 2025'!G43+'Primas Diciembre 2025'!G44)/1000</f>
        <v>5.7575581399999995</v>
      </c>
      <c r="E17" s="176">
        <f t="shared" si="0"/>
        <v>0.88628352146283762</v>
      </c>
      <c r="F17" s="175">
        <f t="shared" si="1"/>
        <v>2.7052290099999996</v>
      </c>
      <c r="G17" s="365">
        <f>('Siniestros Diciembre 2024'!O42+'Siniestros Diciembre 2024'!O43+'Siniestros Diciembre 2024'!O44)/1000</f>
        <v>0.36385365999999997</v>
      </c>
      <c r="H17" s="365">
        <f>('Siniestros Diciembre  2025'!L42+'Siniestros Diciembre  2025'!L43+'Siniestros Diciembre  2025'!L44)/1000</f>
        <v>1.9461310000000002E-2</v>
      </c>
      <c r="I17" s="176">
        <f t="shared" si="2"/>
        <v>-0.94651335924448299</v>
      </c>
      <c r="J17" s="175">
        <f t="shared" si="3"/>
        <v>-0.34439234999999996</v>
      </c>
      <c r="K17" s="155">
        <f t="shared" si="4"/>
        <v>0.11920525097501526</v>
      </c>
      <c r="L17" s="155">
        <f t="shared" si="5"/>
        <v>3.3801326060078664E-3</v>
      </c>
      <c r="M17" s="155">
        <f t="shared" si="6"/>
        <v>-0.9716444319494254</v>
      </c>
      <c r="N17" s="177">
        <f t="shared" si="7"/>
        <v>-0.1158251183690074</v>
      </c>
      <c r="O17" s="226">
        <f t="shared" si="8"/>
        <v>1.1019891199952411E-2</v>
      </c>
      <c r="P17" s="226">
        <f t="shared" si="9"/>
        <v>1.8792594518215772E-2</v>
      </c>
      <c r="Q17" s="176">
        <f t="shared" si="10"/>
        <v>0.70533394361433688</v>
      </c>
      <c r="R17" s="176">
        <f t="shared" si="11"/>
        <v>7.7727033182633607E-3</v>
      </c>
    </row>
    <row r="18" spans="1:18" s="349" customFormat="1" ht="15.75" x14ac:dyDescent="0.3">
      <c r="A18" s="28">
        <v>9</v>
      </c>
      <c r="B18" s="180" t="str">
        <f>'Primas Diciembre 2024'!P11</f>
        <v>SEGUROS LAFISE</v>
      </c>
      <c r="C18" s="181">
        <f>('Primas Diciembre 2024'!P42+'Primas Diciembre 2024'!P43+'Primas Diciembre 2024'!P44)/1000</f>
        <v>2.4124615899999999</v>
      </c>
      <c r="D18" s="181">
        <f>('Primas Diciembre 2025'!L42+'Primas Diciembre 2025'!L43+'Primas Diciembre 2025'!L44)/1000</f>
        <v>2.1660948100000001</v>
      </c>
      <c r="E18" s="182">
        <f t="shared" si="0"/>
        <v>-0.10212257099604218</v>
      </c>
      <c r="F18" s="181">
        <f t="shared" si="1"/>
        <v>-0.24636677999999979</v>
      </c>
      <c r="G18" s="183">
        <f>('Siniestros Diciembre 2024'!Y42+'Siniestros Diciembre 2024'!Y43+'Siniestros Diciembre 2024'!Y44)/1000</f>
        <v>0</v>
      </c>
      <c r="H18" s="183">
        <f>('Siniestros Diciembre  2025'!V42+'Siniestros Diciembre  2025'!V43+'Siniestros Diciembre  2025'!V44)/1000</f>
        <v>0.1048728</v>
      </c>
      <c r="I18" s="182">
        <f t="shared" si="2"/>
        <v>0</v>
      </c>
      <c r="J18" s="181">
        <f t="shared" si="3"/>
        <v>0.1048728</v>
      </c>
      <c r="K18" s="158">
        <f t="shared" si="4"/>
        <v>0</v>
      </c>
      <c r="L18" s="158">
        <f t="shared" si="5"/>
        <v>4.8415609287203822E-2</v>
      </c>
      <c r="M18" s="158">
        <f t="shared" si="6"/>
        <v>0</v>
      </c>
      <c r="N18" s="184">
        <f t="shared" si="7"/>
        <v>4.8415609287203822E-2</v>
      </c>
      <c r="O18" s="226">
        <f t="shared" si="8"/>
        <v>8.7097633032333574E-3</v>
      </c>
      <c r="P18" s="226">
        <f t="shared" si="9"/>
        <v>7.0701051491842406E-3</v>
      </c>
      <c r="Q18" s="182">
        <f t="shared" si="10"/>
        <v>-0.18825519098095586</v>
      </c>
      <c r="R18" s="182">
        <f t="shared" si="11"/>
        <v>-1.6396581540491168E-3</v>
      </c>
    </row>
    <row r="19" spans="1:18" s="349" customFormat="1" ht="15.75" x14ac:dyDescent="0.3">
      <c r="A19" s="28">
        <v>10</v>
      </c>
      <c r="B19" s="180" t="str">
        <f>'Primas Diciembre 2024'!N11</f>
        <v>SEGUROS EQUIDAD</v>
      </c>
      <c r="C19" s="181">
        <f>('Primas Diciembre 2024'!N42+'Primas Diciembre 2024'!N43+'Primas Diciembre 2024'!N44)/1000</f>
        <v>0.98718283999999989</v>
      </c>
      <c r="D19" s="181">
        <f>('Primas Diciembre 2025'!J42+'Primas Diciembre 2025'!J43+'Primas Diciembre 2025'!J44)/1000</f>
        <v>0.47124964000000003</v>
      </c>
      <c r="E19" s="182">
        <f t="shared" si="0"/>
        <v>-0.52263185612099972</v>
      </c>
      <c r="F19" s="181">
        <f t="shared" si="1"/>
        <v>-0.51593319999999987</v>
      </c>
      <c r="G19" s="165">
        <f>('Siniestros Diciembre 2024'!U42+'Siniestros Diciembre 2024'!U43+'Siniestros Diciembre 2024'!U44)/1000</f>
        <v>1.4920860000000001E-2</v>
      </c>
      <c r="H19" s="165">
        <f>('Siniestros Diciembre  2025'!R42+'Siniestros Diciembre  2025'!R43+'Siniestros Diciembre  2025'!R44)/1000</f>
        <v>0</v>
      </c>
      <c r="I19" s="158">
        <f t="shared" si="2"/>
        <v>-1</v>
      </c>
      <c r="J19" s="181">
        <f t="shared" si="3"/>
        <v>-1.4920860000000001E-2</v>
      </c>
      <c r="K19" s="158">
        <f t="shared" si="4"/>
        <v>1.5114586067966906E-2</v>
      </c>
      <c r="L19" s="158">
        <f t="shared" si="5"/>
        <v>0</v>
      </c>
      <c r="M19" s="158">
        <f t="shared" si="6"/>
        <v>-1</v>
      </c>
      <c r="N19" s="184">
        <f t="shared" si="7"/>
        <v>-1.5114586067966906E-2</v>
      </c>
      <c r="O19" s="226">
        <f t="shared" si="8"/>
        <v>3.5640479869417058E-3</v>
      </c>
      <c r="P19" s="226">
        <f t="shared" si="9"/>
        <v>1.538152665771458E-3</v>
      </c>
      <c r="Q19" s="182">
        <f t="shared" si="10"/>
        <v>-0.568425377153426</v>
      </c>
      <c r="R19" s="182">
        <f t="shared" si="11"/>
        <v>-2.0258953211702477E-3</v>
      </c>
    </row>
    <row r="20" spans="1:18" s="349" customFormat="1" ht="15.75" x14ac:dyDescent="0.3">
      <c r="A20" s="28">
        <v>11</v>
      </c>
      <c r="B20" s="180" t="str">
        <f>'Primas Diciembre 2024'!Q11</f>
        <v>ASEGURADORA RURAL</v>
      </c>
      <c r="C20" s="181">
        <f>('Primas Diciembre 2024'!Q42+'Primas Diciembre 2024'!Q43+'Primas Diciembre 2024'!Q44)/1000</f>
        <v>0</v>
      </c>
      <c r="D20" s="181">
        <f>('Primas Diciembre 2025'!M42+'Primas Diciembre 2025'!M43+'Primas Diciembre 2025'!M44)/1000</f>
        <v>0</v>
      </c>
      <c r="E20" s="182">
        <f t="shared" si="0"/>
        <v>0</v>
      </c>
      <c r="F20" s="181">
        <f t="shared" si="1"/>
        <v>0</v>
      </c>
      <c r="G20" s="183">
        <f>('Siniestros Diciembre 2024'!AA42+'Siniestros Diciembre 2024'!AA43+'Siniestros Diciembre 2024'!AA44)/1000</f>
        <v>0</v>
      </c>
      <c r="H20" s="183">
        <f>('Siniestros Diciembre  2025'!X42+'Siniestros Diciembre  2025'!X43+'Siniestros Diciembre  2025'!X44)/1000</f>
        <v>0</v>
      </c>
      <c r="I20" s="182">
        <f t="shared" si="2"/>
        <v>0</v>
      </c>
      <c r="J20" s="181">
        <f t="shared" si="3"/>
        <v>0</v>
      </c>
      <c r="K20" s="158">
        <f t="shared" si="4"/>
        <v>0</v>
      </c>
      <c r="L20" s="158">
        <f t="shared" si="5"/>
        <v>0</v>
      </c>
      <c r="M20" s="158">
        <f t="shared" si="6"/>
        <v>0</v>
      </c>
      <c r="N20" s="184">
        <f t="shared" si="7"/>
        <v>0</v>
      </c>
      <c r="O20" s="226">
        <f t="shared" si="8"/>
        <v>0</v>
      </c>
      <c r="P20" s="226">
        <f t="shared" si="9"/>
        <v>0</v>
      </c>
      <c r="Q20" s="182">
        <f t="shared" si="10"/>
        <v>0</v>
      </c>
      <c r="R20" s="182">
        <f t="shared" si="11"/>
        <v>0</v>
      </c>
    </row>
    <row r="21" spans="1:18" s="4" customFormat="1" ht="15" customHeight="1" x14ac:dyDescent="0.3">
      <c r="A21" s="173">
        <v>12</v>
      </c>
      <c r="B21" s="178" t="str">
        <f>'Primas Diciembre 2024'!H11</f>
        <v>PALIC</v>
      </c>
      <c r="C21" s="175">
        <f>('Primas Diciembre 2024'!H42+'Primas Diciembre 2024'!H43+'Primas Diciembre 2024'!H44)/1000</f>
        <v>0</v>
      </c>
      <c r="D21" s="175">
        <f>('Primas Diciembre 2025'!D42+'Primas Diciembre 2025'!D43+'Primas Diciembre 2025'!D44)/1000</f>
        <v>0</v>
      </c>
      <c r="E21" s="176">
        <f t="shared" si="0"/>
        <v>0</v>
      </c>
      <c r="F21" s="175">
        <f t="shared" si="1"/>
        <v>0</v>
      </c>
      <c r="G21" s="365">
        <f>('Siniestros Diciembre 2024'!I42+'Siniestros Diciembre 2024'!I43+'Siniestros Diciembre 2024'!I44)/1000</f>
        <v>0</v>
      </c>
      <c r="H21" s="365">
        <f>('Siniestros Diciembre  2025'!F42+'Siniestros Diciembre  2025'!F43+'Siniestros Diciembre  2025'!F44)/1000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276.98359944000003</v>
      </c>
      <c r="D22" s="185">
        <f>SUM(D10:D21)</f>
        <v>306.37377581999999</v>
      </c>
      <c r="E22" s="186">
        <f t="shared" si="0"/>
        <v>0.10610800220453642</v>
      </c>
      <c r="F22" s="185">
        <f t="shared" si="1"/>
        <v>29.390176379999957</v>
      </c>
      <c r="G22" s="187">
        <f>SUM(G10:G21)</f>
        <v>71.906719340000009</v>
      </c>
      <c r="H22" s="187">
        <f>SUM(H10:H21)</f>
        <v>65.386637949999994</v>
      </c>
      <c r="I22" s="188">
        <f t="shared" si="2"/>
        <v>-9.0674160215414648E-2</v>
      </c>
      <c r="J22" s="189">
        <f t="shared" si="3"/>
        <v>-6.5200813900000156</v>
      </c>
      <c r="K22" s="190">
        <f t="shared" si="4"/>
        <v>0.25960641527288836</v>
      </c>
      <c r="L22" s="190">
        <f t="shared" si="5"/>
        <v>0.21342113167158211</v>
      </c>
      <c r="M22" s="190">
        <f t="shared" si="6"/>
        <v>-0.17790501653342441</v>
      </c>
      <c r="N22" s="190">
        <f t="shared" si="7"/>
        <v>-4.6185283601306248E-2</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c r="K24" s="430"/>
    </row>
    <row r="25" spans="1:18" ht="16.5" x14ac:dyDescent="0.3">
      <c r="A25" s="278" t="s">
        <v>23</v>
      </c>
      <c r="B25" s="278"/>
      <c r="C25" s="278"/>
      <c r="E25" s="279">
        <f>E22-E24</f>
        <v>5.6308002204536425E-2</v>
      </c>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31">
    <tabColor theme="0" tint="-0.249977111117893"/>
  </sheetPr>
  <dimension ref="A1:R25"/>
  <sheetViews>
    <sheetView showGridLines="0" zoomScale="90" zoomScaleNormal="90" workbookViewId="0">
      <selection activeCell="G27" sqref="G27"/>
    </sheetView>
  </sheetViews>
  <sheetFormatPr baseColWidth="10" defaultRowHeight="15" x14ac:dyDescent="0.3"/>
  <cols>
    <col min="1" max="1" width="4.140625" customWidth="1"/>
    <col min="2" max="2" width="22.7109375" bestFit="1" customWidth="1"/>
    <col min="3" max="3" width="9.85546875" customWidth="1"/>
    <col min="4" max="4" width="10" customWidth="1"/>
    <col min="5" max="5" width="14.140625" customWidth="1"/>
    <col min="6" max="6" width="9.140625" customWidth="1"/>
    <col min="7" max="7" width="8.85546875" bestFit="1" customWidth="1"/>
    <col min="8" max="8" width="9.5703125" customWidth="1"/>
    <col min="9" max="9" width="9.7109375" customWidth="1"/>
    <col min="10" max="10" width="9" customWidth="1"/>
    <col min="11" max="11" width="15.8554687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35</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95" t="str">
        <f>'Primas Diciembre 2024'!R11</f>
        <v>ASSA CIA. DE SEGUROS</v>
      </c>
      <c r="C10" s="181">
        <f>('Primas Diciembre 2024'!R37)/1000</f>
        <v>125.36070612</v>
      </c>
      <c r="D10" s="181">
        <f>('Primas Diciembre 2025'!N37)/1000</f>
        <v>133.07006416000002</v>
      </c>
      <c r="E10" s="176">
        <f t="shared" ref="E10:E17" si="0">IFERROR(F10/C10,0%)</f>
        <v>6.1497404398953556E-2</v>
      </c>
      <c r="F10" s="175">
        <f t="shared" ref="F10:F22" si="1">IFERROR(D10-C10,0)</f>
        <v>7.7093580400000121</v>
      </c>
      <c r="G10" s="183">
        <f>('Siniestros Diciembre 2024'!AC37)/1000</f>
        <v>0.79127727999999997</v>
      </c>
      <c r="H10" s="183">
        <f>('Siniestros Diciembre  2025'!Z37)/1000</f>
        <v>4.38378113</v>
      </c>
      <c r="I10" s="176">
        <f t="shared" ref="I10:I22" si="2">IFERROR(J10/G10,0%)</f>
        <v>4.5401326953302643</v>
      </c>
      <c r="J10" s="175">
        <f t="shared" ref="J10:J22" si="3">IFERROR(H10-G10,0)</f>
        <v>3.5925038499999999</v>
      </c>
      <c r="K10" s="155">
        <f t="shared" ref="K10:K22" si="4">IFERROR((G10/C10),0%)</f>
        <v>6.3120040121867173E-3</v>
      </c>
      <c r="L10" s="155">
        <f t="shared" ref="L10:L22" si="5">IFERROR(H10/D10,0%)</f>
        <v>3.2943405849185245E-2</v>
      </c>
      <c r="M10" s="155">
        <f t="shared" ref="M10:M22" si="6">IFERROR(N10/K10,0%)</f>
        <v>4.2191674443775273</v>
      </c>
      <c r="N10" s="177">
        <f t="shared" ref="N10:N22" si="7">L10-K10</f>
        <v>2.6631401836998529E-2</v>
      </c>
      <c r="O10" s="226">
        <f t="shared" ref="O10:O21" si="8">C10/$C$22</f>
        <v>0.46282693869674091</v>
      </c>
      <c r="P10" s="226">
        <f t="shared" ref="P10:P21" si="9">D10/$D$22</f>
        <v>0.4891923887328396</v>
      </c>
      <c r="Q10" s="182">
        <f t="shared" ref="Q10:Q21" si="10">IFERROR(R10/O10,0%)</f>
        <v>5.6966109428159675E-2</v>
      </c>
      <c r="R10" s="176">
        <f t="shared" ref="R10:R21" si="11">IFERROR(P10-O10,0)</f>
        <v>2.6365450036098692E-2</v>
      </c>
    </row>
    <row r="11" spans="1:18" s="4" customFormat="1" ht="15.75" x14ac:dyDescent="0.3">
      <c r="A11" s="173">
        <v>2</v>
      </c>
      <c r="B11" s="178" t="str">
        <f>'Primas Diciembre 2024'!J11</f>
        <v>FICOHSA SEGUROS</v>
      </c>
      <c r="C11" s="175">
        <f>('Primas Diciembre 2024'!J37)/1000</f>
        <v>65.681432530000009</v>
      </c>
      <c r="D11" s="175">
        <f>('Primas Diciembre 2025'!F37)/1000</f>
        <v>58.531036610000001</v>
      </c>
      <c r="E11" s="176">
        <f t="shared" si="0"/>
        <v>-0.10886479853699998</v>
      </c>
      <c r="F11" s="175">
        <f t="shared" si="1"/>
        <v>-7.1503959200000082</v>
      </c>
      <c r="G11" s="365">
        <f>('Siniestros Diciembre 2024'!M37)/1000</f>
        <v>2.4076259999999999E-2</v>
      </c>
      <c r="H11" s="365">
        <f>('Siniestros Diciembre  2025'!J37)/1000</f>
        <v>2.3784827000000002</v>
      </c>
      <c r="I11" s="176">
        <f t="shared" si="2"/>
        <v>97.789542063426794</v>
      </c>
      <c r="J11" s="175">
        <f t="shared" si="3"/>
        <v>2.35440644</v>
      </c>
      <c r="K11" s="155">
        <f t="shared" si="4"/>
        <v>3.6656112804791765E-4</v>
      </c>
      <c r="L11" s="155">
        <f t="shared" si="5"/>
        <v>4.0636264753828699E-2</v>
      </c>
      <c r="M11" s="155">
        <f t="shared" si="6"/>
        <v>109.8580851718588</v>
      </c>
      <c r="N11" s="177">
        <f t="shared" si="7"/>
        <v>4.0269703625780778E-2</v>
      </c>
      <c r="O11" s="226">
        <f t="shared" si="8"/>
        <v>0.24249334012188187</v>
      </c>
      <c r="P11" s="226">
        <f t="shared" si="9"/>
        <v>0.21517189305498252</v>
      </c>
      <c r="Q11" s="176">
        <f t="shared" si="10"/>
        <v>-0.11266885537213953</v>
      </c>
      <c r="R11" s="176">
        <f t="shared" si="11"/>
        <v>-2.7321447066899346E-2</v>
      </c>
    </row>
    <row r="12" spans="1:18" s="4" customFormat="1" ht="15.75" x14ac:dyDescent="0.3">
      <c r="A12" s="173">
        <v>3</v>
      </c>
      <c r="B12" s="180" t="str">
        <f>'Primas Diciembre 2024'!L11</f>
        <v>SEGUROS ATLÁNTIDA</v>
      </c>
      <c r="C12" s="181">
        <f>('Primas Diciembre 2024'!L37)/1000</f>
        <v>21.99936825</v>
      </c>
      <c r="D12" s="181">
        <f>('Primas Diciembre 2025'!H37)/1000</f>
        <v>22.310965350000004</v>
      </c>
      <c r="E12" s="182">
        <f t="shared" si="0"/>
        <v>1.4163911275043262E-2</v>
      </c>
      <c r="F12" s="181">
        <f t="shared" si="1"/>
        <v>0.31159710000000373</v>
      </c>
      <c r="G12" s="183">
        <f>('Siniestros Diciembre 2024'!Q37)/1000</f>
        <v>2.8531050900000001</v>
      </c>
      <c r="H12" s="183">
        <f>('Siniestros Diciembre  2025'!N37)/1000</f>
        <v>0.81291528000000002</v>
      </c>
      <c r="I12" s="182">
        <f t="shared" si="2"/>
        <v>-0.71507699353618981</v>
      </c>
      <c r="J12" s="181">
        <f t="shared" si="3"/>
        <v>-2.0401898100000002</v>
      </c>
      <c r="K12" s="158">
        <f t="shared" si="4"/>
        <v>0.12969031917541543</v>
      </c>
      <c r="L12" s="158">
        <f t="shared" si="5"/>
        <v>3.6435683855337971E-2</v>
      </c>
      <c r="M12" s="158">
        <f t="shared" si="6"/>
        <v>-0.71905625580228472</v>
      </c>
      <c r="N12" s="184">
        <f t="shared" si="7"/>
        <v>-9.3254635320077467E-2</v>
      </c>
      <c r="O12" s="226">
        <f t="shared" si="8"/>
        <v>8.1220827287485753E-2</v>
      </c>
      <c r="P12" s="226">
        <f t="shared" si="9"/>
        <v>8.2019607515774376E-2</v>
      </c>
      <c r="Q12" s="176">
        <f t="shared" si="10"/>
        <v>9.8346723982667018E-3</v>
      </c>
      <c r="R12" s="176">
        <f t="shared" si="11"/>
        <v>7.9878022828862305E-4</v>
      </c>
    </row>
    <row r="13" spans="1:18" s="349" customFormat="1" ht="15.75" x14ac:dyDescent="0.3">
      <c r="A13" s="28">
        <v>4</v>
      </c>
      <c r="B13" s="180" t="str">
        <f>'Primas Diciembre 2024'!O11</f>
        <v>SEGUROS DEL PAÍS</v>
      </c>
      <c r="C13" s="181">
        <f>('Primas Diciembre 2024'!O37)/1000</f>
        <v>13.859890269999999</v>
      </c>
      <c r="D13" s="181">
        <f>('Primas Diciembre 2025'!K37)/1000</f>
        <v>15.556107219999999</v>
      </c>
      <c r="E13" s="155">
        <f t="shared" si="0"/>
        <v>0.12238314423538364</v>
      </c>
      <c r="F13" s="175">
        <f t="shared" si="1"/>
        <v>1.6962169500000002</v>
      </c>
      <c r="G13" s="183">
        <f>('Siniestros Diciembre 2024'!W37)/1000</f>
        <v>1.55520704</v>
      </c>
      <c r="H13" s="183">
        <f>('Siniestros Diciembre  2025'!T37)/1000</f>
        <v>3.2049384000000001</v>
      </c>
      <c r="I13" s="176">
        <f t="shared" si="2"/>
        <v>1.0607792516165566</v>
      </c>
      <c r="J13" s="175">
        <f t="shared" si="3"/>
        <v>1.6497313600000001</v>
      </c>
      <c r="K13" s="158">
        <f t="shared" si="4"/>
        <v>0.11220918850752201</v>
      </c>
      <c r="L13" s="158">
        <f t="shared" si="5"/>
        <v>0.20602444780526527</v>
      </c>
      <c r="M13" s="155">
        <f t="shared" si="6"/>
        <v>0.83607466149222076</v>
      </c>
      <c r="N13" s="177">
        <f t="shared" si="7"/>
        <v>9.3815259297743259E-2</v>
      </c>
      <c r="O13" s="226">
        <f t="shared" si="8"/>
        <v>5.1170185482175119E-2</v>
      </c>
      <c r="P13" s="226">
        <f t="shared" si="9"/>
        <v>5.7187386948171826E-2</v>
      </c>
      <c r="Q13" s="182">
        <f t="shared" si="10"/>
        <v>0.11759194166088706</v>
      </c>
      <c r="R13" s="176">
        <f t="shared" si="11"/>
        <v>6.0172014659967063E-3</v>
      </c>
    </row>
    <row r="14" spans="1:18" s="4" customFormat="1" ht="15.75" x14ac:dyDescent="0.3">
      <c r="A14" s="173">
        <v>5</v>
      </c>
      <c r="B14" s="178" t="str">
        <f>'Primas Diciembre 2024'!I11</f>
        <v>MAPFRE SEGUROS</v>
      </c>
      <c r="C14" s="175">
        <f>('Primas Diciembre 2024'!I37)/1000</f>
        <v>17.382889729999999</v>
      </c>
      <c r="D14" s="175">
        <f>('Primas Diciembre 2025'!E37)/1000</f>
        <v>14.047734570000001</v>
      </c>
      <c r="E14" s="155">
        <f t="shared" si="0"/>
        <v>-0.1918642534010942</v>
      </c>
      <c r="F14" s="175">
        <f t="shared" si="1"/>
        <v>-3.3351551599999976</v>
      </c>
      <c r="G14" s="365">
        <f>('Siniestros Diciembre 2024'!K37)/1000</f>
        <v>0</v>
      </c>
      <c r="H14" s="365">
        <f>('Siniestros Diciembre  2025'!H37)/1000</f>
        <v>0.90539029000000004</v>
      </c>
      <c r="I14" s="176">
        <f t="shared" si="2"/>
        <v>0</v>
      </c>
      <c r="J14" s="175">
        <f t="shared" si="3"/>
        <v>0.90539029000000004</v>
      </c>
      <c r="K14" s="155">
        <f t="shared" si="4"/>
        <v>0</v>
      </c>
      <c r="L14" s="155">
        <f t="shared" si="5"/>
        <v>6.4450982148646904E-2</v>
      </c>
      <c r="M14" s="155">
        <f t="shared" si="6"/>
        <v>0</v>
      </c>
      <c r="N14" s="177">
        <f t="shared" si="7"/>
        <v>6.4450982148646904E-2</v>
      </c>
      <c r="O14" s="226">
        <f t="shared" si="8"/>
        <v>6.417696492342409E-2</v>
      </c>
      <c r="P14" s="226">
        <f t="shared" si="9"/>
        <v>5.1642304931336175E-2</v>
      </c>
      <c r="Q14" s="176">
        <f t="shared" si="10"/>
        <v>-0.19531400412974131</v>
      </c>
      <c r="R14" s="176">
        <f t="shared" si="11"/>
        <v>-1.2534659992087915E-2</v>
      </c>
    </row>
    <row r="15" spans="1:18" s="349" customFormat="1" ht="15.75" x14ac:dyDescent="0.3">
      <c r="A15" s="28">
        <v>6</v>
      </c>
      <c r="B15" s="180" t="str">
        <f>'Primas Diciembre 2024'!P11</f>
        <v>SEGUROS LAFISE</v>
      </c>
      <c r="C15" s="181">
        <f>('Primas Diciembre 2024'!P37)/1000</f>
        <v>4.5379410599999996</v>
      </c>
      <c r="D15" s="181">
        <f>('Primas Diciembre 2025'!L37)/1000</f>
        <v>8.7919309000000005</v>
      </c>
      <c r="E15" s="182">
        <f t="shared" si="0"/>
        <v>0.93742730100597671</v>
      </c>
      <c r="F15" s="181">
        <f t="shared" si="1"/>
        <v>4.2539898400000009</v>
      </c>
      <c r="G15" s="183">
        <f>('Siniestros Diciembre 2024'!Y37)/1000</f>
        <v>0.21657520000000002</v>
      </c>
      <c r="H15" s="183">
        <f>('Siniestros Diciembre  2025'!P37)/1000</f>
        <v>5.6389410000000008E-2</v>
      </c>
      <c r="I15" s="182">
        <f t="shared" si="2"/>
        <v>-0.73963126895415543</v>
      </c>
      <c r="J15" s="181">
        <f t="shared" si="3"/>
        <v>-0.16018579000000002</v>
      </c>
      <c r="K15" s="158">
        <f t="shared" si="4"/>
        <v>4.772543255552994E-2</v>
      </c>
      <c r="L15" s="158">
        <f t="shared" si="5"/>
        <v>6.4137685613520918E-3</v>
      </c>
      <c r="M15" s="158">
        <f t="shared" si="6"/>
        <v>-0.86561109626634636</v>
      </c>
      <c r="N15" s="184">
        <f t="shared" si="7"/>
        <v>-4.131166399417785E-2</v>
      </c>
      <c r="O15" s="226">
        <f t="shared" si="8"/>
        <v>1.6753905061571484E-2</v>
      </c>
      <c r="P15" s="226">
        <f t="shared" si="9"/>
        <v>3.232091083516514E-2</v>
      </c>
      <c r="Q15" s="182">
        <f t="shared" si="10"/>
        <v>0.92915685724516706</v>
      </c>
      <c r="R15" s="182">
        <f t="shared" si="11"/>
        <v>1.5567005773593656E-2</v>
      </c>
    </row>
    <row r="16" spans="1:18" s="4" customFormat="1" ht="15.75" x14ac:dyDescent="0.3">
      <c r="A16" s="173">
        <v>7</v>
      </c>
      <c r="B16" s="178" t="str">
        <f>'Primas Diciembre 2024'!M11</f>
        <v>CREFISA</v>
      </c>
      <c r="C16" s="175">
        <f>('Primas Diciembre 2024'!M37)/1000</f>
        <v>9.5142830199999988</v>
      </c>
      <c r="D16" s="175">
        <f>('Primas Diciembre 2025'!I37)/1000</f>
        <v>8.3647038400000007</v>
      </c>
      <c r="E16" s="155">
        <f t="shared" si="0"/>
        <v>-0.12082667475662273</v>
      </c>
      <c r="F16" s="175">
        <f t="shared" si="1"/>
        <v>-1.1495791799999981</v>
      </c>
      <c r="G16" s="365">
        <f>('Siniestros Diciembre 2024'!S37)/1000</f>
        <v>7.1552687400000003</v>
      </c>
      <c r="H16" s="365">
        <f>('Siniestros Diciembre  2025'!V37)/1000</f>
        <v>2.2598770000000001E-2</v>
      </c>
      <c r="I16" s="176">
        <f t="shared" si="2"/>
        <v>-0.99684166020576326</v>
      </c>
      <c r="J16" s="175">
        <f t="shared" si="3"/>
        <v>-7.1326699700000002</v>
      </c>
      <c r="K16" s="155">
        <f t="shared" si="4"/>
        <v>0.75205548594243954</v>
      </c>
      <c r="L16" s="155">
        <f t="shared" si="5"/>
        <v>2.7016820239268626E-3</v>
      </c>
      <c r="M16" s="155">
        <f t="shared" si="6"/>
        <v>-0.99640760279736373</v>
      </c>
      <c r="N16" s="177">
        <f t="shared" si="7"/>
        <v>-0.7493538039185127</v>
      </c>
      <c r="O16" s="226">
        <f t="shared" si="8"/>
        <v>3.5126369500709562E-2</v>
      </c>
      <c r="P16" s="226">
        <f t="shared" si="9"/>
        <v>3.0750338014508671E-2</v>
      </c>
      <c r="Q16" s="176">
        <f t="shared" si="10"/>
        <v>-0.12457966901795797</v>
      </c>
      <c r="R16" s="176">
        <f t="shared" si="11"/>
        <v>-4.376031486200891E-3</v>
      </c>
    </row>
    <row r="17" spans="1:18" s="4" customFormat="1" ht="15.75" x14ac:dyDescent="0.3">
      <c r="A17" s="173">
        <v>8</v>
      </c>
      <c r="B17" s="178" t="str">
        <f>'Primas Diciembre 2024'!K11</f>
        <v>SEGUROS CONTINENTAL</v>
      </c>
      <c r="C17" s="175">
        <f>('Primas Diciembre 2024'!K37)/1000</f>
        <v>9.1465438200000015</v>
      </c>
      <c r="D17" s="175">
        <f>('Primas Diciembre 2025'!G37)/1000</f>
        <v>7.01882831</v>
      </c>
      <c r="E17" s="155">
        <f t="shared" si="0"/>
        <v>-0.23262508242156996</v>
      </c>
      <c r="F17" s="175">
        <f t="shared" si="1"/>
        <v>-2.1277155100000016</v>
      </c>
      <c r="G17" s="365">
        <f>('Siniestros Diciembre 2024'!O37)/1000</f>
        <v>0.70825118000000009</v>
      </c>
      <c r="H17" s="365">
        <f>('Siniestros Diciembre  2025'!L37)/1000</f>
        <v>0.48680594000000005</v>
      </c>
      <c r="I17" s="176">
        <f t="shared" si="2"/>
        <v>-0.31266483735332429</v>
      </c>
      <c r="J17" s="175">
        <f t="shared" si="3"/>
        <v>-0.22144524000000004</v>
      </c>
      <c r="K17" s="155">
        <f t="shared" si="4"/>
        <v>7.7433749177621053E-2</v>
      </c>
      <c r="L17" s="155">
        <f t="shared" si="5"/>
        <v>6.9357151720954413E-2</v>
      </c>
      <c r="M17" s="155">
        <f t="shared" si="6"/>
        <v>-0.10430332435718918</v>
      </c>
      <c r="N17" s="177">
        <f t="shared" si="7"/>
        <v>-8.0765974566666399E-3</v>
      </c>
      <c r="O17" s="226">
        <f t="shared" si="8"/>
        <v>3.3768690420536977E-2</v>
      </c>
      <c r="P17" s="226">
        <f t="shared" si="9"/>
        <v>2.5802628177485198E-2</v>
      </c>
      <c r="Q17" s="176">
        <f t="shared" si="10"/>
        <v>-0.23590083428900427</v>
      </c>
      <c r="R17" s="176">
        <f t="shared" si="11"/>
        <v>-7.9660622430517795E-3</v>
      </c>
    </row>
    <row r="18" spans="1:18" s="4" customFormat="1" ht="15.75" x14ac:dyDescent="0.3">
      <c r="A18" s="173">
        <v>9</v>
      </c>
      <c r="B18" s="178" t="str">
        <f>'Primas Diciembre 2024'!G11</f>
        <v>SEGUROS DAVIVIENDA</v>
      </c>
      <c r="C18" s="175">
        <f>('Primas Diciembre 2024'!G37)/1000</f>
        <v>3.3756520699999997</v>
      </c>
      <c r="D18" s="175">
        <f>('Primas Diciembre 2025'!C37)/1000</f>
        <v>4.3285280100000003</v>
      </c>
      <c r="E18" s="176">
        <f>IFERROR(F18/-C18,0%)</f>
        <v>-0.28227907386201706</v>
      </c>
      <c r="F18" s="175">
        <f t="shared" si="1"/>
        <v>0.95287594000000064</v>
      </c>
      <c r="G18" s="365">
        <f>('Siniestros Diciembre 2024'!G37)/1000</f>
        <v>7.566581E-2</v>
      </c>
      <c r="H18" s="365">
        <f>('Siniestros Diciembre  2025'!D37)/1000</f>
        <v>2.5485280800000001</v>
      </c>
      <c r="I18" s="176">
        <f t="shared" si="2"/>
        <v>32.681369167924061</v>
      </c>
      <c r="J18" s="175">
        <f t="shared" si="3"/>
        <v>2.4728622700000003</v>
      </c>
      <c r="K18" s="155">
        <f t="shared" si="4"/>
        <v>2.2415168515871366E-2</v>
      </c>
      <c r="L18" s="155">
        <f t="shared" si="5"/>
        <v>0.58877476918533322</v>
      </c>
      <c r="M18" s="155">
        <f t="shared" si="6"/>
        <v>25.266800928507106</v>
      </c>
      <c r="N18" s="177">
        <f t="shared" si="7"/>
        <v>0.56635960066946189</v>
      </c>
      <c r="O18" s="226">
        <f t="shared" si="8"/>
        <v>1.2462778505474299E-2</v>
      </c>
      <c r="P18" s="226">
        <f t="shared" si="9"/>
        <v>1.5912541789736404E-2</v>
      </c>
      <c r="Q18" s="176">
        <f t="shared" si="10"/>
        <v>0.27680531133140096</v>
      </c>
      <c r="R18" s="176">
        <f t="shared" si="11"/>
        <v>3.449763284262105E-3</v>
      </c>
    </row>
    <row r="19" spans="1:18" s="349" customFormat="1" ht="15.75" x14ac:dyDescent="0.3">
      <c r="A19" s="28">
        <v>10</v>
      </c>
      <c r="B19" s="180" t="str">
        <f>'Primas Diciembre 2024'!N11</f>
        <v>SEGUROS EQUIDAD</v>
      </c>
      <c r="C19" s="181">
        <f>('Primas Diciembre 2024'!N37)/1000</f>
        <v>0</v>
      </c>
      <c r="D19" s="181">
        <f>('Primas Diciembre 2025'!J37)/1000</f>
        <v>0</v>
      </c>
      <c r="E19" s="182">
        <f>IFERROR(F19/C19,0%)</f>
        <v>0</v>
      </c>
      <c r="F19" s="181">
        <f t="shared" si="1"/>
        <v>0</v>
      </c>
      <c r="G19" s="183">
        <f>('Siniestros Diciembre 2024'!U37)/1000</f>
        <v>0</v>
      </c>
      <c r="H19" s="183">
        <f>('Siniestros Diciembre  2025'!R37)/1000</f>
        <v>0</v>
      </c>
      <c r="I19" s="182">
        <f t="shared" si="2"/>
        <v>0</v>
      </c>
      <c r="J19" s="181">
        <f t="shared" si="3"/>
        <v>0</v>
      </c>
      <c r="K19" s="158">
        <f t="shared" si="4"/>
        <v>0</v>
      </c>
      <c r="L19" s="158">
        <f t="shared" si="5"/>
        <v>0</v>
      </c>
      <c r="M19" s="158">
        <f t="shared" si="6"/>
        <v>0</v>
      </c>
      <c r="N19" s="184">
        <f t="shared" si="7"/>
        <v>0</v>
      </c>
      <c r="O19" s="226">
        <f t="shared" si="8"/>
        <v>0</v>
      </c>
      <c r="P19" s="226">
        <f t="shared" si="9"/>
        <v>0</v>
      </c>
      <c r="Q19" s="182">
        <f t="shared" si="10"/>
        <v>0</v>
      </c>
      <c r="R19" s="182">
        <f t="shared" si="11"/>
        <v>0</v>
      </c>
    </row>
    <row r="20" spans="1:18" s="349" customFormat="1" ht="15.75" x14ac:dyDescent="0.3">
      <c r="A20" s="28">
        <v>11</v>
      </c>
      <c r="B20" s="180" t="str">
        <f>'Primas Diciembre 2024'!Q11</f>
        <v>ASEGURADORA RURAL</v>
      </c>
      <c r="C20" s="181">
        <f>('Primas Diciembre 2024'!Q37)/1000</f>
        <v>0</v>
      </c>
      <c r="D20" s="181">
        <f>('Primas Diciembre 2025'!M37)/1000</f>
        <v>0</v>
      </c>
      <c r="E20" s="182">
        <f>IFERROR(F20/C20,0%)</f>
        <v>0</v>
      </c>
      <c r="F20" s="181">
        <f t="shared" si="1"/>
        <v>0</v>
      </c>
      <c r="G20" s="183">
        <f>('Siniestros Diciembre 2024'!AA37)/1000</f>
        <v>0</v>
      </c>
      <c r="H20" s="183">
        <f>('Siniestros Diciembre  2025'!X37)/1000</f>
        <v>0</v>
      </c>
      <c r="I20" s="182">
        <f t="shared" si="2"/>
        <v>0</v>
      </c>
      <c r="J20" s="181">
        <f t="shared" si="3"/>
        <v>0</v>
      </c>
      <c r="K20" s="158">
        <f t="shared" si="4"/>
        <v>0</v>
      </c>
      <c r="L20" s="158">
        <f t="shared" si="5"/>
        <v>0</v>
      </c>
      <c r="M20" s="158">
        <f t="shared" si="6"/>
        <v>0</v>
      </c>
      <c r="N20" s="184">
        <f t="shared" si="7"/>
        <v>0</v>
      </c>
      <c r="O20" s="226">
        <f t="shared" si="8"/>
        <v>0</v>
      </c>
      <c r="P20" s="226">
        <f t="shared" si="9"/>
        <v>0</v>
      </c>
      <c r="Q20" s="182">
        <f t="shared" si="10"/>
        <v>0</v>
      </c>
      <c r="R20" s="182">
        <f t="shared" si="11"/>
        <v>0</v>
      </c>
    </row>
    <row r="21" spans="1:18" s="4" customFormat="1" ht="15" customHeight="1" x14ac:dyDescent="0.3">
      <c r="A21" s="173">
        <v>12</v>
      </c>
      <c r="B21" s="178" t="str">
        <f>'Primas Diciembre 2024'!H11</f>
        <v>PALIC</v>
      </c>
      <c r="C21" s="175">
        <f>('Primas Diciembre 2024'!H37)/1000</f>
        <v>0</v>
      </c>
      <c r="D21" s="175">
        <f>('Primas Diciembre 2025'!D22)/1000</f>
        <v>0</v>
      </c>
      <c r="E21" s="176">
        <f>IFERROR(F21/C21,0%)</f>
        <v>0</v>
      </c>
      <c r="F21" s="175">
        <f t="shared" si="1"/>
        <v>0</v>
      </c>
      <c r="G21" s="365">
        <f>('Siniestros Diciembre 2024'!I37)/1000</f>
        <v>0</v>
      </c>
      <c r="H21" s="365">
        <f>('Siniestros Diciembre  2025'!F22)/1000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270.85870686999999</v>
      </c>
      <c r="D22" s="185">
        <f>SUM(D10:D21)</f>
        <v>272.01989897000004</v>
      </c>
      <c r="E22" s="186">
        <f>IFERROR(F22/C22,0%)</f>
        <v>4.2870768801143641E-3</v>
      </c>
      <c r="F22" s="185">
        <f t="shared" si="1"/>
        <v>1.1611921000000507</v>
      </c>
      <c r="G22" s="187">
        <f>SUM(G10:G21)</f>
        <v>13.3794266</v>
      </c>
      <c r="H22" s="187">
        <f>SUM(H10:H21)</f>
        <v>14.79983</v>
      </c>
      <c r="I22" s="188">
        <f t="shared" si="2"/>
        <v>0.10616324917840647</v>
      </c>
      <c r="J22" s="189">
        <f t="shared" si="3"/>
        <v>1.4204033999999996</v>
      </c>
      <c r="K22" s="190">
        <f t="shared" si="4"/>
        <v>4.9396331964405057E-2</v>
      </c>
      <c r="L22" s="190">
        <f t="shared" si="5"/>
        <v>5.4407159388115987E-2</v>
      </c>
      <c r="M22" s="190">
        <f t="shared" si="6"/>
        <v>0.1014412857076458</v>
      </c>
      <c r="N22" s="190">
        <f t="shared" si="7"/>
        <v>5.0108274237109299E-3</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-4.5512923119885633E-2</v>
      </c>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2">
    <tabColor theme="0" tint="-0.249977111117893"/>
  </sheetPr>
  <dimension ref="A1:R25"/>
  <sheetViews>
    <sheetView showGridLines="0" zoomScale="90" zoomScaleNormal="90" workbookViewId="0">
      <selection activeCell="I27" sqref="I27"/>
    </sheetView>
  </sheetViews>
  <sheetFormatPr baseColWidth="10" defaultRowHeight="15" x14ac:dyDescent="0.3"/>
  <cols>
    <col min="1" max="1" width="4.140625" customWidth="1"/>
    <col min="2" max="2" width="22.7109375" bestFit="1" customWidth="1"/>
    <col min="3" max="3" width="9.85546875" customWidth="1"/>
    <col min="4" max="4" width="10" customWidth="1"/>
    <col min="5" max="5" width="14.140625" customWidth="1"/>
    <col min="6" max="6" width="9.140625" customWidth="1"/>
    <col min="7" max="7" width="8.85546875" bestFit="1" customWidth="1"/>
    <col min="8" max="8" width="9.5703125" customWidth="1"/>
    <col min="9" max="9" width="13" customWidth="1"/>
    <col min="10" max="10" width="9" customWidth="1"/>
    <col min="11" max="11" width="15.85546875" customWidth="1"/>
  </cols>
  <sheetData>
    <row r="1" spans="1:18" s="502" customFormat="1" x14ac:dyDescent="0.25">
      <c r="A1" s="494" t="s">
        <v>0</v>
      </c>
      <c r="B1" s="505"/>
      <c r="C1" s="505"/>
      <c r="D1" s="505"/>
      <c r="E1" s="505"/>
      <c r="F1" s="505"/>
      <c r="G1" s="505"/>
      <c r="H1" s="505"/>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503"/>
      <c r="B5" s="498"/>
      <c r="C5" s="498"/>
      <c r="D5" s="498"/>
      <c r="E5" s="498"/>
      <c r="F5" s="498"/>
      <c r="G5" s="498"/>
      <c r="H5" s="498"/>
      <c r="I5" s="498"/>
    </row>
    <row r="6" spans="1:18" s="502" customFormat="1" x14ac:dyDescent="0.25">
      <c r="A6" s="502" t="s">
        <v>36</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s="4" customFormat="1" ht="15.75" x14ac:dyDescent="0.3">
      <c r="A10" s="173">
        <v>1</v>
      </c>
      <c r="B10" s="174" t="str">
        <f>'Primas Diciembre 2024'!J11</f>
        <v>FICOHSA SEGUROS</v>
      </c>
      <c r="C10" s="175">
        <f>('Primas Diciembre 2024'!J31)/1000</f>
        <v>108.75759884</v>
      </c>
      <c r="D10" s="175">
        <f>('Primas Diciembre 2025'!F31)/1000</f>
        <v>112.23202034999998</v>
      </c>
      <c r="E10" s="176">
        <f t="shared" ref="E10:E22" si="0">IFERROR(F10/C10,0%)</f>
        <v>3.1946471300009299E-2</v>
      </c>
      <c r="F10" s="175">
        <f t="shared" ref="F10:F22" si="1">IFERROR(D10-C10,0)</f>
        <v>3.4744215099999849</v>
      </c>
      <c r="G10" s="365">
        <f>('Siniestros Diciembre 2024'!M31)/1000</f>
        <v>40.506042700000009</v>
      </c>
      <c r="H10" s="365">
        <f>('Siniestros Diciembre  2025'!J31)/1000</f>
        <v>16.739729700000002</v>
      </c>
      <c r="I10" s="176">
        <f t="shared" ref="I10:I22" si="2">IFERROR(J10/G10,0%)</f>
        <v>-0.58673500089901409</v>
      </c>
      <c r="J10" s="175">
        <f t="shared" ref="J10:J22" si="3">IFERROR(H10-G10,0)</f>
        <v>-23.766313000000007</v>
      </c>
      <c r="K10" s="155">
        <f t="shared" ref="K10:K22" si="4">IFERROR((G10/C10),0%)</f>
        <v>0.37244333390985346</v>
      </c>
      <c r="L10" s="155">
        <f t="shared" ref="L10:L22" si="5">IFERROR(H10/D10,0%)</f>
        <v>0.14915288567198998</v>
      </c>
      <c r="M10" s="155">
        <f t="shared" ref="M10:M22" si="6">IFERROR(N10/K10,0%)</f>
        <v>-0.59952864746911783</v>
      </c>
      <c r="N10" s="177">
        <f t="shared" ref="N10:N22" si="7">L10-K10</f>
        <v>-0.22329044823786348</v>
      </c>
      <c r="O10" s="226">
        <f t="shared" ref="O10:O21" si="8">C10/$C$22</f>
        <v>0.59170141963303702</v>
      </c>
      <c r="P10" s="226">
        <f t="shared" ref="P10:P21" si="9">D10/$D$22</f>
        <v>0.56569373263087175</v>
      </c>
      <c r="Q10" s="176">
        <f t="shared" ref="Q10:Q21" si="10">IFERROR(R10/O10,0%)</f>
        <v>-4.3954072339888565E-2</v>
      </c>
      <c r="R10" s="176">
        <f t="shared" ref="R10:R21" si="11">IFERROR(P10-O10,0)</f>
        <v>-2.600768700216527E-2</v>
      </c>
    </row>
    <row r="11" spans="1:18" s="349" customFormat="1" ht="15.75" x14ac:dyDescent="0.3">
      <c r="A11" s="28">
        <v>2</v>
      </c>
      <c r="B11" s="180" t="str">
        <f>'Primas Diciembre 2024'!L11</f>
        <v>SEGUROS ATLÁNTIDA</v>
      </c>
      <c r="C11" s="175">
        <f>('Primas Diciembre 2024'!L31)/1000</f>
        <v>45.85050909000001</v>
      </c>
      <c r="D11" s="175">
        <f>('Primas Diciembre 2025'!H31)/1000</f>
        <v>44.810523939999996</v>
      </c>
      <c r="E11" s="176">
        <f t="shared" si="0"/>
        <v>-2.2682085120551792E-2</v>
      </c>
      <c r="F11" s="175">
        <f t="shared" si="1"/>
        <v>-1.0399851500000139</v>
      </c>
      <c r="G11" s="365">
        <f>('Siniestros Diciembre 2024'!Q31)/1000</f>
        <v>1.8654657100000001</v>
      </c>
      <c r="H11" s="365">
        <f>('Siniestros Diciembre  2025'!N31)/1000</f>
        <v>6.7592949899999999</v>
      </c>
      <c r="I11" s="176">
        <f t="shared" si="2"/>
        <v>2.6233820615228569</v>
      </c>
      <c r="J11" s="175">
        <f t="shared" si="3"/>
        <v>4.8938292800000003</v>
      </c>
      <c r="K11" s="155">
        <f t="shared" si="4"/>
        <v>4.0685823277082388E-2</v>
      </c>
      <c r="L11" s="155">
        <f t="shared" si="5"/>
        <v>0.15084168618627405</v>
      </c>
      <c r="M11" s="155">
        <f t="shared" si="6"/>
        <v>2.7074753325992185</v>
      </c>
      <c r="N11" s="177">
        <f t="shared" si="7"/>
        <v>0.11015586290919166</v>
      </c>
      <c r="O11" s="226">
        <f t="shared" si="8"/>
        <v>0.2494520990608004</v>
      </c>
      <c r="P11" s="226">
        <f t="shared" si="9"/>
        <v>0.22586274816858573</v>
      </c>
      <c r="Q11" s="176">
        <f t="shared" si="10"/>
        <v>-9.4564651815036857E-2</v>
      </c>
      <c r="R11" s="176">
        <f t="shared" si="11"/>
        <v>-2.3589350892214672E-2</v>
      </c>
    </row>
    <row r="12" spans="1:18" s="4" customFormat="1" ht="15.75" x14ac:dyDescent="0.3">
      <c r="A12" s="173">
        <v>3</v>
      </c>
      <c r="B12" s="178" t="str">
        <f>'Primas Diciembre 2024'!G11</f>
        <v>SEGUROS DAVIVIENDA</v>
      </c>
      <c r="C12" s="181">
        <f>('Primas Diciembre 2024'!G31)/1000</f>
        <v>7.8364081699999995</v>
      </c>
      <c r="D12" s="175">
        <f>('Primas Diciembre 2025'!C31)/1000</f>
        <v>9.1946024900000012</v>
      </c>
      <c r="E12" s="176">
        <f t="shared" si="0"/>
        <v>0.17331847582921422</v>
      </c>
      <c r="F12" s="175">
        <f t="shared" si="1"/>
        <v>1.3581943200000017</v>
      </c>
      <c r="G12" s="365">
        <f>('Siniestros Diciembre 2024'!G31)/1000</f>
        <v>6.7864189499999998</v>
      </c>
      <c r="H12" s="429">
        <f>('Siniestros Diciembre  2025'!D31)/1000</f>
        <v>13.371197159999999</v>
      </c>
      <c r="I12" s="155">
        <f t="shared" si="2"/>
        <v>0.97028760801748026</v>
      </c>
      <c r="J12" s="175">
        <f t="shared" si="3"/>
        <v>6.5847782099999996</v>
      </c>
      <c r="K12" s="155">
        <f t="shared" si="4"/>
        <v>0.86601141783047275</v>
      </c>
      <c r="L12" s="155">
        <f t="shared" si="5"/>
        <v>1.454244180163573</v>
      </c>
      <c r="M12" s="155">
        <f t="shared" si="6"/>
        <v>0.67924365686394517</v>
      </c>
      <c r="N12" s="177">
        <f t="shared" si="7"/>
        <v>0.58823276233310029</v>
      </c>
      <c r="O12" s="226">
        <f t="shared" si="8"/>
        <v>4.2634389582602239E-2</v>
      </c>
      <c r="P12" s="226">
        <f t="shared" si="9"/>
        <v>4.6344429926545548E-2</v>
      </c>
      <c r="Q12" s="176">
        <f t="shared" si="10"/>
        <v>8.7019900607589809E-2</v>
      </c>
      <c r="R12" s="176">
        <f t="shared" si="11"/>
        <v>3.7100403439433091E-3</v>
      </c>
    </row>
    <row r="13" spans="1:18" s="4" customFormat="1" ht="15.75" x14ac:dyDescent="0.3">
      <c r="A13" s="173">
        <v>4</v>
      </c>
      <c r="B13" s="178" t="str">
        <f>'Primas Diciembre 2024'!I11</f>
        <v>MAPFRE SEGUROS</v>
      </c>
      <c r="C13" s="181">
        <f>('Primas Diciembre 2024'!I31)/1000</f>
        <v>7.5000266300000007</v>
      </c>
      <c r="D13" s="181">
        <f>('Primas Diciembre 2025'!E31)/1000</f>
        <v>8.0589422400000004</v>
      </c>
      <c r="E13" s="182">
        <f t="shared" si="0"/>
        <v>7.4521816731202672E-2</v>
      </c>
      <c r="F13" s="181">
        <f t="shared" si="1"/>
        <v>0.55891560999999967</v>
      </c>
      <c r="G13" s="183">
        <f>('Siniestros Diciembre 2024'!Q31)/1000</f>
        <v>1.8654657100000001</v>
      </c>
      <c r="H13" s="183">
        <f>('Siniestros Diciembre  2025'!N31)/1000</f>
        <v>6.7592949899999999</v>
      </c>
      <c r="I13" s="182">
        <f t="shared" si="2"/>
        <v>2.6233820615228569</v>
      </c>
      <c r="J13" s="181">
        <f t="shared" si="3"/>
        <v>4.8938292800000003</v>
      </c>
      <c r="K13" s="158">
        <f t="shared" si="4"/>
        <v>0.24872787818354719</v>
      </c>
      <c r="L13" s="158">
        <f t="shared" si="5"/>
        <v>0.83873227884060375</v>
      </c>
      <c r="M13" s="158">
        <f t="shared" si="6"/>
        <v>2.3720879419140406</v>
      </c>
      <c r="N13" s="184">
        <f t="shared" si="7"/>
        <v>0.59000440065705662</v>
      </c>
      <c r="O13" s="226">
        <f t="shared" si="8"/>
        <v>4.0804288174707395E-2</v>
      </c>
      <c r="P13" s="226">
        <f t="shared" si="9"/>
        <v>4.0620253494369173E-2</v>
      </c>
      <c r="Q13" s="176">
        <f t="shared" si="10"/>
        <v>-4.5101798994816684E-3</v>
      </c>
      <c r="R13" s="176">
        <f t="shared" si="11"/>
        <v>-1.8403468033822284E-4</v>
      </c>
    </row>
    <row r="14" spans="1:18" s="4" customFormat="1" ht="15.75" x14ac:dyDescent="0.3">
      <c r="A14" s="173">
        <v>5</v>
      </c>
      <c r="B14" s="180" t="str">
        <f>'Primas Diciembre 2024'!P11</f>
        <v>SEGUROS LAFISE</v>
      </c>
      <c r="C14" s="181">
        <f>('Primas Diciembre 2024'!P31)/1000</f>
        <v>1.22731295</v>
      </c>
      <c r="D14" s="181">
        <f>('Primas Diciembre 2025'!L31)/1000</f>
        <v>6.94478521</v>
      </c>
      <c r="E14" s="182">
        <f t="shared" si="0"/>
        <v>4.658528421785169</v>
      </c>
      <c r="F14" s="181">
        <f t="shared" si="1"/>
        <v>5.7174722600000001</v>
      </c>
      <c r="G14" s="183">
        <f>('Siniestros Diciembre 2024'!Y31)/1000</f>
        <v>2.6425939999999998E-2</v>
      </c>
      <c r="H14" s="183">
        <f>('Siniestros Diciembre  2025'!V31)/1000</f>
        <v>0</v>
      </c>
      <c r="I14" s="182">
        <f t="shared" si="2"/>
        <v>-1</v>
      </c>
      <c r="J14" s="181">
        <f t="shared" si="3"/>
        <v>-2.6425939999999998E-2</v>
      </c>
      <c r="K14" s="158">
        <f t="shared" si="4"/>
        <v>2.1531541731063784E-2</v>
      </c>
      <c r="L14" s="158">
        <f t="shared" si="5"/>
        <v>0</v>
      </c>
      <c r="M14" s="158">
        <f t="shared" si="6"/>
        <v>-1</v>
      </c>
      <c r="N14" s="184">
        <f t="shared" si="7"/>
        <v>-2.1531541731063784E-2</v>
      </c>
      <c r="O14" s="226">
        <f t="shared" si="8"/>
        <v>6.6772604635872129E-3</v>
      </c>
      <c r="P14" s="226">
        <f t="shared" si="9"/>
        <v>3.5004461788293674E-2</v>
      </c>
      <c r="Q14" s="182">
        <f t="shared" si="10"/>
        <v>4.242338827305276</v>
      </c>
      <c r="R14" s="182">
        <f t="shared" si="11"/>
        <v>2.8327201324706459E-2</v>
      </c>
    </row>
    <row r="15" spans="1:18" s="349" customFormat="1" ht="15.75" x14ac:dyDescent="0.3">
      <c r="A15" s="28">
        <v>6</v>
      </c>
      <c r="B15" s="180" t="str">
        <f>'Primas Diciembre 2024'!O11</f>
        <v>SEGUROS DEL PAÍS</v>
      </c>
      <c r="C15" s="181">
        <f>('Primas Diciembre 2024'!O31)/1000</f>
        <v>4.9276030300000002</v>
      </c>
      <c r="D15" s="181">
        <f>('Primas Diciembre 2025'!K31)/1000</f>
        <v>6.3735863699999999</v>
      </c>
      <c r="E15" s="176">
        <f t="shared" si="0"/>
        <v>0.29344558220226591</v>
      </c>
      <c r="F15" s="175">
        <f t="shared" si="1"/>
        <v>1.4459833399999997</v>
      </c>
      <c r="G15" s="183">
        <f>('Siniestros Diciembre 2024'!W31)/1000</f>
        <v>0.33906641999999998</v>
      </c>
      <c r="H15" s="165">
        <f>('Siniestros Diciembre  2025'!T31)/1000</f>
        <v>0.27045918000000002</v>
      </c>
      <c r="I15" s="155">
        <f t="shared" si="2"/>
        <v>-0.20234159431063672</v>
      </c>
      <c r="J15" s="175">
        <f t="shared" si="3"/>
        <v>-6.8607239999999958E-2</v>
      </c>
      <c r="K15" s="158">
        <f t="shared" si="4"/>
        <v>6.880960538738852E-2</v>
      </c>
      <c r="L15" s="158">
        <f t="shared" si="5"/>
        <v>4.2434379060591602E-2</v>
      </c>
      <c r="M15" s="155">
        <f t="shared" si="6"/>
        <v>-0.38330733301416359</v>
      </c>
      <c r="N15" s="177">
        <f t="shared" si="7"/>
        <v>-2.6375226326796918E-2</v>
      </c>
      <c r="O15" s="226">
        <f t="shared" si="8"/>
        <v>2.6808882683484726E-2</v>
      </c>
      <c r="P15" s="226">
        <f t="shared" si="9"/>
        <v>3.2125393917410212E-2</v>
      </c>
      <c r="Q15" s="182">
        <f t="shared" si="10"/>
        <v>0.19831155578895707</v>
      </c>
      <c r="R15" s="176">
        <f t="shared" si="11"/>
        <v>5.3165112339254861E-3</v>
      </c>
    </row>
    <row r="16" spans="1:18" s="4" customFormat="1" ht="15.75" x14ac:dyDescent="0.3">
      <c r="A16" s="173">
        <v>7</v>
      </c>
      <c r="B16" s="180" t="str">
        <f>'Primas Diciembre 2024'!N11</f>
        <v>SEGUROS EQUIDAD</v>
      </c>
      <c r="C16" s="181">
        <f>('Primas Diciembre 2024'!N31)/1000</f>
        <v>3.8594013199999999</v>
      </c>
      <c r="D16" s="181">
        <f>('Primas Diciembre 2025'!J31)/1000</f>
        <v>3.7677072799999998</v>
      </c>
      <c r="E16" s="182">
        <f t="shared" si="0"/>
        <v>-2.3758617567141253E-2</v>
      </c>
      <c r="F16" s="181">
        <f t="shared" si="1"/>
        <v>-9.1694040000000143E-2</v>
      </c>
      <c r="G16" s="183">
        <f>('Siniestros Diciembre 2024'!U31)/1000</f>
        <v>0.51881158999999999</v>
      </c>
      <c r="H16" s="183">
        <f>('Siniestros Diciembre  2025'!R31)/1000</f>
        <v>1.1760852900000001</v>
      </c>
      <c r="I16" s="182">
        <f t="shared" si="2"/>
        <v>1.2668832244090771</v>
      </c>
      <c r="J16" s="181">
        <f t="shared" si="3"/>
        <v>0.65727370000000007</v>
      </c>
      <c r="K16" s="158">
        <f t="shared" si="4"/>
        <v>0.13442799724181057</v>
      </c>
      <c r="L16" s="158">
        <f t="shared" si="5"/>
        <v>0.31214879569943665</v>
      </c>
      <c r="M16" s="158">
        <f t="shared" si="6"/>
        <v>1.3220519691142907</v>
      </c>
      <c r="N16" s="184">
        <f t="shared" si="7"/>
        <v>0.17772079845762609</v>
      </c>
      <c r="O16" s="226">
        <f t="shared" si="8"/>
        <v>2.0997275264758104E-2</v>
      </c>
      <c r="P16" s="226">
        <f t="shared" si="9"/>
        <v>1.8990733553908699E-2</v>
      </c>
      <c r="Q16" s="182">
        <f t="shared" si="10"/>
        <v>-9.556200438145375E-2</v>
      </c>
      <c r="R16" s="182">
        <f t="shared" si="11"/>
        <v>-2.0065417108494042E-3</v>
      </c>
    </row>
    <row r="17" spans="1:18" s="4" customFormat="1" ht="15.75" x14ac:dyDescent="0.3">
      <c r="A17" s="173">
        <v>8</v>
      </c>
      <c r="B17" s="178" t="str">
        <f>'Primas Diciembre 2024'!M11</f>
        <v>CREFISA</v>
      </c>
      <c r="C17" s="175">
        <f>('Primas Diciembre 2024'!M31)/1000</f>
        <v>2.28736278</v>
      </c>
      <c r="D17" s="175">
        <f>('Primas Diciembre 2025'!I31)/1000</f>
        <v>2.7788034199999996</v>
      </c>
      <c r="E17" s="176">
        <f t="shared" si="0"/>
        <v>0.21485032645324392</v>
      </c>
      <c r="F17" s="175">
        <f t="shared" si="1"/>
        <v>0.49144063999999954</v>
      </c>
      <c r="G17" s="365">
        <f>('Siniestros Diciembre 2024'!S31)/1000</f>
        <v>0.52262094000000003</v>
      </c>
      <c r="H17" s="365">
        <f>('Siniestros Diciembre  2025'!P31)/1000</f>
        <v>0.43473634999999994</v>
      </c>
      <c r="I17" s="176">
        <f t="shared" si="2"/>
        <v>-0.1681612489541657</v>
      </c>
      <c r="J17" s="175">
        <f t="shared" si="3"/>
        <v>-8.7884590000000096E-2</v>
      </c>
      <c r="K17" s="155">
        <f t="shared" si="4"/>
        <v>0.22848187640790413</v>
      </c>
      <c r="L17" s="155">
        <f t="shared" si="5"/>
        <v>0.15644732076801604</v>
      </c>
      <c r="M17" s="155">
        <f t="shared" si="6"/>
        <v>-0.31527470262580581</v>
      </c>
      <c r="N17" s="177">
        <f t="shared" si="7"/>
        <v>-7.2034555639888087E-2</v>
      </c>
      <c r="O17" s="226">
        <f t="shared" si="8"/>
        <v>1.2444517151697075E-2</v>
      </c>
      <c r="P17" s="226">
        <f t="shared" si="9"/>
        <v>1.400626732019114E-2</v>
      </c>
      <c r="Q17" s="176">
        <f t="shared" si="10"/>
        <v>0.12549704817443133</v>
      </c>
      <c r="R17" s="176">
        <f t="shared" si="11"/>
        <v>1.5617501684940648E-3</v>
      </c>
    </row>
    <row r="18" spans="1:18" s="4" customFormat="1" ht="15.75" x14ac:dyDescent="0.3">
      <c r="A18" s="173">
        <v>9</v>
      </c>
      <c r="B18" s="180" t="str">
        <f>'Primas Diciembre 2024'!R11</f>
        <v>ASSA CIA. DE SEGUROS</v>
      </c>
      <c r="C18" s="181">
        <f>('Primas Diciembre 2024'!R31)/1000</f>
        <v>0.44867705999999996</v>
      </c>
      <c r="D18" s="181">
        <f>('Primas Diciembre 2025'!N31)/1000</f>
        <v>2.4579618000000001</v>
      </c>
      <c r="E18" s="176">
        <f t="shared" si="0"/>
        <v>4.4782426362515615</v>
      </c>
      <c r="F18" s="175">
        <f t="shared" si="1"/>
        <v>2.00928474</v>
      </c>
      <c r="G18" s="183">
        <f>('Siniestros Diciembre 2024'!AC31)/1000</f>
        <v>5.4011300000000005E-2</v>
      </c>
      <c r="H18" s="183">
        <f>('Siniestros Diciembre  2025'!Z31)/1000</f>
        <v>0.74775068000000011</v>
      </c>
      <c r="I18" s="176">
        <f t="shared" si="2"/>
        <v>12.844337758950443</v>
      </c>
      <c r="J18" s="175">
        <f t="shared" si="3"/>
        <v>0.69373938000000013</v>
      </c>
      <c r="K18" s="155">
        <f t="shared" si="4"/>
        <v>0.12037900934805985</v>
      </c>
      <c r="L18" s="155">
        <f t="shared" si="5"/>
        <v>0.30421574493143061</v>
      </c>
      <c r="M18" s="155">
        <f t="shared" si="6"/>
        <v>1.5271494306107085</v>
      </c>
      <c r="N18" s="177">
        <f t="shared" si="7"/>
        <v>0.18383673558337077</v>
      </c>
      <c r="O18" s="226">
        <f t="shared" si="8"/>
        <v>2.4410510731240533E-3</v>
      </c>
      <c r="P18" s="226">
        <f t="shared" si="9"/>
        <v>1.2389098770296675E-2</v>
      </c>
      <c r="Q18" s="176">
        <f t="shared" si="10"/>
        <v>4.0753132151557674</v>
      </c>
      <c r="R18" s="176">
        <f t="shared" si="11"/>
        <v>9.9480476971726215E-3</v>
      </c>
    </row>
    <row r="19" spans="1:18" s="349" customFormat="1" ht="15.75" x14ac:dyDescent="0.3">
      <c r="A19" s="28">
        <v>10</v>
      </c>
      <c r="B19" s="178" t="str">
        <f>'Primas Diciembre 2024'!K11</f>
        <v>SEGUROS CONTINENTAL</v>
      </c>
      <c r="C19" s="175">
        <f>('Primas Diciembre 2024'!K31)/1000</f>
        <v>1.10996392</v>
      </c>
      <c r="D19" s="175">
        <f>('Primas Diciembre 2025'!G31)/1000</f>
        <v>1.7782098700000002</v>
      </c>
      <c r="E19" s="176">
        <f t="shared" si="0"/>
        <v>0.60204294748607701</v>
      </c>
      <c r="F19" s="175">
        <f t="shared" si="1"/>
        <v>0.6682459500000002</v>
      </c>
      <c r="G19" s="365">
        <f>('Siniestros Diciembre 2024'!O31)/1000</f>
        <v>0.15012256999999998</v>
      </c>
      <c r="H19" s="429">
        <f>('Siniestros Diciembre  2025'!L31)/1000</f>
        <v>0.17826489999999998</v>
      </c>
      <c r="I19" s="155">
        <f t="shared" si="2"/>
        <v>0.18746235159709826</v>
      </c>
      <c r="J19" s="175">
        <f t="shared" si="3"/>
        <v>2.8142329999999993E-2</v>
      </c>
      <c r="K19" s="155">
        <f t="shared" si="4"/>
        <v>0.13524995479132329</v>
      </c>
      <c r="L19" s="155">
        <f t="shared" si="5"/>
        <v>0.10024964038693586</v>
      </c>
      <c r="M19" s="155">
        <f t="shared" si="6"/>
        <v>-0.25878244808576312</v>
      </c>
      <c r="N19" s="177">
        <f t="shared" si="7"/>
        <v>-3.5000314404387431E-2</v>
      </c>
      <c r="O19" s="226">
        <f t="shared" si="8"/>
        <v>6.0388169122017983E-3</v>
      </c>
      <c r="P19" s="226">
        <f t="shared" si="9"/>
        <v>8.9628804295275918E-3</v>
      </c>
      <c r="Q19" s="182">
        <f t="shared" si="10"/>
        <v>0.48421132149536522</v>
      </c>
      <c r="R19" s="176">
        <f t="shared" si="11"/>
        <v>2.9240635173257935E-3</v>
      </c>
    </row>
    <row r="20" spans="1:18" s="349" customFormat="1" ht="15.75" x14ac:dyDescent="0.3">
      <c r="A20" s="28">
        <v>11</v>
      </c>
      <c r="B20" s="180" t="str">
        <f>'Primas Diciembre 2024'!Q11</f>
        <v>ASEGURADORA RURAL</v>
      </c>
      <c r="C20" s="181">
        <f>('Primas Diciembre 2024'!Q31)/1000</f>
        <v>0</v>
      </c>
      <c r="D20" s="181">
        <f>('Primas Diciembre 2025'!M31)/1000</f>
        <v>0</v>
      </c>
      <c r="E20" s="182">
        <f t="shared" si="0"/>
        <v>0</v>
      </c>
      <c r="F20" s="181">
        <f t="shared" si="1"/>
        <v>0</v>
      </c>
      <c r="G20" s="183">
        <f>('Siniestros Diciembre 2024'!AA31)/1000</f>
        <v>0</v>
      </c>
      <c r="H20" s="183">
        <f>('Siniestros Diciembre  2025'!X31)/1000</f>
        <v>0</v>
      </c>
      <c r="I20" s="182">
        <f t="shared" si="2"/>
        <v>0</v>
      </c>
      <c r="J20" s="181">
        <f t="shared" si="3"/>
        <v>0</v>
      </c>
      <c r="K20" s="158">
        <f t="shared" si="4"/>
        <v>0</v>
      </c>
      <c r="L20" s="158">
        <f t="shared" si="5"/>
        <v>0</v>
      </c>
      <c r="M20" s="158">
        <f t="shared" si="6"/>
        <v>0</v>
      </c>
      <c r="N20" s="184">
        <f t="shared" si="7"/>
        <v>0</v>
      </c>
      <c r="O20" s="226">
        <f t="shared" si="8"/>
        <v>0</v>
      </c>
      <c r="P20" s="226">
        <f t="shared" si="9"/>
        <v>0</v>
      </c>
      <c r="Q20" s="182">
        <f t="shared" si="10"/>
        <v>0</v>
      </c>
      <c r="R20" s="182">
        <f t="shared" si="11"/>
        <v>0</v>
      </c>
    </row>
    <row r="21" spans="1:18" s="4" customFormat="1" ht="15" customHeight="1" x14ac:dyDescent="0.3">
      <c r="A21" s="173">
        <v>12</v>
      </c>
      <c r="B21" s="178" t="str">
        <f>'Primas Diciembre 2024'!H11</f>
        <v>PALIC</v>
      </c>
      <c r="C21" s="175">
        <f>('Primas Diciembre 2024'!H31)/1000</f>
        <v>0</v>
      </c>
      <c r="D21" s="175">
        <f>('Primas Diciembre 2025'!D31)/1000</f>
        <v>0</v>
      </c>
      <c r="E21" s="176">
        <f t="shared" si="0"/>
        <v>0</v>
      </c>
      <c r="F21" s="175">
        <f t="shared" si="1"/>
        <v>0</v>
      </c>
      <c r="G21" s="365">
        <f>('Siniestros Diciembre 2024'!I31)/1000</f>
        <v>0</v>
      </c>
      <c r="H21" s="365">
        <f>('Siniestros Diciembre  2025'!F31)/1000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183.80486379000001</v>
      </c>
      <c r="D22" s="185">
        <f>SUM(D10:D21)</f>
        <v>198.39714296999995</v>
      </c>
      <c r="E22" s="186">
        <f t="shared" si="0"/>
        <v>7.9390060083893349E-2</v>
      </c>
      <c r="F22" s="185">
        <f t="shared" si="1"/>
        <v>14.592279179999935</v>
      </c>
      <c r="G22" s="187">
        <f>SUM(G10:G21)</f>
        <v>52.634451830000017</v>
      </c>
      <c r="H22" s="187">
        <f>SUM(H10:H21)</f>
        <v>46.436813240000014</v>
      </c>
      <c r="I22" s="188">
        <f t="shared" si="2"/>
        <v>-0.11774870592396938</v>
      </c>
      <c r="J22" s="189">
        <f t="shared" si="3"/>
        <v>-6.1976385900000039</v>
      </c>
      <c r="K22" s="190">
        <f t="shared" si="4"/>
        <v>0.28636049528121149</v>
      </c>
      <c r="L22" s="190">
        <f t="shared" si="5"/>
        <v>0.23405988889175597</v>
      </c>
      <c r="M22" s="190">
        <f t="shared" si="6"/>
        <v>-0.18263904152734239</v>
      </c>
      <c r="N22" s="190">
        <f t="shared" si="7"/>
        <v>-5.2300606389455523E-2</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2.9590060083893352E-2</v>
      </c>
    </row>
  </sheetData>
  <sortState xmlns:xlrd2="http://schemas.microsoft.com/office/spreadsheetml/2017/richdata2" ref="B10:R21">
    <sortCondition descending="1" ref="D10:D21"/>
  </sortState>
  <mergeCells count="6">
    <mergeCell ref="A22:B22"/>
    <mergeCell ref="O8:R8"/>
    <mergeCell ref="A8:A9"/>
    <mergeCell ref="C8:F8"/>
    <mergeCell ref="G8:J8"/>
    <mergeCell ref="K8:N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7"/>
  <dimension ref="A1:R25"/>
  <sheetViews>
    <sheetView showGridLines="0" zoomScale="90" zoomScaleNormal="90" workbookViewId="0">
      <selection activeCell="M27" sqref="M27"/>
    </sheetView>
  </sheetViews>
  <sheetFormatPr baseColWidth="10" defaultRowHeight="15" x14ac:dyDescent="0.3"/>
  <cols>
    <col min="1" max="1" width="5.140625" customWidth="1"/>
    <col min="2" max="2" width="22.7109375" bestFit="1" customWidth="1"/>
    <col min="3" max="3" width="9" customWidth="1"/>
    <col min="4" max="4" width="8.5703125" bestFit="1" customWidth="1"/>
    <col min="5" max="5" width="9.28515625" customWidth="1"/>
    <col min="6" max="6" width="9.42578125" customWidth="1"/>
    <col min="7" max="7" width="8.7109375" customWidth="1"/>
    <col min="8" max="9" width="10.85546875" customWidth="1"/>
    <col min="10" max="10" width="9.28515625" customWidth="1"/>
    <col min="11" max="11" width="15.85546875" customWidth="1"/>
  </cols>
  <sheetData>
    <row r="1" spans="1:18" s="502" customFormat="1" x14ac:dyDescent="0.25">
      <c r="A1" s="494" t="s">
        <v>0</v>
      </c>
      <c r="B1" s="505"/>
      <c r="C1" s="505"/>
      <c r="D1" s="505"/>
      <c r="E1" s="505"/>
      <c r="F1" s="505"/>
      <c r="G1" s="505"/>
      <c r="H1" s="505"/>
      <c r="K1" s="508"/>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497"/>
      <c r="B5" s="498"/>
      <c r="C5" s="498"/>
      <c r="D5" s="498"/>
      <c r="E5" s="498"/>
      <c r="F5" s="498"/>
      <c r="G5" s="498"/>
      <c r="H5" s="498"/>
      <c r="I5" s="498"/>
    </row>
    <row r="6" spans="1:18" s="502" customFormat="1" x14ac:dyDescent="0.25">
      <c r="A6" s="502" t="s">
        <v>37</v>
      </c>
      <c r="C6" s="501"/>
      <c r="D6" s="501"/>
      <c r="E6" s="501"/>
      <c r="F6" s="501"/>
      <c r="G6" s="501"/>
      <c r="H6" s="501"/>
      <c r="I6" s="501"/>
    </row>
    <row r="7" spans="1:18" ht="7.5" customHeight="1" x14ac:dyDescent="0.3">
      <c r="A7" s="111"/>
      <c r="B7" s="110"/>
      <c r="C7" s="110"/>
      <c r="D7" s="110"/>
      <c r="E7" s="110"/>
      <c r="F7" s="110"/>
      <c r="G7" s="110"/>
      <c r="H7" s="110"/>
      <c r="I7" s="110"/>
      <c r="J7" s="110"/>
      <c r="K7" s="108"/>
    </row>
    <row r="8" spans="1:18" x14ac:dyDescent="0.3">
      <c r="A8" s="667" t="s">
        <v>25</v>
      </c>
      <c r="B8" s="169" t="s">
        <v>26</v>
      </c>
      <c r="C8" s="668" t="s">
        <v>27</v>
      </c>
      <c r="D8" s="666"/>
      <c r="E8" s="666"/>
      <c r="F8" s="666"/>
      <c r="G8" s="665" t="s">
        <v>28</v>
      </c>
      <c r="H8" s="665"/>
      <c r="I8" s="665"/>
      <c r="J8" s="665"/>
      <c r="K8" s="666" t="s">
        <v>7</v>
      </c>
      <c r="L8" s="666"/>
      <c r="M8" s="666"/>
      <c r="N8" s="666"/>
      <c r="O8" s="665" t="s">
        <v>8</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ht="15.75" x14ac:dyDescent="0.3">
      <c r="A10" s="173">
        <v>1</v>
      </c>
      <c r="B10" s="174" t="str">
        <f>'Primas Diciembre 2024'!M11</f>
        <v>CREFISA</v>
      </c>
      <c r="C10" s="175">
        <f>('Primas Diciembre 2024'!M17)/1000</f>
        <v>74.391828750000002</v>
      </c>
      <c r="D10" s="175">
        <f>('Primas Diciembre 2025'!I17)/1000</f>
        <v>87.442929109999994</v>
      </c>
      <c r="E10" s="176">
        <f t="shared" ref="E10:E22" si="0">IFERROR(F10/C10,0%)</f>
        <v>0.17543728362773972</v>
      </c>
      <c r="F10" s="175">
        <f t="shared" ref="F10:F22" si="1">IFERROR(D10-C10,0)</f>
        <v>13.051100359999992</v>
      </c>
      <c r="G10" s="365">
        <f>('Siniestros Diciembre 2024'!S17)/1000</f>
        <v>4.2993293899999996</v>
      </c>
      <c r="H10" s="365">
        <f>('Siniestros Diciembre  2025'!P17)/1000</f>
        <v>7.0602001799999998</v>
      </c>
      <c r="I10" s="176">
        <f t="shared" ref="I10:I22" si="2">IFERROR(J10/G10,0%)</f>
        <v>0.64216312349121973</v>
      </c>
      <c r="J10" s="175">
        <f t="shared" ref="J10:J22" si="3">IFERROR(H10-G10,0)</f>
        <v>2.7608707900000002</v>
      </c>
      <c r="K10" s="155">
        <f t="shared" ref="K10:K22" si="4">IFERROR((G10/C10),0%)</f>
        <v>5.7793032679009114E-2</v>
      </c>
      <c r="L10" s="155">
        <f t="shared" ref="L10:L22" si="5">IFERROR(H10/D10,0%)</f>
        <v>8.0740664246488444E-2</v>
      </c>
      <c r="M10" s="155">
        <f t="shared" ref="M10:M22" si="6">IFERROR(N10/K10,0%)</f>
        <v>0.3970657102376649</v>
      </c>
      <c r="N10" s="177">
        <f t="shared" ref="N10:N22" si="7">L10-K10</f>
        <v>2.294763156747933E-2</v>
      </c>
      <c r="O10" s="226">
        <f t="shared" ref="O10:O21" si="8">C10/$C$22</f>
        <v>0.31975531778991734</v>
      </c>
      <c r="P10" s="226">
        <f t="shared" ref="P10:P21" si="9">D10/$D$22</f>
        <v>0.29762992629509649</v>
      </c>
      <c r="Q10" s="176">
        <f t="shared" ref="Q10:Q21" si="10">IFERROR(R10/O10,0%)</f>
        <v>-6.9194756940234733E-2</v>
      </c>
      <c r="R10" s="176">
        <f t="shared" ref="R10:R21" si="11">IFERROR(P10-O10,0)</f>
        <v>-2.2125391494820845E-2</v>
      </c>
    </row>
    <row r="11" spans="1:18" ht="15.75" x14ac:dyDescent="0.3">
      <c r="A11" s="173">
        <v>2</v>
      </c>
      <c r="B11" s="180" t="str">
        <f>'Primas Diciembre 2024'!I11</f>
        <v>MAPFRE SEGUROS</v>
      </c>
      <c r="C11" s="181">
        <f>('Primas Diciembre 2024'!I17)/1000</f>
        <v>28.516232399999996</v>
      </c>
      <c r="D11" s="181">
        <f>('Primas Diciembre 2025'!E17)/1000</f>
        <v>45.565837559999999</v>
      </c>
      <c r="E11" s="176">
        <f t="shared" si="0"/>
        <v>0.59789122633184899</v>
      </c>
      <c r="F11" s="175">
        <f t="shared" si="1"/>
        <v>17.049605160000002</v>
      </c>
      <c r="G11" s="183">
        <f>('Siniestros Diciembre 2024'!K17)/1000</f>
        <v>0.45500000000000002</v>
      </c>
      <c r="H11" s="428">
        <f>('Siniestros Diciembre  2025'!H17)/1000</f>
        <v>0</v>
      </c>
      <c r="I11" s="176">
        <f t="shared" si="2"/>
        <v>-1</v>
      </c>
      <c r="J11" s="175">
        <f t="shared" si="3"/>
        <v>-0.45500000000000002</v>
      </c>
      <c r="K11" s="155">
        <f t="shared" si="4"/>
        <v>1.5955824514882269E-2</v>
      </c>
      <c r="L11" s="155">
        <f t="shared" si="5"/>
        <v>0</v>
      </c>
      <c r="M11" s="155">
        <f t="shared" si="6"/>
        <v>-1</v>
      </c>
      <c r="N11" s="177">
        <f t="shared" si="7"/>
        <v>-1.5955824514882269E-2</v>
      </c>
      <c r="O11" s="226">
        <f t="shared" si="8"/>
        <v>0.12257014118950714</v>
      </c>
      <c r="P11" s="226">
        <f t="shared" si="9"/>
        <v>0.15509266458236945</v>
      </c>
      <c r="Q11" s="182">
        <f t="shared" si="10"/>
        <v>0.26533805931233162</v>
      </c>
      <c r="R11" s="176">
        <f t="shared" si="11"/>
        <v>3.252252339286231E-2</v>
      </c>
    </row>
    <row r="12" spans="1:18" ht="15.75" x14ac:dyDescent="0.3">
      <c r="A12" s="173">
        <v>3</v>
      </c>
      <c r="B12" s="180" t="str">
        <f>'Primas Diciembre 2024'!O11</f>
        <v>SEGUROS DEL PAÍS</v>
      </c>
      <c r="C12" s="181">
        <f>('Primas Diciembre 2024'!O17)/1000</f>
        <v>35.945378229999996</v>
      </c>
      <c r="D12" s="181">
        <f>('Primas Diciembre 2025'!K17)/1000</f>
        <v>41.798727979999995</v>
      </c>
      <c r="E12" s="176">
        <f t="shared" si="0"/>
        <v>0.16284012126807437</v>
      </c>
      <c r="F12" s="175">
        <f t="shared" si="1"/>
        <v>5.8533497499999996</v>
      </c>
      <c r="G12" s="183">
        <f>('Siniestros Diciembre 2024'!W17)/1000</f>
        <v>0.10048824999999999</v>
      </c>
      <c r="H12" s="183">
        <f>('Siniestros Diciembre  2025'!T17)/1000</f>
        <v>0.58861451999999992</v>
      </c>
      <c r="I12" s="176">
        <f t="shared" si="2"/>
        <v>4.8575457329588287</v>
      </c>
      <c r="J12" s="175">
        <f t="shared" si="3"/>
        <v>0.48812626999999992</v>
      </c>
      <c r="K12" s="155">
        <f t="shared" si="4"/>
        <v>2.7955819342619279E-3</v>
      </c>
      <c r="L12" s="155">
        <f t="shared" si="5"/>
        <v>1.4082115615614961E-2</v>
      </c>
      <c r="M12" s="155">
        <f t="shared" si="6"/>
        <v>4.0372752245348993</v>
      </c>
      <c r="N12" s="177">
        <f t="shared" si="7"/>
        <v>1.1286533681353033E-2</v>
      </c>
      <c r="O12" s="226">
        <f t="shared" si="8"/>
        <v>0.15450253115349613</v>
      </c>
      <c r="P12" s="226">
        <f t="shared" si="9"/>
        <v>0.14227053524552485</v>
      </c>
      <c r="Q12" s="176">
        <f t="shared" si="10"/>
        <v>-7.9170197514880566E-2</v>
      </c>
      <c r="R12" s="176">
        <f t="shared" si="11"/>
        <v>-1.2231995907971277E-2</v>
      </c>
    </row>
    <row r="13" spans="1:18" s="350" customFormat="1" ht="15.75" x14ac:dyDescent="0.3">
      <c r="A13" s="28">
        <v>4</v>
      </c>
      <c r="B13" s="178" t="str">
        <f>'Primas Diciembre 2024'!R11</f>
        <v>ASSA CIA. DE SEGUROS</v>
      </c>
      <c r="C13" s="175">
        <f>('Primas Diciembre 2024'!R17)/1000</f>
        <v>15.255031720000002</v>
      </c>
      <c r="D13" s="175">
        <f>('Primas Diciembre 2025'!N17)/1000</f>
        <v>34.900661239999998</v>
      </c>
      <c r="E13" s="176">
        <f t="shared" si="0"/>
        <v>1.2878130888606238</v>
      </c>
      <c r="F13" s="175">
        <f t="shared" si="1"/>
        <v>19.645629519999996</v>
      </c>
      <c r="G13" s="365">
        <f>('Siniestros Diciembre 2024'!AC17)/1000</f>
        <v>0</v>
      </c>
      <c r="H13" s="365">
        <f>('Siniestros Diciembre  2025'!Z17)/1000</f>
        <v>0</v>
      </c>
      <c r="I13" s="176">
        <f t="shared" si="2"/>
        <v>0</v>
      </c>
      <c r="J13" s="175">
        <f t="shared" si="3"/>
        <v>0</v>
      </c>
      <c r="K13" s="155">
        <f t="shared" si="4"/>
        <v>0</v>
      </c>
      <c r="L13" s="155">
        <f t="shared" si="5"/>
        <v>0</v>
      </c>
      <c r="M13" s="155">
        <f t="shared" si="6"/>
        <v>0</v>
      </c>
      <c r="N13" s="177">
        <f t="shared" si="7"/>
        <v>0</v>
      </c>
      <c r="O13" s="226">
        <f t="shared" si="8"/>
        <v>6.5570071303346869E-2</v>
      </c>
      <c r="P13" s="226">
        <f t="shared" si="9"/>
        <v>0.11879155168103141</v>
      </c>
      <c r="Q13" s="176">
        <f t="shared" si="10"/>
        <v>0.81167336438397275</v>
      </c>
      <c r="R13" s="176">
        <f t="shared" si="11"/>
        <v>5.3221480377684538E-2</v>
      </c>
    </row>
    <row r="14" spans="1:18" s="350" customFormat="1" ht="15.75" x14ac:dyDescent="0.3">
      <c r="A14" s="28">
        <v>5</v>
      </c>
      <c r="B14" s="178" t="str">
        <f>'Primas Diciembre 2024'!J11</f>
        <v>FICOHSA SEGUROS</v>
      </c>
      <c r="C14" s="179">
        <f>('Primas Diciembre 2024'!J17)/1000</f>
        <v>25.527873149999998</v>
      </c>
      <c r="D14" s="179">
        <f>('Primas Diciembre 2025'!F17)/1000</f>
        <v>26.851718430000002</v>
      </c>
      <c r="E14" s="176">
        <f t="shared" si="0"/>
        <v>5.1858816134864885E-2</v>
      </c>
      <c r="F14" s="175">
        <f t="shared" si="1"/>
        <v>1.323845280000004</v>
      </c>
      <c r="G14" s="365">
        <f>('Siniestros Diciembre 2024'!M17)/1000</f>
        <v>2.4790000000000001</v>
      </c>
      <c r="H14" s="365">
        <f>('Siniestros Diciembre  2025'!J17)/1000</f>
        <v>9.2579506699999996</v>
      </c>
      <c r="I14" s="176">
        <f t="shared" si="2"/>
        <v>2.7345504921339248</v>
      </c>
      <c r="J14" s="175">
        <f t="shared" si="3"/>
        <v>6.7789506699999995</v>
      </c>
      <c r="K14" s="155">
        <f t="shared" si="4"/>
        <v>9.710953926453525E-2</v>
      </c>
      <c r="L14" s="155">
        <f t="shared" si="5"/>
        <v>0.34478056568836141</v>
      </c>
      <c r="M14" s="155">
        <f t="shared" si="6"/>
        <v>2.5504294253641517</v>
      </c>
      <c r="N14" s="177">
        <f t="shared" si="7"/>
        <v>0.24767102642382616</v>
      </c>
      <c r="O14" s="226">
        <f t="shared" si="8"/>
        <v>0.1097254003394687</v>
      </c>
      <c r="P14" s="226">
        <f t="shared" si="9"/>
        <v>9.1395325597614638E-2</v>
      </c>
      <c r="Q14" s="176">
        <f t="shared" si="10"/>
        <v>-0.16705407029862218</v>
      </c>
      <c r="R14" s="176">
        <f t="shared" si="11"/>
        <v>-1.8330074741854066E-2</v>
      </c>
    </row>
    <row r="15" spans="1:18" s="541" customFormat="1" ht="15.75" x14ac:dyDescent="0.3">
      <c r="A15" s="28">
        <v>6</v>
      </c>
      <c r="B15" s="180" t="str">
        <f>'Primas Diciembre 2024'!P11</f>
        <v>SEGUROS LAFISE</v>
      </c>
      <c r="C15" s="181">
        <f>('Primas Diciembre 2024'!P17)/1000</f>
        <v>23.73010704</v>
      </c>
      <c r="D15" s="181">
        <f>('Primas Diciembre 2025'!L17)/1000</f>
        <v>24.237568179999997</v>
      </c>
      <c r="E15" s="182">
        <f t="shared" si="0"/>
        <v>2.1384696627984392E-2</v>
      </c>
      <c r="F15" s="181">
        <f t="shared" si="1"/>
        <v>0.50746113999999665</v>
      </c>
      <c r="G15" s="183">
        <f>('Siniestros Diciembre 2024'!Y17)/1000</f>
        <v>0.35470784000000005</v>
      </c>
      <c r="H15" s="183">
        <f>('Siniestros Diciembre  2025'!V17)/1000</f>
        <v>0.5282</v>
      </c>
      <c r="I15" s="182">
        <f t="shared" si="2"/>
        <v>0.4891128428398987</v>
      </c>
      <c r="J15" s="181">
        <f t="shared" si="3"/>
        <v>0.17349215999999995</v>
      </c>
      <c r="K15" s="158">
        <f t="shared" si="4"/>
        <v>1.4947587021082398E-2</v>
      </c>
      <c r="L15" s="158">
        <f t="shared" si="5"/>
        <v>2.1792615334893722E-2</v>
      </c>
      <c r="M15" s="158">
        <f t="shared" si="6"/>
        <v>0.45793533793494218</v>
      </c>
      <c r="N15" s="184">
        <f t="shared" si="7"/>
        <v>6.8450283138113237E-3</v>
      </c>
      <c r="O15" s="226">
        <f t="shared" si="8"/>
        <v>0.10199813669406473</v>
      </c>
      <c r="P15" s="226">
        <f t="shared" si="9"/>
        <v>8.2497529581963644E-2</v>
      </c>
      <c r="Q15" s="182">
        <f t="shared" si="10"/>
        <v>-0.19118591519560399</v>
      </c>
      <c r="R15" s="182">
        <f t="shared" si="11"/>
        <v>-1.9500607112101082E-2</v>
      </c>
    </row>
    <row r="16" spans="1:18" ht="15.75" x14ac:dyDescent="0.3">
      <c r="A16" s="173">
        <v>7</v>
      </c>
      <c r="B16" s="180" t="str">
        <f>'Primas Diciembre 2024'!L11</f>
        <v>SEGUROS ATLÁNTIDA</v>
      </c>
      <c r="C16" s="181">
        <f>('Primas Diciembre 2024'!L17)/1000</f>
        <v>15.278564819999996</v>
      </c>
      <c r="D16" s="181">
        <f>('Primas Diciembre 2025'!H17)/1000</f>
        <v>17.160439449999998</v>
      </c>
      <c r="E16" s="182">
        <f t="shared" si="0"/>
        <v>0.12317090329954189</v>
      </c>
      <c r="F16" s="181">
        <f t="shared" si="1"/>
        <v>1.8818746300000022</v>
      </c>
      <c r="G16" s="183">
        <f>('Siniestros Diciembre 2024'!Q17)/1000</f>
        <v>0</v>
      </c>
      <c r="H16" s="183">
        <f>('Siniestros Diciembre  2025'!N17)/1000</f>
        <v>0</v>
      </c>
      <c r="I16" s="182">
        <f t="shared" si="2"/>
        <v>0</v>
      </c>
      <c r="J16" s="181">
        <f t="shared" si="3"/>
        <v>0</v>
      </c>
      <c r="K16" s="158">
        <f t="shared" si="4"/>
        <v>0</v>
      </c>
      <c r="L16" s="158">
        <f t="shared" si="5"/>
        <v>0</v>
      </c>
      <c r="M16" s="158">
        <f t="shared" si="6"/>
        <v>0</v>
      </c>
      <c r="N16" s="184">
        <f t="shared" si="7"/>
        <v>0</v>
      </c>
      <c r="O16" s="226">
        <f t="shared" si="8"/>
        <v>6.5671222652836717E-2</v>
      </c>
      <c r="P16" s="226">
        <f t="shared" si="9"/>
        <v>5.8409071844676752E-2</v>
      </c>
      <c r="Q16" s="182">
        <f t="shared" si="10"/>
        <v>-0.11058345672274872</v>
      </c>
      <c r="R16" s="176">
        <f t="shared" si="11"/>
        <v>-7.2621508081599645E-3</v>
      </c>
    </row>
    <row r="17" spans="1:18" s="4" customFormat="1" ht="15.75" x14ac:dyDescent="0.3">
      <c r="A17" s="173">
        <v>8</v>
      </c>
      <c r="B17" s="178" t="str">
        <f>'Primas Diciembre 2024'!K11</f>
        <v>SEGUROS CONTINENTAL</v>
      </c>
      <c r="C17" s="175">
        <f>('Primas Diciembre 2024'!K17)/1000</f>
        <v>13.494063689999999</v>
      </c>
      <c r="D17" s="175">
        <f>('Primas Diciembre 2025'!G17)/1000</f>
        <v>15.13810851</v>
      </c>
      <c r="E17" s="176">
        <f t="shared" si="0"/>
        <v>0.12183467173186296</v>
      </c>
      <c r="F17" s="175">
        <f t="shared" si="1"/>
        <v>1.6440448200000013</v>
      </c>
      <c r="G17" s="365">
        <f>('Siniestros Diciembre 2024'!O17)/1000</f>
        <v>0</v>
      </c>
      <c r="H17" s="365">
        <f>('Siniestros Diciembre  2025'!L17)/1000</f>
        <v>24.357111420000003</v>
      </c>
      <c r="I17" s="176">
        <f t="shared" si="2"/>
        <v>0</v>
      </c>
      <c r="J17" s="175">
        <f t="shared" si="3"/>
        <v>24.357111420000003</v>
      </c>
      <c r="K17" s="155">
        <f t="shared" si="4"/>
        <v>0</v>
      </c>
      <c r="L17" s="155">
        <f t="shared" si="5"/>
        <v>1.6089930524616118</v>
      </c>
      <c r="M17" s="155">
        <f t="shared" si="6"/>
        <v>0</v>
      </c>
      <c r="N17" s="177">
        <f t="shared" si="7"/>
        <v>1.6089930524616118</v>
      </c>
      <c r="O17" s="226">
        <f t="shared" si="8"/>
        <v>5.8000975321813614E-2</v>
      </c>
      <c r="P17" s="226">
        <f t="shared" si="9"/>
        <v>5.1525654114475641E-2</v>
      </c>
      <c r="Q17" s="176">
        <f t="shared" si="10"/>
        <v>-0.11164159173893522</v>
      </c>
      <c r="R17" s="176">
        <f t="shared" si="11"/>
        <v>-6.4753212073379723E-3</v>
      </c>
    </row>
    <row r="18" spans="1:18" s="349" customFormat="1" ht="15.75" x14ac:dyDescent="0.3">
      <c r="A18" s="28">
        <v>9</v>
      </c>
      <c r="B18" s="180" t="str">
        <f>'Primas Diciembre 2024'!N11</f>
        <v>SEGUROS EQUIDAD</v>
      </c>
      <c r="C18" s="181">
        <f>('Primas Diciembre 2024'!N17)/1000</f>
        <v>0.51327845999999999</v>
      </c>
      <c r="D18" s="181">
        <f>('Primas Diciembre 2025'!J17)/1000</f>
        <v>0.70151235999999995</v>
      </c>
      <c r="E18" s="182">
        <f t="shared" si="0"/>
        <v>0.36672861744480756</v>
      </c>
      <c r="F18" s="181">
        <f t="shared" si="1"/>
        <v>0.18823389999999995</v>
      </c>
      <c r="G18" s="183">
        <f>('Siniestros Diciembre 2024'!U17)/1000</f>
        <v>2.8031787499999998</v>
      </c>
      <c r="H18" s="183">
        <f>('Siniestros Diciembre  2025'!R17)/1000</f>
        <v>0</v>
      </c>
      <c r="I18" s="182">
        <f t="shared" si="2"/>
        <v>-1</v>
      </c>
      <c r="J18" s="181">
        <f t="shared" si="3"/>
        <v>-2.8031787499999998</v>
      </c>
      <c r="K18" s="158">
        <f t="shared" si="4"/>
        <v>5.4613216186784843</v>
      </c>
      <c r="L18" s="158">
        <f t="shared" si="5"/>
        <v>0</v>
      </c>
      <c r="M18" s="158">
        <f t="shared" si="6"/>
        <v>-1</v>
      </c>
      <c r="N18" s="184">
        <f t="shared" si="7"/>
        <v>-5.4613216186784843</v>
      </c>
      <c r="O18" s="226">
        <f t="shared" si="8"/>
        <v>2.2062035555486916E-3</v>
      </c>
      <c r="P18" s="226">
        <f t="shared" si="9"/>
        <v>2.3877410572471524E-3</v>
      </c>
      <c r="Q18" s="182">
        <f t="shared" si="10"/>
        <v>8.228501909621469E-2</v>
      </c>
      <c r="R18" s="182">
        <f t="shared" si="11"/>
        <v>1.8153750169846083E-4</v>
      </c>
    </row>
    <row r="19" spans="1:18" s="4" customFormat="1" ht="15.75" x14ac:dyDescent="0.3">
      <c r="A19" s="173">
        <v>10</v>
      </c>
      <c r="B19" s="180" t="str">
        <f>'Primas Diciembre 2024'!G11</f>
        <v>SEGUROS DAVIVIENDA</v>
      </c>
      <c r="C19" s="181">
        <f>('Primas Diciembre 2024'!G17)/1000</f>
        <v>0</v>
      </c>
      <c r="D19" s="181">
        <f>('Primas Diciembre 2025'!C17)/1000</f>
        <v>0</v>
      </c>
      <c r="E19" s="176">
        <f t="shared" si="0"/>
        <v>0</v>
      </c>
      <c r="F19" s="175">
        <f t="shared" si="1"/>
        <v>0</v>
      </c>
      <c r="G19" s="183">
        <f>('Siniestros Diciembre 2024'!G17)/1000</f>
        <v>0</v>
      </c>
      <c r="H19" s="183">
        <f>('Siniestros Diciembre  2025'!D17)/1000</f>
        <v>0</v>
      </c>
      <c r="I19" s="176">
        <f t="shared" si="2"/>
        <v>0</v>
      </c>
      <c r="J19" s="175">
        <f t="shared" si="3"/>
        <v>0</v>
      </c>
      <c r="K19" s="155">
        <f t="shared" si="4"/>
        <v>0</v>
      </c>
      <c r="L19" s="155">
        <f t="shared" si="5"/>
        <v>0</v>
      </c>
      <c r="M19" s="155">
        <f t="shared" si="6"/>
        <v>0</v>
      </c>
      <c r="N19" s="177">
        <f t="shared" si="7"/>
        <v>0</v>
      </c>
      <c r="O19" s="226">
        <f t="shared" si="8"/>
        <v>0</v>
      </c>
      <c r="P19" s="226">
        <f t="shared" si="9"/>
        <v>0</v>
      </c>
      <c r="Q19" s="176">
        <f t="shared" si="10"/>
        <v>0</v>
      </c>
      <c r="R19" s="176">
        <f t="shared" si="11"/>
        <v>0</v>
      </c>
    </row>
    <row r="20" spans="1:18" s="350" customFormat="1" ht="15.75" x14ac:dyDescent="0.3">
      <c r="A20" s="28">
        <v>11</v>
      </c>
      <c r="B20" s="180" t="str">
        <f>'Primas Diciembre 2024'!Q11</f>
        <v>ASEGURADORA RURAL</v>
      </c>
      <c r="C20" s="181">
        <f>('Primas Diciembre 2024'!Q17)/1000</f>
        <v>0</v>
      </c>
      <c r="D20" s="181">
        <f>('Primas Diciembre 2025'!M17)/1000</f>
        <v>0</v>
      </c>
      <c r="E20" s="182">
        <f t="shared" si="0"/>
        <v>0</v>
      </c>
      <c r="F20" s="181">
        <f t="shared" si="1"/>
        <v>0</v>
      </c>
      <c r="G20" s="183">
        <f>('Siniestros Diciembre 2024'!AA17)/1000</f>
        <v>0</v>
      </c>
      <c r="H20" s="183">
        <f>('Siniestros Diciembre  2025'!X17)/1000</f>
        <v>0</v>
      </c>
      <c r="I20" s="182">
        <f t="shared" si="2"/>
        <v>0</v>
      </c>
      <c r="J20" s="181">
        <f t="shared" si="3"/>
        <v>0</v>
      </c>
      <c r="K20" s="158">
        <f t="shared" si="4"/>
        <v>0</v>
      </c>
      <c r="L20" s="158">
        <f t="shared" si="5"/>
        <v>0</v>
      </c>
      <c r="M20" s="158">
        <f t="shared" si="6"/>
        <v>0</v>
      </c>
      <c r="N20" s="184">
        <f t="shared" si="7"/>
        <v>0</v>
      </c>
      <c r="O20" s="226">
        <f t="shared" si="8"/>
        <v>0</v>
      </c>
      <c r="P20" s="226">
        <f t="shared" si="9"/>
        <v>0</v>
      </c>
      <c r="Q20" s="182">
        <f t="shared" si="10"/>
        <v>0</v>
      </c>
      <c r="R20" s="182">
        <f t="shared" si="11"/>
        <v>0</v>
      </c>
    </row>
    <row r="21" spans="1:18" ht="15" customHeight="1" x14ac:dyDescent="0.3">
      <c r="A21" s="173">
        <v>12</v>
      </c>
      <c r="B21" s="178" t="str">
        <f>'Primas Diciembre 2024'!H11</f>
        <v>PALIC</v>
      </c>
      <c r="C21" s="175">
        <f>('Primas Diciembre 2024'!H17)/1000</f>
        <v>0</v>
      </c>
      <c r="D21" s="175">
        <f>('Primas Diciembre 2025'!D17)/1000</f>
        <v>0</v>
      </c>
      <c r="E21" s="176">
        <f t="shared" si="0"/>
        <v>0</v>
      </c>
      <c r="F21" s="175">
        <f t="shared" si="1"/>
        <v>0</v>
      </c>
      <c r="G21" s="365">
        <f>('Siniestros Diciembre 2024'!I17)/1000</f>
        <v>0</v>
      </c>
      <c r="H21" s="365">
        <f>('Siniestros Diciembre  2025'!F17)/1000</f>
        <v>0</v>
      </c>
      <c r="I21" s="176">
        <f t="shared" si="2"/>
        <v>0</v>
      </c>
      <c r="J21" s="175">
        <f t="shared" si="3"/>
        <v>0</v>
      </c>
      <c r="K21" s="155">
        <f t="shared" si="4"/>
        <v>0</v>
      </c>
      <c r="L21" s="155">
        <f t="shared" si="5"/>
        <v>0</v>
      </c>
      <c r="M21" s="155">
        <f t="shared" si="6"/>
        <v>0</v>
      </c>
      <c r="N21" s="177">
        <f t="shared" si="7"/>
        <v>0</v>
      </c>
      <c r="O21" s="226">
        <f t="shared" si="8"/>
        <v>0</v>
      </c>
      <c r="P21" s="226">
        <f t="shared" si="9"/>
        <v>0</v>
      </c>
      <c r="Q21" s="176">
        <f t="shared" si="10"/>
        <v>0</v>
      </c>
      <c r="R21" s="176">
        <f t="shared" si="11"/>
        <v>0</v>
      </c>
    </row>
    <row r="22" spans="1:18" ht="15.75" x14ac:dyDescent="0.3">
      <c r="A22" s="665" t="s">
        <v>29</v>
      </c>
      <c r="B22" s="665"/>
      <c r="C22" s="185">
        <f>SUM(C10:C21)</f>
        <v>232.65235826</v>
      </c>
      <c r="D22" s="185">
        <f>SUM(D10:D21)</f>
        <v>293.79750281999998</v>
      </c>
      <c r="E22" s="186">
        <f t="shared" si="0"/>
        <v>0.2628176435317599</v>
      </c>
      <c r="F22" s="185">
        <f t="shared" si="1"/>
        <v>61.145144559999977</v>
      </c>
      <c r="G22" s="187">
        <f>SUM(G10:G21)</f>
        <v>10.49170423</v>
      </c>
      <c r="H22" s="187">
        <f>SUM(H10:H21)</f>
        <v>41.792076790000003</v>
      </c>
      <c r="I22" s="188">
        <f t="shared" si="2"/>
        <v>2.9833449241258303</v>
      </c>
      <c r="J22" s="189">
        <f t="shared" si="3"/>
        <v>31.300372560000003</v>
      </c>
      <c r="K22" s="190">
        <f t="shared" si="4"/>
        <v>4.5096057948722894E-2</v>
      </c>
      <c r="L22" s="190">
        <f t="shared" si="5"/>
        <v>0.14224789655753006</v>
      </c>
      <c r="M22" s="190">
        <f t="shared" si="6"/>
        <v>2.1543310663489708</v>
      </c>
      <c r="N22" s="190">
        <f t="shared" si="7"/>
        <v>9.7151838608807162E-2</v>
      </c>
      <c r="O22" s="187"/>
      <c r="P22" s="187"/>
      <c r="Q22" s="188"/>
      <c r="R22" s="189"/>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0.21301764353175989</v>
      </c>
    </row>
  </sheetData>
  <sortState xmlns:xlrd2="http://schemas.microsoft.com/office/spreadsheetml/2017/richdata2" ref="B10:R21">
    <sortCondition descending="1" ref="D10:D21"/>
  </sortState>
  <mergeCells count="6">
    <mergeCell ref="A22:B22"/>
    <mergeCell ref="O8:R8"/>
    <mergeCell ref="K8:N8"/>
    <mergeCell ref="A8:A9"/>
    <mergeCell ref="C8:F8"/>
    <mergeCell ref="G8:J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8">
    <tabColor rgb="FF0070C0"/>
  </sheetPr>
  <dimension ref="A1:R68"/>
  <sheetViews>
    <sheetView showGridLines="0" zoomScaleNormal="100" workbookViewId="0">
      <selection activeCell="E26" sqref="E26"/>
    </sheetView>
  </sheetViews>
  <sheetFormatPr baseColWidth="10" defaultRowHeight="15" x14ac:dyDescent="0.3"/>
  <cols>
    <col min="1" max="1" width="7.140625" customWidth="1"/>
    <col min="2" max="2" width="29.28515625" bestFit="1" customWidth="1"/>
    <col min="3" max="3" width="11" customWidth="1"/>
    <col min="4" max="4" width="14.140625" customWidth="1"/>
    <col min="5" max="5" width="10.5703125" customWidth="1"/>
    <col min="6" max="6" width="11.42578125" customWidth="1"/>
    <col min="7" max="8" width="11" customWidth="1"/>
    <col min="9" max="9" width="10.5703125" customWidth="1"/>
    <col min="10" max="10" width="11.85546875" customWidth="1"/>
    <col min="11" max="11" width="15.42578125" customWidth="1"/>
    <col min="12" max="12" width="15.28515625" customWidth="1"/>
    <col min="13" max="14" width="11.5703125" customWidth="1"/>
  </cols>
  <sheetData>
    <row r="1" spans="1:18" s="502" customFormat="1" x14ac:dyDescent="0.25">
      <c r="A1" s="494" t="s">
        <v>0</v>
      </c>
      <c r="B1" s="505"/>
      <c r="C1" s="505"/>
      <c r="D1" s="505"/>
      <c r="E1" s="505"/>
      <c r="F1" s="505"/>
      <c r="G1" s="505"/>
      <c r="J1" s="507"/>
    </row>
    <row r="2" spans="1:18" s="502" customFormat="1" x14ac:dyDescent="0.25">
      <c r="A2" s="494" t="s">
        <v>1</v>
      </c>
      <c r="B2" s="505"/>
      <c r="C2" s="505"/>
      <c r="D2" s="505"/>
      <c r="E2" s="505"/>
      <c r="F2" s="505"/>
      <c r="G2" s="505"/>
      <c r="H2" s="505"/>
    </row>
    <row r="3" spans="1:18" s="502" customFormat="1" x14ac:dyDescent="0.25">
      <c r="A3" s="494" t="str">
        <f>'1. Ramos Totales'!A3</f>
        <v>Al 31 de diciembre de 2025</v>
      </c>
      <c r="B3" s="505"/>
      <c r="C3" s="505"/>
      <c r="D3" s="505"/>
      <c r="E3" s="505"/>
      <c r="F3" s="505"/>
      <c r="G3" s="505"/>
      <c r="H3" s="505"/>
    </row>
    <row r="4" spans="1:18" s="502" customFormat="1" x14ac:dyDescent="0.25">
      <c r="A4" s="494" t="s">
        <v>2</v>
      </c>
      <c r="B4" s="505"/>
      <c r="C4" s="505"/>
      <c r="D4" s="505"/>
      <c r="E4" s="505"/>
      <c r="F4" s="505"/>
      <c r="G4" s="505"/>
      <c r="H4" s="505"/>
    </row>
    <row r="5" spans="1:18" s="496" customFormat="1" ht="7.5" customHeight="1" x14ac:dyDescent="0.25">
      <c r="A5" s="497"/>
      <c r="B5" s="498"/>
      <c r="C5" s="498"/>
      <c r="D5" s="498"/>
      <c r="E5" s="498"/>
      <c r="F5" s="498"/>
      <c r="G5" s="498"/>
      <c r="H5" s="498"/>
      <c r="I5" s="498"/>
    </row>
    <row r="6" spans="1:18" s="502" customFormat="1" x14ac:dyDescent="0.25">
      <c r="A6" s="502" t="s">
        <v>38</v>
      </c>
      <c r="C6" s="501"/>
      <c r="D6" s="501"/>
      <c r="E6" s="501"/>
      <c r="F6" s="501"/>
      <c r="G6" s="501"/>
      <c r="H6" s="501"/>
      <c r="I6" s="501"/>
    </row>
    <row r="7" spans="1:18" ht="7.5" customHeight="1" x14ac:dyDescent="0.3">
      <c r="A7" s="111"/>
      <c r="B7" s="110"/>
      <c r="C7" s="110"/>
      <c r="D7" s="110"/>
      <c r="E7" s="110"/>
      <c r="F7" s="110"/>
      <c r="G7" s="110"/>
      <c r="H7" s="110"/>
      <c r="I7" s="110"/>
      <c r="J7" s="110"/>
      <c r="K7" s="108"/>
    </row>
    <row r="8" spans="1:18" ht="15" customHeight="1" x14ac:dyDescent="0.3">
      <c r="A8" s="667" t="s">
        <v>25</v>
      </c>
      <c r="B8" s="169" t="s">
        <v>26</v>
      </c>
      <c r="C8" s="668" t="s">
        <v>27</v>
      </c>
      <c r="D8" s="666"/>
      <c r="E8" s="666"/>
      <c r="F8" s="666"/>
      <c r="G8" s="665" t="s">
        <v>28</v>
      </c>
      <c r="H8" s="665"/>
      <c r="I8" s="665"/>
      <c r="J8" s="665"/>
      <c r="K8" s="666" t="s">
        <v>7</v>
      </c>
      <c r="L8" s="666"/>
      <c r="M8" s="666"/>
      <c r="N8" s="666"/>
      <c r="O8" s="665" t="s">
        <v>39</v>
      </c>
      <c r="P8" s="665"/>
      <c r="Q8" s="665"/>
      <c r="R8" s="665"/>
    </row>
    <row r="9" spans="1:18" x14ac:dyDescent="0.3">
      <c r="A9" s="667"/>
      <c r="B9" s="170"/>
      <c r="C9" s="146">
        <f>'1. Ramos Totales'!$B$9</f>
        <v>45657</v>
      </c>
      <c r="D9" s="146">
        <f>'1. Ramos Totales'!$C$9</f>
        <v>46022</v>
      </c>
      <c r="E9" s="147" t="s">
        <v>9</v>
      </c>
      <c r="F9" s="147" t="s">
        <v>10</v>
      </c>
      <c r="G9" s="148">
        <f>'1. Ramos Totales'!$B$9</f>
        <v>45657</v>
      </c>
      <c r="H9" s="148">
        <f>'1. Ramos Totales'!$C$9</f>
        <v>46022</v>
      </c>
      <c r="I9" s="149" t="s">
        <v>9</v>
      </c>
      <c r="J9" s="149" t="s">
        <v>10</v>
      </c>
      <c r="K9" s="146">
        <f>'1. Ramos Totales'!$B$9</f>
        <v>45657</v>
      </c>
      <c r="L9" s="146">
        <f>'1. Ramos Totales'!$C$9</f>
        <v>46022</v>
      </c>
      <c r="M9" s="147" t="s">
        <v>9</v>
      </c>
      <c r="N9" s="147" t="s">
        <v>10</v>
      </c>
      <c r="O9" s="148">
        <f>'1. Ramos Totales'!$B$9</f>
        <v>45657</v>
      </c>
      <c r="P9" s="148">
        <f>'1. Ramos Totales'!$C$9</f>
        <v>46022</v>
      </c>
      <c r="Q9" s="149" t="s">
        <v>9</v>
      </c>
      <c r="R9" s="149" t="s">
        <v>10</v>
      </c>
    </row>
    <row r="10" spans="1:18" ht="15.75" x14ac:dyDescent="0.3">
      <c r="A10" s="173">
        <f>RANK(D10,$D$10:$D$21)</f>
        <v>1</v>
      </c>
      <c r="B10" s="174" t="str">
        <f>'Primas Diciembre 2025'!F11</f>
        <v>FICOHSA SEGUROS</v>
      </c>
      <c r="C10" s="175">
        <f>('Primas Diciembre 2024'!J61)/1000</f>
        <v>4409.1933005100009</v>
      </c>
      <c r="D10" s="175">
        <f>('Primas Diciembre 2025'!F61)/1000</f>
        <v>4850.8032757700003</v>
      </c>
      <c r="E10" s="176">
        <f t="shared" ref="E10:E22" si="0">IFERROR(F10/C10,0%)</f>
        <v>0.10015663754386078</v>
      </c>
      <c r="F10" s="175">
        <f t="shared" ref="F10:F22" si="1">IFERROR(D10-C10,0)</f>
        <v>441.60997525999937</v>
      </c>
      <c r="G10" s="365">
        <f>('Siniestros Diciembre 2024'!M61)/1000</f>
        <v>1587.6108556300001</v>
      </c>
      <c r="H10" s="365">
        <f>('Siniestros Diciembre  2025'!J61)/1000</f>
        <v>1723.9969134200001</v>
      </c>
      <c r="I10" s="176">
        <f t="shared" ref="I10:I22" si="2">IFERROR(J10/G10,0%)</f>
        <v>8.5906478471312109E-2</v>
      </c>
      <c r="J10" s="175">
        <f t="shared" ref="J10:J22" si="3">IFERROR(H10-G10,0)</f>
        <v>136.38605779</v>
      </c>
      <c r="K10" s="155">
        <f t="shared" ref="K10:K22" si="4">IFERROR((G10/C10),0%)</f>
        <v>0.36006832711243686</v>
      </c>
      <c r="L10" s="155">
        <f t="shared" ref="L10:L22" si="5">IFERROR(H10/D10,0%)</f>
        <v>0.35540441766242076</v>
      </c>
      <c r="M10" s="155">
        <f t="shared" ref="M10:M22" si="6">IFERROR(N10/K10,0%)</f>
        <v>-1.2952845609660426E-2</v>
      </c>
      <c r="N10" s="177">
        <f t="shared" ref="N10:N22" si="7">L10-K10</f>
        <v>-4.6639094500161016E-3</v>
      </c>
      <c r="O10" s="366">
        <f t="shared" ref="O10:O21" si="8">C10/$C$22</f>
        <v>0.239087718760113</v>
      </c>
      <c r="P10" s="366">
        <f t="shared" ref="P10:P21" si="9">D10/$D$22</f>
        <v>0.2403561041266091</v>
      </c>
      <c r="Q10" s="176">
        <f t="shared" ref="Q10:Q21" si="10">IFERROR(R10/O10,0%)</f>
        <v>5.3051046414003379E-3</v>
      </c>
      <c r="R10" s="176">
        <f t="shared" ref="R10:R21" si="11">IFERROR(P10-O10,0)</f>
        <v>1.2683853664960942E-3</v>
      </c>
    </row>
    <row r="11" spans="1:18" s="4" customFormat="1" ht="15.75" x14ac:dyDescent="0.3">
      <c r="A11" s="607">
        <f t="shared" ref="A11:A21" si="12">RANK(D11,$D$10:$D$21)</f>
        <v>2</v>
      </c>
      <c r="B11" s="608" t="str">
        <f>'Primas Diciembre 2025'!E11</f>
        <v>MAPFRE SEGUROS</v>
      </c>
      <c r="C11" s="609">
        <f>('Primas Diciembre 2024'!I61)/1000</f>
        <v>3052.3443911300001</v>
      </c>
      <c r="D11" s="609">
        <f>('Primas Diciembre 2025'!E61)/1000</f>
        <v>3127.48645773</v>
      </c>
      <c r="E11" s="610">
        <f t="shared" si="0"/>
        <v>2.4617820590088057E-2</v>
      </c>
      <c r="F11" s="609">
        <f t="shared" si="1"/>
        <v>75.142066599999907</v>
      </c>
      <c r="G11" s="611">
        <f>('Siniestros Diciembre 2024'!K61)/1000</f>
        <v>1113.43853728</v>
      </c>
      <c r="H11" s="611">
        <f>('Siniestros Diciembre  2025'!H61)/1000</f>
        <v>1057.16371443</v>
      </c>
      <c r="I11" s="610">
        <f t="shared" si="2"/>
        <v>-5.0541472174542086E-2</v>
      </c>
      <c r="J11" s="609">
        <f t="shared" si="3"/>
        <v>-56.274822849999964</v>
      </c>
      <c r="K11" s="612">
        <f t="shared" si="4"/>
        <v>0.36478142522698659</v>
      </c>
      <c r="L11" s="612">
        <f t="shared" si="5"/>
        <v>0.33802343470331547</v>
      </c>
      <c r="M11" s="612">
        <f t="shared" si="6"/>
        <v>-7.3353489715165338E-2</v>
      </c>
      <c r="N11" s="613">
        <f t="shared" si="7"/>
        <v>-2.6757990523671116E-2</v>
      </c>
      <c r="O11" s="614">
        <f t="shared" si="8"/>
        <v>0.16551282912932988</v>
      </c>
      <c r="P11" s="614">
        <f t="shared" si="9"/>
        <v>0.15496618146597332</v>
      </c>
      <c r="Q11" s="610">
        <f t="shared" si="10"/>
        <v>-6.3721028266126273E-2</v>
      </c>
      <c r="R11" s="610">
        <f t="shared" si="11"/>
        <v>-1.0546647663356556E-2</v>
      </c>
    </row>
    <row r="12" spans="1:18" s="349" customFormat="1" ht="15.75" x14ac:dyDescent="0.3">
      <c r="A12" s="28">
        <f t="shared" si="12"/>
        <v>3</v>
      </c>
      <c r="B12" s="180" t="str">
        <f>'Primas Diciembre 2025'!H11</f>
        <v>SEGUROS ATLÁNTIDA</v>
      </c>
      <c r="C12" s="181">
        <f>('Primas Diciembre 2024'!L61)/1000</f>
        <v>2484.13684874</v>
      </c>
      <c r="D12" s="181">
        <f>('Primas Diciembre 2025'!H61)/1000</f>
        <v>2738.0758226300004</v>
      </c>
      <c r="E12" s="182">
        <f t="shared" si="0"/>
        <v>0.10222422891830735</v>
      </c>
      <c r="F12" s="181">
        <f t="shared" si="1"/>
        <v>253.9389738900004</v>
      </c>
      <c r="G12" s="183">
        <f>('Siniestros Diciembre 2024'!Q61)/1000</f>
        <v>1289.51650193</v>
      </c>
      <c r="H12" s="183">
        <f>('Siniestros Diciembre  2025'!N61)/1000</f>
        <v>1105.7572927899998</v>
      </c>
      <c r="I12" s="182">
        <f t="shared" si="2"/>
        <v>-0.14250240990710125</v>
      </c>
      <c r="J12" s="181">
        <f t="shared" si="3"/>
        <v>-183.75920914000017</v>
      </c>
      <c r="K12" s="158">
        <f t="shared" si="4"/>
        <v>0.51910042821677338</v>
      </c>
      <c r="L12" s="158">
        <f t="shared" si="5"/>
        <v>0.40384465749669718</v>
      </c>
      <c r="M12" s="158">
        <f t="shared" si="6"/>
        <v>-0.22202981245075384</v>
      </c>
      <c r="N12" s="184">
        <f t="shared" si="7"/>
        <v>-0.1152557707200762</v>
      </c>
      <c r="O12" s="226">
        <f t="shared" si="8"/>
        <v>0.13470187668671374</v>
      </c>
      <c r="P12" s="226">
        <f t="shared" si="9"/>
        <v>0.13567098068435698</v>
      </c>
      <c r="Q12" s="182">
        <f t="shared" si="10"/>
        <v>7.1944357530902307E-3</v>
      </c>
      <c r="R12" s="182">
        <f t="shared" si="11"/>
        <v>9.6910399764324473E-4</v>
      </c>
    </row>
    <row r="13" spans="1:18" s="4" customFormat="1" ht="15.75" x14ac:dyDescent="0.3">
      <c r="A13" s="173">
        <f t="shared" si="12"/>
        <v>4</v>
      </c>
      <c r="B13" s="178" t="str">
        <f>'Primas Diciembre 2025'!I11</f>
        <v>CREFISA</v>
      </c>
      <c r="C13" s="175">
        <f>('Primas Diciembre 2024'!M61)/1000</f>
        <v>1347.90531919</v>
      </c>
      <c r="D13" s="175">
        <f>('Primas Diciembre 2025'!I61)/1000</f>
        <v>1663.4790588599999</v>
      </c>
      <c r="E13" s="176">
        <f t="shared" si="0"/>
        <v>0.2341215923531175</v>
      </c>
      <c r="F13" s="175">
        <f t="shared" si="1"/>
        <v>315.5737396699999</v>
      </c>
      <c r="G13" s="365">
        <f>('Siniestros Diciembre 2024'!S61)/1000</f>
        <v>587.33677786999999</v>
      </c>
      <c r="H13" s="365">
        <f>('Siniestros Diciembre  2025'!P61)/1000</f>
        <v>669.86950808000006</v>
      </c>
      <c r="I13" s="176">
        <f t="shared" si="2"/>
        <v>0.14052028294449442</v>
      </c>
      <c r="J13" s="175">
        <f t="shared" si="3"/>
        <v>82.532730210000068</v>
      </c>
      <c r="K13" s="155">
        <f t="shared" si="4"/>
        <v>0.43574038139633553</v>
      </c>
      <c r="L13" s="155">
        <f t="shared" si="5"/>
        <v>0.40269187911452808</v>
      </c>
      <c r="M13" s="155">
        <f t="shared" si="6"/>
        <v>-7.5844479173362594E-2</v>
      </c>
      <c r="N13" s="177">
        <f t="shared" si="7"/>
        <v>-3.3048502281807446E-2</v>
      </c>
      <c r="O13" s="366">
        <f t="shared" si="8"/>
        <v>7.3089925051025351E-2</v>
      </c>
      <c r="P13" s="366">
        <f t="shared" si="9"/>
        <v>8.2424976473679121E-2</v>
      </c>
      <c r="Q13" s="176">
        <f t="shared" si="10"/>
        <v>0.12772008476047564</v>
      </c>
      <c r="R13" s="176">
        <f t="shared" si="11"/>
        <v>9.3350514226537701E-3</v>
      </c>
    </row>
    <row r="14" spans="1:18" s="4" customFormat="1" ht="15.75" x14ac:dyDescent="0.3">
      <c r="A14" s="173">
        <f t="shared" si="12"/>
        <v>5</v>
      </c>
      <c r="B14" s="180" t="str">
        <f>'Primas Diciembre 2025'!C11</f>
        <v>SEGUROS DAVIVIENDA</v>
      </c>
      <c r="C14" s="181">
        <f>('Primas Diciembre 2024'!G61)/1000</f>
        <v>1514.0799131400001</v>
      </c>
      <c r="D14" s="181">
        <f>('Primas Diciembre 2025'!C61)/1000</f>
        <v>1624.8432821099998</v>
      </c>
      <c r="E14" s="176">
        <f t="shared" si="0"/>
        <v>7.3155563328418494E-2</v>
      </c>
      <c r="F14" s="175">
        <f t="shared" si="1"/>
        <v>110.76336896999965</v>
      </c>
      <c r="G14" s="183">
        <f>('Siniestros Diciembre 2024'!G61)/1000</f>
        <v>775.85183997000001</v>
      </c>
      <c r="H14" s="183">
        <f>('Siniestros Diciembre  2025'!D61)/1000</f>
        <v>663.21888046999993</v>
      </c>
      <c r="I14" s="176">
        <f t="shared" si="2"/>
        <v>-0.14517328399241186</v>
      </c>
      <c r="J14" s="175">
        <f t="shared" si="3"/>
        <v>-112.63295950000008</v>
      </c>
      <c r="K14" s="155">
        <f t="shared" si="4"/>
        <v>0.51242463045493192</v>
      </c>
      <c r="L14" s="155">
        <f t="shared" si="5"/>
        <v>0.40817406070618256</v>
      </c>
      <c r="M14" s="155">
        <f t="shared" si="6"/>
        <v>-0.20344566508482512</v>
      </c>
      <c r="N14" s="177">
        <f t="shared" si="7"/>
        <v>-0.10425056974874936</v>
      </c>
      <c r="O14" s="366">
        <f t="shared" si="8"/>
        <v>8.2100712711162205E-2</v>
      </c>
      <c r="P14" s="366">
        <f t="shared" si="9"/>
        <v>8.0510583279067169E-2</v>
      </c>
      <c r="Q14" s="176">
        <f t="shared" si="10"/>
        <v>-1.9368034449216736E-2</v>
      </c>
      <c r="R14" s="176">
        <f t="shared" si="11"/>
        <v>-1.590129432095036E-3</v>
      </c>
    </row>
    <row r="15" spans="1:18" s="4" customFormat="1" ht="15.75" x14ac:dyDescent="0.3">
      <c r="A15" s="173">
        <f t="shared" si="12"/>
        <v>6</v>
      </c>
      <c r="B15" s="178" t="str">
        <f>'Primas Diciembre 2025'!D11</f>
        <v>PALIC</v>
      </c>
      <c r="C15" s="175">
        <f>('Primas Diciembre 2024'!H61)/1000</f>
        <v>1381.80118378</v>
      </c>
      <c r="D15" s="175">
        <f>('Primas Diciembre 2025'!D61)/1000</f>
        <v>1450.0814752200001</v>
      </c>
      <c r="E15" s="176">
        <f t="shared" si="0"/>
        <v>4.9413976657058094E-2</v>
      </c>
      <c r="F15" s="175">
        <f t="shared" si="1"/>
        <v>68.280291440000155</v>
      </c>
      <c r="G15" s="365">
        <f>('Siniestros Diciembre 2024'!I61)/1000</f>
        <v>538.86920416999988</v>
      </c>
      <c r="H15" s="365">
        <f>('Siniestros Diciembre  2025'!F61)/1000</f>
        <v>583.63299532000008</v>
      </c>
      <c r="I15" s="176">
        <f t="shared" si="2"/>
        <v>8.3069863342716349E-2</v>
      </c>
      <c r="J15" s="175">
        <f t="shared" si="3"/>
        <v>44.763791150000202</v>
      </c>
      <c r="K15" s="155">
        <f t="shared" si="4"/>
        <v>0.38997593177326051</v>
      </c>
      <c r="L15" s="155">
        <f t="shared" si="5"/>
        <v>0.4024828985774429</v>
      </c>
      <c r="M15" s="155">
        <f t="shared" si="6"/>
        <v>3.2071124869968097E-2</v>
      </c>
      <c r="N15" s="177">
        <f t="shared" si="7"/>
        <v>1.2506966804182396E-2</v>
      </c>
      <c r="O15" s="366">
        <f t="shared" si="8"/>
        <v>7.4927922250941123E-2</v>
      </c>
      <c r="P15" s="366">
        <f t="shared" si="9"/>
        <v>7.1851178915252931E-2</v>
      </c>
      <c r="Q15" s="176">
        <f t="shared" si="10"/>
        <v>-4.1062707242620053E-2</v>
      </c>
      <c r="R15" s="176">
        <f t="shared" si="11"/>
        <v>-3.0767433356881924E-3</v>
      </c>
    </row>
    <row r="16" spans="1:18" s="4" customFormat="1" ht="15.75" x14ac:dyDescent="0.3">
      <c r="A16" s="607">
        <f t="shared" si="12"/>
        <v>7</v>
      </c>
      <c r="B16" s="608" t="str">
        <f>'Primas Diciembre 2025'!K11</f>
        <v>SEGUROS DEL PAÍS</v>
      </c>
      <c r="C16" s="609">
        <f>('Primas Diciembre 2024'!O61)/1000</f>
        <v>1250.5436558399999</v>
      </c>
      <c r="D16" s="609">
        <f>('Primas Diciembre 2025'!K61)/1000</f>
        <v>1376.0558212399999</v>
      </c>
      <c r="E16" s="610">
        <f t="shared" si="0"/>
        <v>0.10036608063529974</v>
      </c>
      <c r="F16" s="609">
        <f t="shared" si="1"/>
        <v>125.51216539999996</v>
      </c>
      <c r="G16" s="611">
        <f>('Siniestros Diciembre 2024'!W61)/1000</f>
        <v>413.73909735000001</v>
      </c>
      <c r="H16" s="611">
        <f>('Siniestros Diciembre  2025'!T61)/1000</f>
        <v>617.92510048999998</v>
      </c>
      <c r="I16" s="610">
        <f t="shared" si="2"/>
        <v>0.49351391842784947</v>
      </c>
      <c r="J16" s="609">
        <f t="shared" si="3"/>
        <v>204.18600313999997</v>
      </c>
      <c r="K16" s="612">
        <f t="shared" si="4"/>
        <v>0.33084738418994913</v>
      </c>
      <c r="L16" s="612">
        <f t="shared" si="5"/>
        <v>0.44905525702668914</v>
      </c>
      <c r="M16" s="612">
        <f t="shared" si="6"/>
        <v>0.35728821954014123</v>
      </c>
      <c r="N16" s="613">
        <f t="shared" si="7"/>
        <v>0.11820787283674</v>
      </c>
      <c r="O16" s="614">
        <f t="shared" si="8"/>
        <v>6.7810506255222253E-2</v>
      </c>
      <c r="P16" s="614">
        <f t="shared" si="9"/>
        <v>6.8183226045481493E-2</v>
      </c>
      <c r="Q16" s="610">
        <f t="shared" si="10"/>
        <v>5.4964903057413235E-3</v>
      </c>
      <c r="R16" s="610">
        <f t="shared" si="11"/>
        <v>3.7271979025924051E-4</v>
      </c>
    </row>
    <row r="17" spans="1:18" s="4" customFormat="1" ht="15.75" x14ac:dyDescent="0.3">
      <c r="A17" s="173">
        <f t="shared" si="12"/>
        <v>8</v>
      </c>
      <c r="B17" s="178" t="str">
        <f>'Primas Diciembre 2025'!N11</f>
        <v>ASSA CIA. DE SEGUROS</v>
      </c>
      <c r="C17" s="175">
        <f>('Primas Diciembre 2024'!R61)/1000</f>
        <v>861.41586632999997</v>
      </c>
      <c r="D17" s="175">
        <f>('Primas Diciembre 2025'!N61)/1000</f>
        <v>1080.2732791199999</v>
      </c>
      <c r="E17" s="176">
        <f t="shared" si="0"/>
        <v>0.25406707879949564</v>
      </c>
      <c r="F17" s="175">
        <f t="shared" si="1"/>
        <v>218.8574127899999</v>
      </c>
      <c r="G17" s="365">
        <f>('Siniestros Diciembre 2024'!AC61)/1000</f>
        <v>216.84120827999999</v>
      </c>
      <c r="H17" s="365">
        <f>('Siniestros Diciembre  2025'!Z61)/1000</f>
        <v>1431.3444213299997</v>
      </c>
      <c r="I17" s="176">
        <f t="shared" si="2"/>
        <v>5.6008875005056753</v>
      </c>
      <c r="J17" s="175">
        <f t="shared" si="3"/>
        <v>1214.5032130499997</v>
      </c>
      <c r="K17" s="155">
        <f t="shared" si="4"/>
        <v>0.25172650836330224</v>
      </c>
      <c r="L17" s="155">
        <f t="shared" si="5"/>
        <v>1.3249836397841714</v>
      </c>
      <c r="M17" s="155">
        <f t="shared" si="6"/>
        <v>4.2635840714554369</v>
      </c>
      <c r="N17" s="177">
        <f t="shared" si="7"/>
        <v>1.0732571314208692</v>
      </c>
      <c r="O17" s="366">
        <f t="shared" si="8"/>
        <v>4.6710121409461437E-2</v>
      </c>
      <c r="P17" s="366">
        <f t="shared" si="9"/>
        <v>5.3527274144124955E-2</v>
      </c>
      <c r="Q17" s="176">
        <f t="shared" si="10"/>
        <v>0.14594594338353956</v>
      </c>
      <c r="R17" s="176">
        <f t="shared" si="11"/>
        <v>6.8171527346635175E-3</v>
      </c>
    </row>
    <row r="18" spans="1:18" s="349" customFormat="1" ht="15.75" x14ac:dyDescent="0.3">
      <c r="A18" s="28">
        <f t="shared" si="12"/>
        <v>9</v>
      </c>
      <c r="B18" s="178" t="str">
        <f>'Primas Diciembre 2025'!G11</f>
        <v>SEGUROS CONTINENTAL</v>
      </c>
      <c r="C18" s="175">
        <f>('Primas Diciembre 2024'!K61)/1000</f>
        <v>542.79405654999994</v>
      </c>
      <c r="D18" s="175">
        <f>('Primas Diciembre 2025'!G61)/1000</f>
        <v>614.12831284000004</v>
      </c>
      <c r="E18" s="176">
        <f t="shared" si="0"/>
        <v>0.13142048154211705</v>
      </c>
      <c r="F18" s="175">
        <f t="shared" si="1"/>
        <v>71.334256290000098</v>
      </c>
      <c r="G18" s="365">
        <f>('Siniestros Diciembre 2024'!O61)/1000</f>
        <v>181.63143653999998</v>
      </c>
      <c r="H18" s="365">
        <f>('Siniestros Diciembre  2025'!L61)/1000</f>
        <v>237.85134236000002</v>
      </c>
      <c r="I18" s="176">
        <f t="shared" si="2"/>
        <v>0.309527397299525</v>
      </c>
      <c r="J18" s="175">
        <f t="shared" si="3"/>
        <v>56.219905820000037</v>
      </c>
      <c r="K18" s="155">
        <f t="shared" si="4"/>
        <v>0.33462311229870451</v>
      </c>
      <c r="L18" s="155">
        <f t="shared" si="5"/>
        <v>0.38729909920627265</v>
      </c>
      <c r="M18" s="155">
        <f t="shared" si="6"/>
        <v>0.15741885414222798</v>
      </c>
      <c r="N18" s="177">
        <f t="shared" si="7"/>
        <v>5.267598690756814E-2</v>
      </c>
      <c r="O18" s="366">
        <f t="shared" si="8"/>
        <v>2.9432910714546456E-2</v>
      </c>
      <c r="P18" s="366">
        <f t="shared" si="9"/>
        <v>3.0429906206542418E-2</v>
      </c>
      <c r="Q18" s="176">
        <f t="shared" si="10"/>
        <v>3.3873492895937829E-2</v>
      </c>
      <c r="R18" s="176">
        <f t="shared" si="11"/>
        <v>9.9699549199596185E-4</v>
      </c>
    </row>
    <row r="19" spans="1:18" s="4" customFormat="1" ht="15.75" x14ac:dyDescent="0.3">
      <c r="A19" s="173">
        <f t="shared" si="12"/>
        <v>10</v>
      </c>
      <c r="B19" s="180" t="str">
        <f>'Primas Diciembre 2025'!J11</f>
        <v>SEGUROS EQUIDAD</v>
      </c>
      <c r="C19" s="181">
        <f>('Primas Diciembre 2024'!N61)/1000</f>
        <v>724.92670497000006</v>
      </c>
      <c r="D19" s="181">
        <f>('Primas Diciembre 2025'!J61)/1000</f>
        <v>597.42208491999997</v>
      </c>
      <c r="E19" s="182">
        <f t="shared" si="0"/>
        <v>-0.17588622294618966</v>
      </c>
      <c r="F19" s="181">
        <f t="shared" si="1"/>
        <v>-127.50462005000009</v>
      </c>
      <c r="G19" s="183">
        <f>('Siniestros Diciembre 2024'!U61)/1000</f>
        <v>396.97867811999998</v>
      </c>
      <c r="H19" s="183">
        <f>('Siniestros Diciembre  2025'!R61)/1000</f>
        <v>317.64589481000002</v>
      </c>
      <c r="I19" s="182">
        <f t="shared" si="2"/>
        <v>-0.1998414214226866</v>
      </c>
      <c r="J19" s="181">
        <f t="shared" si="3"/>
        <v>-79.332783309999968</v>
      </c>
      <c r="K19" s="158">
        <f t="shared" si="4"/>
        <v>0.54761215913052663</v>
      </c>
      <c r="L19" s="158">
        <f t="shared" si="5"/>
        <v>0.53169426244517826</v>
      </c>
      <c r="M19" s="158">
        <f t="shared" si="6"/>
        <v>-2.9067829155988937E-2</v>
      </c>
      <c r="N19" s="184">
        <f t="shared" si="7"/>
        <v>-1.5917896685348376E-2</v>
      </c>
      <c r="O19" s="226">
        <f t="shared" si="8"/>
        <v>3.9309021026480095E-2</v>
      </c>
      <c r="P19" s="226">
        <f t="shared" si="9"/>
        <v>2.9602116739680353E-2</v>
      </c>
      <c r="Q19" s="182">
        <f t="shared" si="10"/>
        <v>-0.24693833713795091</v>
      </c>
      <c r="R19" s="182">
        <f t="shared" si="11"/>
        <v>-9.7069042867997425E-3</v>
      </c>
    </row>
    <row r="20" spans="1:18" s="350" customFormat="1" ht="15.75" x14ac:dyDescent="0.3">
      <c r="A20" s="28">
        <f t="shared" si="12"/>
        <v>11</v>
      </c>
      <c r="B20" s="180" t="str">
        <f>'Primas Diciembre 2025'!M11</f>
        <v>ASEGURADORA RURAL</v>
      </c>
      <c r="C20" s="181">
        <f>('Primas Diciembre 2024'!Q61)/1000</f>
        <v>468.87359055999997</v>
      </c>
      <c r="D20" s="181">
        <f>('Primas Diciembre 2025'!M61)/1000</f>
        <v>544.68799659000001</v>
      </c>
      <c r="E20" s="182">
        <f t="shared" si="0"/>
        <v>0.161694767110792</v>
      </c>
      <c r="F20" s="181">
        <f t="shared" si="1"/>
        <v>75.814406030000043</v>
      </c>
      <c r="G20" s="183">
        <f>('Siniestros Diciembre 2024'!AA61)/1000</f>
        <v>340.81674935000001</v>
      </c>
      <c r="H20" s="183">
        <f>('Siniestros Diciembre  2025'!X61)/1000</f>
        <v>254.81371662999999</v>
      </c>
      <c r="I20" s="182">
        <f t="shared" si="2"/>
        <v>-0.25234391468149253</v>
      </c>
      <c r="J20" s="181">
        <f t="shared" si="3"/>
        <v>-86.003032720000022</v>
      </c>
      <c r="K20" s="158">
        <f t="shared" si="4"/>
        <v>0.72688408179045649</v>
      </c>
      <c r="L20" s="158">
        <f t="shared" si="5"/>
        <v>0.46781592072021466</v>
      </c>
      <c r="M20" s="158">
        <f t="shared" si="6"/>
        <v>-0.35640918209696748</v>
      </c>
      <c r="N20" s="184">
        <f t="shared" si="7"/>
        <v>-0.25906816107024183</v>
      </c>
      <c r="O20" s="226">
        <f t="shared" si="8"/>
        <v>2.5424586656449623E-2</v>
      </c>
      <c r="P20" s="226">
        <f t="shared" si="9"/>
        <v>2.6989155688676839E-2</v>
      </c>
      <c r="Q20" s="182">
        <f t="shared" si="10"/>
        <v>6.1537638875647997E-2</v>
      </c>
      <c r="R20" s="182">
        <f t="shared" si="11"/>
        <v>1.5645690322272157E-3</v>
      </c>
    </row>
    <row r="21" spans="1:18" s="350" customFormat="1" ht="15" customHeight="1" x14ac:dyDescent="0.3">
      <c r="A21" s="28">
        <f t="shared" si="12"/>
        <v>12</v>
      </c>
      <c r="B21" s="180" t="str">
        <f>'Primas Diciembre 2025'!L11</f>
        <v>SEGUROS LAFISE</v>
      </c>
      <c r="C21" s="181">
        <f>('Primas Diciembre 2024'!P61)/1000</f>
        <v>403.72414011000006</v>
      </c>
      <c r="D21" s="181">
        <f>('Primas Diciembre 2025'!L61)/1000</f>
        <v>514.39845188999993</v>
      </c>
      <c r="E21" s="182">
        <f t="shared" si="0"/>
        <v>0.27413350053788005</v>
      </c>
      <c r="F21" s="181">
        <f t="shared" si="1"/>
        <v>110.67431177999987</v>
      </c>
      <c r="G21" s="183">
        <f>('Siniestros Diciembre 2024'!Y61)/1000</f>
        <v>134.77880098</v>
      </c>
      <c r="H21" s="183">
        <f>('Siniestros Diciembre  2025'!V61)/1000</f>
        <v>144.68328511000001</v>
      </c>
      <c r="I21" s="182">
        <f t="shared" si="2"/>
        <v>7.3486958319726806E-2</v>
      </c>
      <c r="J21" s="181">
        <f t="shared" si="3"/>
        <v>9.9044841300000144</v>
      </c>
      <c r="K21" s="158">
        <f t="shared" si="4"/>
        <v>0.33383884585964491</v>
      </c>
      <c r="L21" s="158">
        <f t="shared" si="5"/>
        <v>0.28126695284250075</v>
      </c>
      <c r="M21" s="158">
        <f t="shared" si="6"/>
        <v>-0.15747685947622414</v>
      </c>
      <c r="N21" s="184">
        <f t="shared" si="7"/>
        <v>-5.2571893017144156E-2</v>
      </c>
      <c r="O21" s="226">
        <f t="shared" si="8"/>
        <v>2.1891869348554822E-2</v>
      </c>
      <c r="P21" s="226">
        <f t="shared" si="9"/>
        <v>2.5488316230555308E-2</v>
      </c>
      <c r="Q21" s="182">
        <f t="shared" si="10"/>
        <v>0.16428231069439958</v>
      </c>
      <c r="R21" s="182">
        <f t="shared" si="11"/>
        <v>3.5964468820004862E-3</v>
      </c>
    </row>
    <row r="22" spans="1:18" ht="15.75" x14ac:dyDescent="0.3">
      <c r="A22" s="665" t="s">
        <v>29</v>
      </c>
      <c r="B22" s="665"/>
      <c r="C22" s="185">
        <f>SUM(C10:C21)</f>
        <v>18441.738970850001</v>
      </c>
      <c r="D22" s="185">
        <f>SUM(D10:D21)</f>
        <v>20181.73531892</v>
      </c>
      <c r="E22" s="186">
        <f t="shared" si="0"/>
        <v>9.4350991022068481E-2</v>
      </c>
      <c r="F22" s="185">
        <f t="shared" si="1"/>
        <v>1739.9963480699989</v>
      </c>
      <c r="G22" s="187">
        <f>SUM(G10:G21)</f>
        <v>7577.4096874699999</v>
      </c>
      <c r="H22" s="187">
        <f>SUM(H10:H21)</f>
        <v>8807.9030652400015</v>
      </c>
      <c r="I22" s="188">
        <f t="shared" si="2"/>
        <v>0.1623897121208511</v>
      </c>
      <c r="J22" s="189">
        <f t="shared" si="3"/>
        <v>1230.4933777700016</v>
      </c>
      <c r="K22" s="190">
        <f t="shared" si="4"/>
        <v>0.41088368615602133</v>
      </c>
      <c r="L22" s="190">
        <f t="shared" si="5"/>
        <v>0.43642942125907064</v>
      </c>
      <c r="M22" s="190">
        <f t="shared" si="6"/>
        <v>6.2172668236209899E-2</v>
      </c>
      <c r="N22" s="190">
        <f t="shared" si="7"/>
        <v>2.5545735103049305E-2</v>
      </c>
      <c r="O22" s="268">
        <f>SUM(O10:O21)</f>
        <v>0.99999999999999989</v>
      </c>
      <c r="P22" s="268">
        <f>SUM(P10:P21)</f>
        <v>1</v>
      </c>
      <c r="Q22" s="268">
        <f>SUM(Q10:Q21)</f>
        <v>0.18026539421431853</v>
      </c>
      <c r="R22" s="268">
        <f>SUM(R10:R21)</f>
        <v>3.4694469519536142E-18</v>
      </c>
    </row>
    <row r="24" spans="1:18" ht="16.5" x14ac:dyDescent="0.3">
      <c r="A24" s="192" t="str">
        <f>'1. Ramos Totales'!A$24</f>
        <v>Inflación Interanual Diciembre 2025</v>
      </c>
      <c r="B24" s="192"/>
      <c r="C24" s="193"/>
      <c r="E24" s="193">
        <f>'1. Ramos Totales'!$D$24</f>
        <v>4.9799999999999997E-2</v>
      </c>
      <c r="G24" t="str">
        <f>'1. Ramos Totales'!$F$24</f>
        <v>Inflación Acumulada Diciembre   2025</v>
      </c>
      <c r="J24" s="455">
        <f>'1. Ramos Totales'!$J$24</f>
        <v>4.9799999999999997E-2</v>
      </c>
    </row>
    <row r="25" spans="1:18" ht="16.5" x14ac:dyDescent="0.3">
      <c r="A25" s="278" t="s">
        <v>23</v>
      </c>
      <c r="B25" s="278"/>
      <c r="C25" s="278"/>
      <c r="E25" s="279">
        <f>E22-E24</f>
        <v>4.4550991022068484E-2</v>
      </c>
    </row>
    <row r="53" spans="2:5" s="272" customFormat="1" ht="16.5" x14ac:dyDescent="0.3">
      <c r="B53" s="271"/>
    </row>
    <row r="56" spans="2:5" x14ac:dyDescent="0.3">
      <c r="C56" s="25"/>
      <c r="D56" s="25"/>
      <c r="E56" s="5"/>
    </row>
    <row r="57" spans="2:5" x14ac:dyDescent="0.3">
      <c r="C57" s="25"/>
      <c r="D57" s="25"/>
      <c r="E57" s="5"/>
    </row>
    <row r="58" spans="2:5" x14ac:dyDescent="0.3">
      <c r="C58" s="25"/>
      <c r="D58" s="25"/>
      <c r="E58" s="5"/>
    </row>
    <row r="59" spans="2:5" x14ac:dyDescent="0.3">
      <c r="C59" s="25"/>
      <c r="D59" s="25"/>
      <c r="E59" s="5"/>
    </row>
    <row r="60" spans="2:5" x14ac:dyDescent="0.3">
      <c r="C60" s="25"/>
      <c r="D60" s="25"/>
      <c r="E60" s="5"/>
    </row>
    <row r="61" spans="2:5" x14ac:dyDescent="0.3">
      <c r="C61" s="25"/>
      <c r="D61" s="25"/>
      <c r="E61" s="5"/>
    </row>
    <row r="62" spans="2:5" x14ac:dyDescent="0.3">
      <c r="C62" s="25"/>
      <c r="D62" s="25"/>
      <c r="E62" s="5"/>
    </row>
    <row r="63" spans="2:5" x14ac:dyDescent="0.3">
      <c r="C63" s="25"/>
      <c r="D63" s="25"/>
      <c r="E63" s="5"/>
    </row>
    <row r="64" spans="2:5" x14ac:dyDescent="0.3">
      <c r="C64" s="25"/>
      <c r="D64" s="25"/>
      <c r="E64" s="5"/>
    </row>
    <row r="65" spans="3:5" x14ac:dyDescent="0.3">
      <c r="C65" s="25"/>
      <c r="D65" s="25"/>
      <c r="E65" s="5"/>
    </row>
    <row r="66" spans="3:5" x14ac:dyDescent="0.3">
      <c r="C66" s="25"/>
      <c r="D66" s="25"/>
      <c r="E66" s="5"/>
    </row>
    <row r="67" spans="3:5" x14ac:dyDescent="0.3">
      <c r="C67" s="25"/>
      <c r="D67" s="25"/>
      <c r="E67" s="5"/>
    </row>
    <row r="68" spans="3:5" x14ac:dyDescent="0.3">
      <c r="C68" s="25"/>
      <c r="D68" s="25"/>
      <c r="E68" s="5"/>
    </row>
  </sheetData>
  <sortState xmlns:xlrd2="http://schemas.microsoft.com/office/spreadsheetml/2017/richdata2" ref="B10:R21">
    <sortCondition descending="1" ref="D10:D21"/>
  </sortState>
  <mergeCells count="6">
    <mergeCell ref="O8:R8"/>
    <mergeCell ref="G8:J8"/>
    <mergeCell ref="A8:A9"/>
    <mergeCell ref="C8:F8"/>
    <mergeCell ref="A22:B22"/>
    <mergeCell ref="K8:N8"/>
  </mergeCells>
  <phoneticPr fontId="1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9">
    <tabColor rgb="FF0070C0"/>
  </sheetPr>
  <dimension ref="A1:N26"/>
  <sheetViews>
    <sheetView showGridLines="0" zoomScaleNormal="100" workbookViewId="0">
      <selection activeCell="P17" sqref="P17"/>
    </sheetView>
  </sheetViews>
  <sheetFormatPr baseColWidth="10" defaultRowHeight="15" x14ac:dyDescent="0.3"/>
  <cols>
    <col min="1" max="1" width="4.5703125" customWidth="1"/>
    <col min="2" max="2" width="22.7109375" bestFit="1" customWidth="1"/>
    <col min="3" max="3" width="9" customWidth="1"/>
    <col min="4" max="4" width="9.7109375" bestFit="1" customWidth="1"/>
    <col min="5" max="5" width="8.7109375" customWidth="1"/>
    <col min="6" max="6" width="9.140625" customWidth="1"/>
    <col min="7" max="7" width="9.28515625" customWidth="1"/>
    <col min="8" max="8" width="9" customWidth="1"/>
    <col min="9" max="9" width="11.28515625" customWidth="1"/>
    <col min="10" max="10" width="11.140625" customWidth="1"/>
    <col min="11" max="11" width="16.85546875" customWidth="1"/>
    <col min="12" max="13" width="11.85546875" bestFit="1" customWidth="1"/>
  </cols>
  <sheetData>
    <row r="1" spans="1:14" s="496" customFormat="1" x14ac:dyDescent="0.25">
      <c r="A1" s="494" t="s">
        <v>0</v>
      </c>
      <c r="B1" s="495"/>
      <c r="C1" s="495"/>
      <c r="D1" s="495"/>
      <c r="E1" s="495"/>
      <c r="F1" s="495"/>
      <c r="G1" s="495"/>
    </row>
    <row r="2" spans="1:14" s="496" customFormat="1" x14ac:dyDescent="0.25">
      <c r="A2" s="494" t="s">
        <v>1</v>
      </c>
      <c r="B2" s="495"/>
      <c r="C2" s="495"/>
      <c r="D2" s="495"/>
      <c r="E2" s="495"/>
      <c r="F2" s="495"/>
      <c r="G2" s="495"/>
      <c r="H2" s="495"/>
    </row>
    <row r="3" spans="1:14" s="496" customFormat="1" x14ac:dyDescent="0.25">
      <c r="A3" s="494" t="str">
        <f>'1. Ramos Totales'!A3</f>
        <v>Al 31 de diciembre de 2025</v>
      </c>
      <c r="B3" s="495"/>
      <c r="C3" s="495"/>
      <c r="D3" s="495"/>
      <c r="E3" s="495"/>
      <c r="F3" s="495"/>
      <c r="G3" s="495"/>
      <c r="H3" s="495"/>
    </row>
    <row r="4" spans="1:14" s="496" customFormat="1" x14ac:dyDescent="0.25">
      <c r="A4" s="494" t="s">
        <v>2</v>
      </c>
      <c r="B4" s="495"/>
      <c r="C4" s="495"/>
      <c r="D4" s="495"/>
      <c r="E4" s="495"/>
      <c r="F4" s="495"/>
      <c r="G4" s="495"/>
      <c r="H4" s="495"/>
    </row>
    <row r="5" spans="1:14" s="496" customFormat="1" ht="7.5" customHeight="1" x14ac:dyDescent="0.25">
      <c r="A5" s="503"/>
      <c r="B5" s="498"/>
      <c r="C5" s="498"/>
      <c r="D5" s="498"/>
      <c r="E5" s="498"/>
      <c r="F5" s="498"/>
      <c r="G5" s="498"/>
      <c r="H5" s="498"/>
      <c r="I5" s="498"/>
    </row>
    <row r="6" spans="1:14" s="496" customFormat="1" x14ac:dyDescent="0.25">
      <c r="A6" s="502" t="s">
        <v>40</v>
      </c>
      <c r="C6" s="498"/>
      <c r="D6" s="498"/>
      <c r="E6" s="498"/>
      <c r="F6" s="498"/>
      <c r="G6" s="498"/>
      <c r="H6" s="498"/>
      <c r="I6" s="498"/>
    </row>
    <row r="7" spans="1:14" ht="7.5" customHeight="1" x14ac:dyDescent="0.3">
      <c r="A7" s="111"/>
      <c r="B7" s="110"/>
      <c r="C7" s="110"/>
      <c r="D7" s="110"/>
      <c r="E7" s="110"/>
      <c r="F7" s="110"/>
      <c r="G7" s="110"/>
      <c r="H7" s="110"/>
      <c r="I7" s="110"/>
      <c r="J7" s="110"/>
      <c r="K7" s="108"/>
    </row>
    <row r="8" spans="1:14" x14ac:dyDescent="0.3">
      <c r="A8" s="667" t="s">
        <v>25</v>
      </c>
      <c r="B8" s="169" t="s">
        <v>26</v>
      </c>
      <c r="C8" s="668" t="s">
        <v>27</v>
      </c>
      <c r="D8" s="666"/>
      <c r="E8" s="666"/>
      <c r="F8" s="666"/>
      <c r="G8" s="665" t="s">
        <v>28</v>
      </c>
      <c r="H8" s="665"/>
      <c r="I8" s="665"/>
      <c r="J8" s="665"/>
      <c r="K8" s="666" t="s">
        <v>7</v>
      </c>
      <c r="L8" s="666"/>
      <c r="M8" s="666"/>
      <c r="N8" s="666"/>
    </row>
    <row r="9" spans="1:14" x14ac:dyDescent="0.3">
      <c r="A9" s="667"/>
      <c r="B9" s="170"/>
      <c r="C9" s="171">
        <f>'1. Ramos Totales'!$B$9</f>
        <v>45657</v>
      </c>
      <c r="D9" s="146">
        <f>'1. Ramos Totales'!$C$9</f>
        <v>46022</v>
      </c>
      <c r="E9" s="147" t="s">
        <v>9</v>
      </c>
      <c r="F9" s="146" t="s">
        <v>10</v>
      </c>
      <c r="G9" s="148">
        <f>'1. Ramos Totales'!$B$9</f>
        <v>45657</v>
      </c>
      <c r="H9" s="148">
        <f>'1. Ramos Totales'!$C$9</f>
        <v>46022</v>
      </c>
      <c r="I9" s="149" t="s">
        <v>9</v>
      </c>
      <c r="J9" s="172" t="s">
        <v>10</v>
      </c>
      <c r="K9" s="146">
        <f>'1. Ramos Totales'!$B$9</f>
        <v>45657</v>
      </c>
      <c r="L9" s="146">
        <f>'1. Ramos Totales'!$C$9</f>
        <v>46022</v>
      </c>
      <c r="M9" s="147" t="s">
        <v>9</v>
      </c>
      <c r="N9" s="147" t="s">
        <v>10</v>
      </c>
    </row>
    <row r="10" spans="1:14" ht="15.75" x14ac:dyDescent="0.3">
      <c r="A10" s="173">
        <v>1</v>
      </c>
      <c r="B10" s="174" t="str">
        <f>'Primas Diciembre 2024'!J11</f>
        <v>FICOHSA SEGUROS</v>
      </c>
      <c r="C10" s="175">
        <f>('Primas Diciembre 2024'!J61-'Primas Diciembre 2024'!J51)/1000</f>
        <v>3284.69662801</v>
      </c>
      <c r="D10" s="175">
        <f>('Primas Diciembre 2025'!F61-'Primas Diciembre 2025'!F51)/1000</f>
        <v>3550.5519733199999</v>
      </c>
      <c r="E10" s="176">
        <f t="shared" ref="E10:E22" si="0">IFERROR(F10/C10,0%)</f>
        <v>8.0937564535774373E-2</v>
      </c>
      <c r="F10" s="175">
        <f t="shared" ref="F10:F22" si="1">IFERROR(D10-C10,0)</f>
        <v>265.85534530999985</v>
      </c>
      <c r="G10" s="365">
        <f>('Siniestros Diciembre 2024'!M61-'Siniestros Diciembre 2024'!M51)/1000</f>
        <v>1254.6683848499999</v>
      </c>
      <c r="H10" s="365">
        <f>('Siniestros Diciembre  2025'!J61-'Siniestros Diciembre  2025'!J51)/1000</f>
        <v>1412.0770223500001</v>
      </c>
      <c r="I10" s="176">
        <f t="shared" ref="I10:I22" si="2">IFERROR(J10/G10,0%)</f>
        <v>0.12545835967550814</v>
      </c>
      <c r="J10" s="175">
        <f t="shared" ref="J10:J22" si="3">IFERROR(H10-G10,0)</f>
        <v>157.40863750000017</v>
      </c>
      <c r="K10" s="155">
        <f t="shared" ref="K10:K22" si="4">IFERROR((G10/C10),0%)</f>
        <v>0.38197390107534163</v>
      </c>
      <c r="L10" s="155">
        <f t="shared" ref="L10:L22" si="5">IFERROR(H10/D10,0%)</f>
        <v>0.3977063377640449</v>
      </c>
      <c r="M10" s="155">
        <f t="shared" ref="M10:M22" si="6">IFERROR(N10/K10,0%)</f>
        <v>4.1187203220986991E-2</v>
      </c>
      <c r="N10" s="177">
        <f t="shared" ref="N10:N22" si="7">L10-K10</f>
        <v>1.5732436688703277E-2</v>
      </c>
    </row>
    <row r="11" spans="1:14" ht="15.75" x14ac:dyDescent="0.3">
      <c r="A11" s="173">
        <v>2</v>
      </c>
      <c r="B11" s="180" t="str">
        <f>'Primas Diciembre 2024'!L11</f>
        <v>SEGUROS ATLÁNTIDA</v>
      </c>
      <c r="C11" s="181">
        <f>('Primas Diciembre 2024'!L61-'Primas Diciembre 2024'!L51)/1000</f>
        <v>1710.0082277999998</v>
      </c>
      <c r="D11" s="181">
        <f>('Primas Diciembre 2025'!H61-'Primas Diciembre 2025'!H51)/1000</f>
        <v>1967.5426559600003</v>
      </c>
      <c r="E11" s="182">
        <f t="shared" si="0"/>
        <v>0.15060420410452047</v>
      </c>
      <c r="F11" s="181">
        <f t="shared" si="1"/>
        <v>257.53442816000052</v>
      </c>
      <c r="G11" s="183">
        <f>('Siniestros Diciembre 2024'!Q61-'Siniestros Diciembre 2024'!Q51)/1000</f>
        <v>1048.5326542800001</v>
      </c>
      <c r="H11" s="183">
        <f>('Siniestros Diciembre  2025'!N61-'Siniestros Diciembre  2025'!N51)/1000</f>
        <v>819.92051419999984</v>
      </c>
      <c r="I11" s="182">
        <f t="shared" si="2"/>
        <v>-0.21803053929396429</v>
      </c>
      <c r="J11" s="181">
        <f t="shared" si="3"/>
        <v>-228.61214008000024</v>
      </c>
      <c r="K11" s="158">
        <f t="shared" si="4"/>
        <v>0.61317404047171342</v>
      </c>
      <c r="L11" s="158">
        <f t="shared" si="5"/>
        <v>0.4167231199366021</v>
      </c>
      <c r="M11" s="158">
        <f t="shared" si="6"/>
        <v>-0.32038362286828398</v>
      </c>
      <c r="N11" s="184">
        <f t="shared" si="7"/>
        <v>-0.19645092053511132</v>
      </c>
    </row>
    <row r="12" spans="1:14" s="350" customFormat="1" ht="15.75" x14ac:dyDescent="0.3">
      <c r="A12" s="28">
        <v>3</v>
      </c>
      <c r="B12" s="178" t="str">
        <f>'Primas Diciembre 2024'!I11</f>
        <v>MAPFRE SEGUROS</v>
      </c>
      <c r="C12" s="179">
        <f>('Primas Diciembre 2024'!I61-'Primas Diciembre 2024'!I51)/1000</f>
        <v>1620.3836125099999</v>
      </c>
      <c r="D12" s="179">
        <f>('Primas Diciembre 2025'!E61-'Primas Diciembre 2025'!E51)/1000</f>
        <v>1661.8984291900001</v>
      </c>
      <c r="E12" s="176">
        <f t="shared" si="0"/>
        <v>2.5620363202570953E-2</v>
      </c>
      <c r="F12" s="175">
        <f t="shared" si="1"/>
        <v>41.514816680000195</v>
      </c>
      <c r="G12" s="365">
        <f>('Siniestros Diciembre 2024'!K61-'Siniestros Diciembre 2024'!K51)/1000</f>
        <v>789.66014929000005</v>
      </c>
      <c r="H12" s="365">
        <f>('Siniestros Diciembre  2025'!H61-'Siniestros Diciembre  2025'!H51)/1000</f>
        <v>718.74507881999989</v>
      </c>
      <c r="I12" s="176">
        <f t="shared" si="2"/>
        <v>-8.980454507393007E-2</v>
      </c>
      <c r="J12" s="175">
        <f t="shared" si="3"/>
        <v>-70.91507047000016</v>
      </c>
      <c r="K12" s="155">
        <f t="shared" si="4"/>
        <v>0.48732913810872475</v>
      </c>
      <c r="L12" s="155">
        <f t="shared" si="5"/>
        <v>0.4324843601725481</v>
      </c>
      <c r="M12" s="155">
        <f t="shared" si="6"/>
        <v>-0.11254155281792445</v>
      </c>
      <c r="N12" s="177">
        <f t="shared" si="7"/>
        <v>-5.4844777936176647E-2</v>
      </c>
    </row>
    <row r="13" spans="1:14" s="4" customFormat="1" ht="15.75" x14ac:dyDescent="0.3">
      <c r="A13" s="173">
        <v>4</v>
      </c>
      <c r="B13" s="178" t="str">
        <f>'Primas Diciembre 2024'!M11</f>
        <v>CREFISA</v>
      </c>
      <c r="C13" s="168">
        <f>('Primas Diciembre 2024'!M61-'Primas Diciembre 2024'!M51)/1000</f>
        <v>979.8417887899999</v>
      </c>
      <c r="D13" s="168">
        <f>('Primas Diciembre 2025'!I61-'Primas Diciembre 2025'!I51)/1000</f>
        <v>1254.87847949</v>
      </c>
      <c r="E13" s="176">
        <f t="shared" si="0"/>
        <v>0.28069499979138579</v>
      </c>
      <c r="F13" s="175">
        <f t="shared" si="1"/>
        <v>275.03669070000012</v>
      </c>
      <c r="G13" s="183">
        <f>('Siniestros Diciembre 2024'!S61-'Siniestros Diciembre 2024'!S51)/1000</f>
        <v>471.81514101000005</v>
      </c>
      <c r="H13" s="183">
        <f>('Siniestros Diciembre  2025'!P61-'Siniestros Diciembre  2025'!P51)/1000</f>
        <v>523.14639031000002</v>
      </c>
      <c r="I13" s="176">
        <f t="shared" si="2"/>
        <v>0.10879525652804772</v>
      </c>
      <c r="J13" s="175">
        <f t="shared" si="3"/>
        <v>51.331249299999968</v>
      </c>
      <c r="K13" s="155">
        <f t="shared" si="4"/>
        <v>0.48152175831635169</v>
      </c>
      <c r="L13" s="155">
        <f t="shared" si="5"/>
        <v>0.41689008048222642</v>
      </c>
      <c r="M13" s="155">
        <f t="shared" si="6"/>
        <v>-0.13422379512010202</v>
      </c>
      <c r="N13" s="177">
        <f t="shared" si="7"/>
        <v>-6.4631677834125267E-2</v>
      </c>
    </row>
    <row r="14" spans="1:14" s="4" customFormat="1" ht="15.75" x14ac:dyDescent="0.3">
      <c r="A14" s="173">
        <v>5</v>
      </c>
      <c r="B14" s="180" t="str">
        <f>'Primas Diciembre 2024'!O11</f>
        <v>SEGUROS DEL PAÍS</v>
      </c>
      <c r="C14" s="166">
        <f>('Primas Diciembre 2024'!O61-'Primas Diciembre 2024'!O51)/1000</f>
        <v>956.77570261999983</v>
      </c>
      <c r="D14" s="166">
        <f>('Primas Diciembre 2025'!K61-'Primas Diciembre 2025'!K51)/1000</f>
        <v>1054.2564312700001</v>
      </c>
      <c r="E14" s="176">
        <f t="shared" si="0"/>
        <v>0.10188461975263649</v>
      </c>
      <c r="F14" s="175">
        <f t="shared" si="1"/>
        <v>97.480728650000287</v>
      </c>
      <c r="G14" s="365">
        <f>('Siniestros Diciembre 2024'!W61-'Siniestros Diciembre 2024'!W51)/1000</f>
        <v>355.70743418000001</v>
      </c>
      <c r="H14" s="365">
        <f>('Siniestros Diciembre  2025'!T61-'Siniestros Diciembre  2025'!T51)/1000</f>
        <v>538.87434383000004</v>
      </c>
      <c r="I14" s="176">
        <f t="shared" si="2"/>
        <v>0.51493697361779445</v>
      </c>
      <c r="J14" s="175">
        <f t="shared" si="3"/>
        <v>183.16690965000004</v>
      </c>
      <c r="K14" s="155">
        <f t="shared" si="4"/>
        <v>0.37177724434885179</v>
      </c>
      <c r="L14" s="155">
        <f t="shared" si="5"/>
        <v>0.51114162346712</v>
      </c>
      <c r="M14" s="155">
        <f t="shared" si="6"/>
        <v>0.37485989590986818</v>
      </c>
      <c r="N14" s="177">
        <f t="shared" si="7"/>
        <v>0.13936437911826821</v>
      </c>
    </row>
    <row r="15" spans="1:14" s="4" customFormat="1" ht="15.75" x14ac:dyDescent="0.3">
      <c r="A15" s="173">
        <v>6</v>
      </c>
      <c r="B15" s="178" t="str">
        <f>'Primas Diciembre 2024'!R11</f>
        <v>ASSA CIA. DE SEGUROS</v>
      </c>
      <c r="C15" s="166">
        <f>('Primas Diciembre 2024'!R61-'Primas Diciembre 2024'!R51)/1000</f>
        <v>842.81575521999991</v>
      </c>
      <c r="D15" s="166">
        <f>('Primas Diciembre 2025'!N61-'Primas Diciembre 2025'!N51)/1000</f>
        <v>923.20026540999993</v>
      </c>
      <c r="E15" s="176">
        <f t="shared" si="0"/>
        <v>9.5376136115321281E-2</v>
      </c>
      <c r="F15" s="175">
        <f t="shared" si="1"/>
        <v>80.384510190000015</v>
      </c>
      <c r="G15" s="365">
        <f>('Siniestros Diciembre 2024'!AC61-'Siniestros Diciembre 2024'!AC51)/1000</f>
        <v>208.97569918999997</v>
      </c>
      <c r="H15" s="365">
        <f>('Siniestros Diciembre  2025'!Z61-'Siniestros Diciembre  2025'!Z51)/1000</f>
        <v>1406.1752284099998</v>
      </c>
      <c r="I15" s="176">
        <f t="shared" si="2"/>
        <v>5.7288935214017886</v>
      </c>
      <c r="J15" s="175">
        <f t="shared" si="3"/>
        <v>1197.1995292199999</v>
      </c>
      <c r="K15" s="155">
        <f t="shared" si="4"/>
        <v>0.24794944552911344</v>
      </c>
      <c r="L15" s="155">
        <f t="shared" si="5"/>
        <v>1.5231529724328092</v>
      </c>
      <c r="M15" s="155">
        <f t="shared" si="6"/>
        <v>5.1429980985941164</v>
      </c>
      <c r="N15" s="177">
        <f t="shared" si="7"/>
        <v>1.2752035269036959</v>
      </c>
    </row>
    <row r="16" spans="1:14" s="4" customFormat="1" ht="15.75" x14ac:dyDescent="0.3">
      <c r="A16" s="173">
        <v>7</v>
      </c>
      <c r="B16" s="180" t="str">
        <f>'Primas Diciembre 2024'!G11</f>
        <v>SEGUROS DAVIVIENDA</v>
      </c>
      <c r="C16" s="166">
        <f>('Primas Diciembre 2024'!G61-'Primas Diciembre 2024'!G51)/1000</f>
        <v>786.33743846000004</v>
      </c>
      <c r="D16" s="166">
        <f>('Primas Diciembre 2025'!C61-'Primas Diciembre 2025'!C51)/1000</f>
        <v>884.96970059999978</v>
      </c>
      <c r="E16" s="176">
        <f t="shared" si="0"/>
        <v>0.12543248905096743</v>
      </c>
      <c r="F16" s="175">
        <f t="shared" si="1"/>
        <v>98.632262139999739</v>
      </c>
      <c r="G16" s="365">
        <f>('Siniestros Diciembre 2024'!G61-'Siniestros Diciembre 2024'!G51)/1000</f>
        <v>623.62322545000006</v>
      </c>
      <c r="H16" s="365">
        <f>('Siniestros Diciembre  2025'!D61-'Siniestros Diciembre  2025'!D51)/1000</f>
        <v>422.57558978999998</v>
      </c>
      <c r="I16" s="176">
        <f t="shared" si="2"/>
        <v>-0.32238638244258172</v>
      </c>
      <c r="J16" s="175">
        <f t="shared" si="3"/>
        <v>-201.04763566000008</v>
      </c>
      <c r="K16" s="155">
        <f t="shared" si="4"/>
        <v>0.79307329773250135</v>
      </c>
      <c r="L16" s="155">
        <f t="shared" si="5"/>
        <v>0.47750289021590042</v>
      </c>
      <c r="M16" s="155">
        <f t="shared" si="6"/>
        <v>-0.39790824936214264</v>
      </c>
      <c r="N16" s="177">
        <f t="shared" si="7"/>
        <v>-0.31557040751660093</v>
      </c>
    </row>
    <row r="17" spans="1:14" s="4" customFormat="1" ht="15.75" x14ac:dyDescent="0.3">
      <c r="A17" s="173">
        <v>8</v>
      </c>
      <c r="B17" s="178" t="str">
        <f>'Primas Diciembre 2024'!H11</f>
        <v>PALIC</v>
      </c>
      <c r="C17" s="181">
        <f>('Primas Diciembre 2024'!H61-'Primas Diciembre 2024'!H51)/1000</f>
        <v>673.59015850000014</v>
      </c>
      <c r="D17" s="181">
        <f>('Primas Diciembre 2025'!D61-'Primas Diciembre 2025'!D51)/1000</f>
        <v>713.44265541000027</v>
      </c>
      <c r="E17" s="176">
        <f t="shared" si="0"/>
        <v>5.9164309939959019E-2</v>
      </c>
      <c r="F17" s="175">
        <f t="shared" si="1"/>
        <v>39.852496910000127</v>
      </c>
      <c r="G17" s="183">
        <f>('Siniestros Diciembre 2024'!I61-'Siniestros Diciembre 2024'!I51)/1000</f>
        <v>429.75570063999993</v>
      </c>
      <c r="H17" s="183">
        <f>('Siniestros Diciembre  2025'!F61-'Siniestros Diciembre  2025'!F51)/1000</f>
        <v>454.57002227000009</v>
      </c>
      <c r="I17" s="176">
        <f t="shared" si="2"/>
        <v>5.7740529312458752E-2</v>
      </c>
      <c r="J17" s="175">
        <f t="shared" si="3"/>
        <v>24.814321630000165</v>
      </c>
      <c r="K17" s="155">
        <f t="shared" si="4"/>
        <v>0.63800768941905472</v>
      </c>
      <c r="L17" s="155">
        <f t="shared" si="5"/>
        <v>0.63715004818259491</v>
      </c>
      <c r="M17" s="155">
        <f t="shared" si="6"/>
        <v>-1.3442490595070278E-3</v>
      </c>
      <c r="N17" s="177">
        <f t="shared" si="7"/>
        <v>-8.5764123645981627E-4</v>
      </c>
    </row>
    <row r="18" spans="1:14" s="4" customFormat="1" ht="15.75" x14ac:dyDescent="0.3">
      <c r="A18" s="173">
        <v>9</v>
      </c>
      <c r="B18" s="178" t="str">
        <f>'Primas Diciembre 2024'!K11</f>
        <v>SEGUROS CONTINENTAL</v>
      </c>
      <c r="C18" s="166">
        <f>('Primas Diciembre 2024'!K61-'Primas Diciembre 2024'!K51)/1000</f>
        <v>460.77353654999996</v>
      </c>
      <c r="D18" s="166">
        <f>('Primas Diciembre 2025'!G61-'Primas Diciembre 2025'!G51)/1000</f>
        <v>524.47681274000013</v>
      </c>
      <c r="E18" s="176">
        <f t="shared" si="0"/>
        <v>0.13825289678520314</v>
      </c>
      <c r="F18" s="175">
        <f t="shared" si="1"/>
        <v>63.703276190000167</v>
      </c>
      <c r="G18" s="365">
        <f>('Siniestros Diciembre 2024'!O61-'Siniestros Diciembre 2024'!O51)/1000</f>
        <v>155.88096111000002</v>
      </c>
      <c r="H18" s="365">
        <f>('Siniestros Diciembre  2025'!L61-'Siniestros Diciembre  2025'!L51)/1000</f>
        <v>209.64841712</v>
      </c>
      <c r="I18" s="176">
        <f t="shared" si="2"/>
        <v>0.34492638245961343</v>
      </c>
      <c r="J18" s="175">
        <f t="shared" si="3"/>
        <v>53.767456009999989</v>
      </c>
      <c r="K18" s="155">
        <f t="shared" si="4"/>
        <v>0.33830276425409445</v>
      </c>
      <c r="L18" s="155">
        <f t="shared" si="5"/>
        <v>0.39972866679223323</v>
      </c>
      <c r="M18" s="155">
        <f t="shared" si="6"/>
        <v>0.18157079701542922</v>
      </c>
      <c r="N18" s="177">
        <f t="shared" si="7"/>
        <v>6.1425902538138788E-2</v>
      </c>
    </row>
    <row r="19" spans="1:14" s="349" customFormat="1" ht="15.75" x14ac:dyDescent="0.3">
      <c r="A19" s="28">
        <v>10</v>
      </c>
      <c r="B19" s="180" t="str">
        <f>'Primas Diciembre 2024'!P11</f>
        <v>SEGUROS LAFISE</v>
      </c>
      <c r="C19" s="181">
        <f>('Primas Diciembre 2024'!P61-'Primas Diciembre 2024'!P51)/1000</f>
        <v>203.17263188000007</v>
      </c>
      <c r="D19" s="181">
        <f>('Primas Diciembre 2025'!L61-'Primas Diciembre 2025'!L51)/1000</f>
        <v>321.55381288000001</v>
      </c>
      <c r="E19" s="182">
        <f t="shared" si="0"/>
        <v>0.5826630285023795</v>
      </c>
      <c r="F19" s="181">
        <f t="shared" si="1"/>
        <v>118.38118099999994</v>
      </c>
      <c r="G19" s="183">
        <f>('Siniestros Diciembre 2024'!Y61-'Siniestros Diciembre 2024'!Y51)/1000</f>
        <v>81.564546499999992</v>
      </c>
      <c r="H19" s="183">
        <f>('Siniestros Diciembre  2025'!V61-'Siniestros Diciembre  2025'!V51)/1000</f>
        <v>76.098801110000025</v>
      </c>
      <c r="I19" s="182">
        <f t="shared" si="2"/>
        <v>-6.7011288906019567E-2</v>
      </c>
      <c r="J19" s="181">
        <f t="shared" si="3"/>
        <v>-5.4657453899999666</v>
      </c>
      <c r="K19" s="158">
        <f t="shared" si="4"/>
        <v>0.40145439740217814</v>
      </c>
      <c r="L19" s="158">
        <f t="shared" si="5"/>
        <v>0.2366596136068807</v>
      </c>
      <c r="M19" s="158">
        <f t="shared" si="6"/>
        <v>-0.4104944044994619</v>
      </c>
      <c r="N19" s="184">
        <f t="shared" si="7"/>
        <v>-0.16479478379529744</v>
      </c>
    </row>
    <row r="20" spans="1:14" s="349" customFormat="1" ht="15.75" x14ac:dyDescent="0.3">
      <c r="A20" s="28">
        <v>11</v>
      </c>
      <c r="B20" s="180" t="str">
        <f>'Primas Diciembre 2024'!Q11</f>
        <v>ASEGURADORA RURAL</v>
      </c>
      <c r="C20" s="181">
        <f>('Primas Diciembre 2024'!Q61-'Primas Diciembre 2024'!Q51)/1000</f>
        <v>183.24365229</v>
      </c>
      <c r="D20" s="168">
        <f>('Primas Diciembre 2025'!M61-'Primas Diciembre 2025'!M51)/1000</f>
        <v>228.22786734999997</v>
      </c>
      <c r="E20" s="158">
        <f t="shared" si="0"/>
        <v>0.24548853124149858</v>
      </c>
      <c r="F20" s="181">
        <f t="shared" si="1"/>
        <v>44.984215059999968</v>
      </c>
      <c r="G20" s="183">
        <f>('Siniestros Diciembre 2024'!AA61-'Siniestros Diciembre 2024'!AA51)/1000</f>
        <v>206.89514203000002</v>
      </c>
      <c r="H20" s="183">
        <f>('Siniestros Diciembre  2025'!X61-'Siniestros Diciembre  2025'!X51)/1000</f>
        <v>126.25120437999998</v>
      </c>
      <c r="I20" s="182">
        <f t="shared" si="2"/>
        <v>-0.38978168776097499</v>
      </c>
      <c r="J20" s="181">
        <f t="shared" si="3"/>
        <v>-80.643937650000041</v>
      </c>
      <c r="K20" s="158">
        <f t="shared" si="4"/>
        <v>1.1290712635577103</v>
      </c>
      <c r="L20" s="158">
        <f t="shared" si="5"/>
        <v>0.55318049388941104</v>
      </c>
      <c r="M20" s="158">
        <f t="shared" si="6"/>
        <v>-0.51005706039640397</v>
      </c>
      <c r="N20" s="184">
        <f t="shared" si="7"/>
        <v>-0.57589076966829922</v>
      </c>
    </row>
    <row r="21" spans="1:14" s="349" customFormat="1" ht="15" customHeight="1" x14ac:dyDescent="0.3">
      <c r="A21" s="28">
        <v>12</v>
      </c>
      <c r="B21" s="180" t="str">
        <f>'Primas Diciembre 2024'!N11</f>
        <v>SEGUROS EQUIDAD</v>
      </c>
      <c r="C21" s="168">
        <f>('Primas Diciembre 2024'!N61-'Primas Diciembre 2024'!N51)/1000</f>
        <v>232.31392172000011</v>
      </c>
      <c r="D21" s="168">
        <f>('Primas Diciembre 2025'!J61-'Primas Diciembre 2025'!J51)/1000</f>
        <v>195.76741709999996</v>
      </c>
      <c r="E21" s="182">
        <f t="shared" si="0"/>
        <v>-0.15731517228678349</v>
      </c>
      <c r="F21" s="181">
        <f t="shared" si="1"/>
        <v>-36.54650462000015</v>
      </c>
      <c r="G21" s="183">
        <f>('Siniestros Diciembre 2024'!U61-'Siniestros Diciembre 2024'!U51)/1000</f>
        <v>152.9986562</v>
      </c>
      <c r="H21" s="183">
        <f>('Siniestros Diciembre  2025'!R61-'Siniestros Diciembre  2025'!R51)/1000</f>
        <v>89.396427950000017</v>
      </c>
      <c r="I21" s="182">
        <f t="shared" si="2"/>
        <v>-0.41570448937054116</v>
      </c>
      <c r="J21" s="181">
        <f t="shared" si="3"/>
        <v>-63.602228249999982</v>
      </c>
      <c r="K21" s="158">
        <f t="shared" si="4"/>
        <v>0.65858582674353872</v>
      </c>
      <c r="L21" s="158">
        <f t="shared" si="5"/>
        <v>0.45664610216691692</v>
      </c>
      <c r="M21" s="158">
        <f t="shared" si="6"/>
        <v>-0.30662628373759332</v>
      </c>
      <c r="N21" s="184">
        <f t="shared" si="7"/>
        <v>-0.20193972457662179</v>
      </c>
    </row>
    <row r="22" spans="1:14" ht="15.75" x14ac:dyDescent="0.3">
      <c r="A22" s="665" t="s">
        <v>29</v>
      </c>
      <c r="B22" s="665"/>
      <c r="C22" s="185">
        <f>SUM(C10:C21)</f>
        <v>11933.953054349997</v>
      </c>
      <c r="D22" s="185">
        <f>SUM(D10:D21)</f>
        <v>13280.766500720001</v>
      </c>
      <c r="E22" s="186">
        <f t="shared" si="0"/>
        <v>0.1128556011772715</v>
      </c>
      <c r="F22" s="185">
        <f t="shared" si="1"/>
        <v>1346.8134463700044</v>
      </c>
      <c r="G22" s="187">
        <f>SUM(G10:G21)</f>
        <v>5780.0776947300001</v>
      </c>
      <c r="H22" s="187">
        <f>SUM(H10:H21)</f>
        <v>6797.479040539999</v>
      </c>
      <c r="I22" s="188">
        <f t="shared" si="2"/>
        <v>0.17601862804329033</v>
      </c>
      <c r="J22" s="189">
        <f t="shared" si="3"/>
        <v>1017.4013458099989</v>
      </c>
      <c r="K22" s="190">
        <f t="shared" si="4"/>
        <v>0.48433889997775109</v>
      </c>
      <c r="L22" s="190">
        <f t="shared" si="5"/>
        <v>0.51182881953172521</v>
      </c>
      <c r="M22" s="190">
        <f t="shared" si="6"/>
        <v>5.6757612397511148E-2</v>
      </c>
      <c r="N22" s="190">
        <f t="shared" si="7"/>
        <v>2.7489919553974118E-2</v>
      </c>
    </row>
    <row r="23" spans="1:14" x14ac:dyDescent="0.3">
      <c r="A23" s="120" t="s">
        <v>41</v>
      </c>
      <c r="B23" s="108"/>
      <c r="C23" s="121"/>
      <c r="D23" s="108"/>
      <c r="E23" s="108"/>
      <c r="F23" s="108"/>
      <c r="G23" s="108"/>
      <c r="H23" s="108"/>
      <c r="I23" s="108"/>
      <c r="J23" s="108"/>
      <c r="K23" s="108"/>
    </row>
    <row r="24" spans="1:14" x14ac:dyDescent="0.3">
      <c r="A24" s="120"/>
      <c r="B24" s="108"/>
      <c r="C24" s="121"/>
      <c r="D24" s="108"/>
      <c r="E24" s="108"/>
      <c r="F24" s="108"/>
      <c r="G24" s="108"/>
      <c r="H24" s="108"/>
      <c r="I24" s="108"/>
      <c r="J24" s="108"/>
      <c r="K24" s="108"/>
    </row>
    <row r="25" spans="1:14" ht="16.5" x14ac:dyDescent="0.3">
      <c r="A25" s="192" t="str">
        <f>'1. Ramos Totales'!A$24</f>
        <v>Inflación Interanual Diciembre 2025</v>
      </c>
      <c r="B25" s="192"/>
      <c r="C25" s="193"/>
      <c r="E25" s="193">
        <f>'1. Ramos Totales'!$D$24</f>
        <v>4.9799999999999997E-2</v>
      </c>
      <c r="G25" t="str">
        <f>'1. Ramos Totales'!$F$24</f>
        <v>Inflación Acumulada Diciembre   2025</v>
      </c>
      <c r="J25" s="455">
        <f>'1. Ramos Totales'!$J$24</f>
        <v>4.9799999999999997E-2</v>
      </c>
    </row>
    <row r="26" spans="1:14" ht="16.5" x14ac:dyDescent="0.3">
      <c r="A26" s="278" t="s">
        <v>23</v>
      </c>
      <c r="B26" s="278"/>
      <c r="C26" s="278"/>
      <c r="E26" s="279">
        <f>E22-E25</f>
        <v>6.3055601177271506E-2</v>
      </c>
    </row>
  </sheetData>
  <sortState xmlns:xlrd2="http://schemas.microsoft.com/office/spreadsheetml/2017/richdata2" ref="B10:N21">
    <sortCondition descending="1" ref="D10:D21"/>
  </sortState>
  <mergeCells count="5">
    <mergeCell ref="K8:N8"/>
    <mergeCell ref="G8:J8"/>
    <mergeCell ref="A22:B22"/>
    <mergeCell ref="A8:A9"/>
    <mergeCell ref="C8:F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
  <dimension ref="A1:M25"/>
  <sheetViews>
    <sheetView showGridLines="0" zoomScaleNormal="100" workbookViewId="0">
      <selection activeCell="F22" sqref="F22"/>
    </sheetView>
  </sheetViews>
  <sheetFormatPr baseColWidth="10" defaultRowHeight="15" x14ac:dyDescent="0.3"/>
  <cols>
    <col min="1" max="1" width="4.85546875" customWidth="1"/>
    <col min="2" max="2" width="22.42578125" bestFit="1" customWidth="1"/>
    <col min="3" max="3" width="10.7109375" customWidth="1"/>
    <col min="4" max="4" width="12.140625" customWidth="1"/>
    <col min="5" max="5" width="11.140625" customWidth="1"/>
    <col min="6" max="6" width="11" customWidth="1"/>
    <col min="7" max="8" width="13.42578125" customWidth="1"/>
    <col min="9" max="10" width="14.42578125" customWidth="1"/>
    <col min="11" max="13" width="11.42578125" hidden="1" customWidth="1"/>
  </cols>
  <sheetData>
    <row r="1" spans="1:13" s="502" customFormat="1" x14ac:dyDescent="0.25">
      <c r="A1" s="494" t="s">
        <v>0</v>
      </c>
      <c r="B1" s="505"/>
      <c r="C1" s="505"/>
      <c r="D1" s="505"/>
      <c r="E1" s="505"/>
      <c r="F1" s="505"/>
      <c r="G1" s="505"/>
      <c r="H1" s="505"/>
      <c r="I1" s="505"/>
      <c r="J1" s="505"/>
    </row>
    <row r="2" spans="1:13" s="502" customFormat="1" x14ac:dyDescent="0.25">
      <c r="A2" s="494" t="s">
        <v>42</v>
      </c>
      <c r="B2" s="505"/>
      <c r="C2" s="505"/>
      <c r="D2" s="505"/>
      <c r="E2" s="505"/>
      <c r="F2" s="505"/>
      <c r="G2" s="505"/>
      <c r="H2" s="505"/>
      <c r="I2" s="505"/>
      <c r="J2" s="505"/>
    </row>
    <row r="3" spans="1:13" s="502" customFormat="1" x14ac:dyDescent="0.25">
      <c r="A3" s="494" t="str">
        <f>'1. Ramos Totales'!A3</f>
        <v>Al 31 de diciembre de 2025</v>
      </c>
      <c r="B3" s="505"/>
      <c r="C3" s="505"/>
      <c r="D3" s="505"/>
      <c r="E3" s="505"/>
      <c r="F3" s="505"/>
      <c r="G3" s="505"/>
    </row>
    <row r="4" spans="1:13" s="502" customFormat="1" x14ac:dyDescent="0.25">
      <c r="A4" s="494" t="s">
        <v>2</v>
      </c>
      <c r="B4" s="505"/>
      <c r="C4" s="505"/>
      <c r="D4" s="505"/>
      <c r="E4" s="505"/>
      <c r="F4" s="505"/>
      <c r="G4" s="505"/>
      <c r="H4" s="505"/>
      <c r="I4" s="505"/>
      <c r="J4" s="505"/>
    </row>
    <row r="5" spans="1:13" s="502" customFormat="1" ht="7.5" customHeight="1" x14ac:dyDescent="0.25">
      <c r="A5" s="503"/>
      <c r="B5" s="501"/>
      <c r="C5" s="501"/>
      <c r="D5" s="501"/>
      <c r="E5" s="501"/>
      <c r="F5" s="501"/>
      <c r="G5" s="501"/>
      <c r="H5" s="501"/>
      <c r="I5" s="501"/>
      <c r="J5" s="501"/>
    </row>
    <row r="6" spans="1:13" s="502" customFormat="1" x14ac:dyDescent="0.25">
      <c r="A6" s="502" t="s">
        <v>43</v>
      </c>
      <c r="C6" s="501"/>
      <c r="D6" s="501"/>
      <c r="E6" s="501"/>
      <c r="F6" s="501"/>
      <c r="G6" s="501"/>
      <c r="H6" s="501"/>
      <c r="I6" s="501"/>
      <c r="J6" s="501"/>
    </row>
    <row r="7" spans="1:13" ht="7.5" customHeight="1" x14ac:dyDescent="0.3">
      <c r="A7" s="111"/>
      <c r="B7" s="110"/>
      <c r="C7" s="110"/>
      <c r="D7" s="110"/>
      <c r="E7" s="110"/>
      <c r="F7" s="110"/>
      <c r="G7" s="110"/>
      <c r="H7" s="110"/>
      <c r="I7" s="110"/>
      <c r="J7" s="110"/>
      <c r="K7" s="108"/>
      <c r="L7" s="108"/>
      <c r="M7" s="108"/>
    </row>
    <row r="8" spans="1:13" ht="15.75" x14ac:dyDescent="0.3">
      <c r="A8" s="667" t="s">
        <v>25</v>
      </c>
      <c r="B8" s="169" t="s">
        <v>26</v>
      </c>
      <c r="C8" s="671" t="s">
        <v>44</v>
      </c>
      <c r="D8" s="665"/>
      <c r="E8" s="665" t="s">
        <v>45</v>
      </c>
      <c r="F8" s="665"/>
      <c r="G8" s="669" t="s">
        <v>46</v>
      </c>
      <c r="H8" s="670"/>
      <c r="I8" s="669" t="s">
        <v>45</v>
      </c>
      <c r="J8" s="670"/>
      <c r="K8" s="358"/>
      <c r="L8" s="149" t="s">
        <v>5</v>
      </c>
      <c r="M8" s="149" t="s">
        <v>5</v>
      </c>
    </row>
    <row r="9" spans="1:13" ht="15.75"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358"/>
      <c r="L9" s="208">
        <v>2023</v>
      </c>
      <c r="M9" s="210" t="s">
        <v>360</v>
      </c>
    </row>
    <row r="10" spans="1:13" ht="15.75" x14ac:dyDescent="0.3">
      <c r="A10" s="173">
        <v>1</v>
      </c>
      <c r="B10" s="195" t="str">
        <f>'ER diciembre 2024'!H9</f>
        <v>FICOHSA SEGUROS</v>
      </c>
      <c r="C10" s="196">
        <f>('ER diciembre 2024'!H37)/1000</f>
        <v>323.65134850000095</v>
      </c>
      <c r="D10" s="197">
        <f>('ER Diciembre 2025'!F37)/1000</f>
        <v>353.51840198999884</v>
      </c>
      <c r="E10" s="280">
        <f t="shared" ref="E10:E21" si="0">IFERROR(F10/C10,0%)</f>
        <v>9.2281566656280428E-2</v>
      </c>
      <c r="F10" s="198">
        <f t="shared" ref="F10:F21" si="1">IFERROR(D10-C10,0)</f>
        <v>29.867053489997886</v>
      </c>
      <c r="G10" s="199">
        <f t="shared" ref="G10:G21" si="2">C10/L10</f>
        <v>7.3403755844082624E-2</v>
      </c>
      <c r="H10" s="199">
        <f t="shared" ref="H10:H21" si="3">IFERROR(D10/M10,0)</f>
        <v>7.2878321773187663E-2</v>
      </c>
      <c r="I10" s="182">
        <f t="shared" ref="I10:I21" si="4">IFERROR(J10/G10,0%)</f>
        <v>-7.1581360497552675E-3</v>
      </c>
      <c r="J10" s="182">
        <f t="shared" ref="J10:J21" si="5">IFERROR(H10-G10,0)</f>
        <v>-5.2543407089496175E-4</v>
      </c>
      <c r="K10" s="358">
        <v>1</v>
      </c>
      <c r="L10" s="211">
        <f>VLOOKUP(B10,'8. Primas y Siniestros Totales'!$B$10:$D$21,2,FALSE)</f>
        <v>4409.1933005100009</v>
      </c>
      <c r="M10" s="206">
        <f>VLOOKUP(B10,'8. Primas y Siniestros Totales'!$B$10:$D$21,3,FALSE)</f>
        <v>4850.8032757700003</v>
      </c>
    </row>
    <row r="11" spans="1:13" s="350" customFormat="1" ht="15.75" x14ac:dyDescent="0.3">
      <c r="A11" s="28">
        <v>2</v>
      </c>
      <c r="B11" s="180" t="str">
        <f>'ER diciembre 2024'!J9</f>
        <v>SEGUROS ATLÁNTIDA</v>
      </c>
      <c r="C11" s="204">
        <f>('ER diciembre 2024'!J37)/1000</f>
        <v>252.42319748000051</v>
      </c>
      <c r="D11" s="471">
        <f>('ER Diciembre 2025'!H37)/1000</f>
        <v>348.66247198000144</v>
      </c>
      <c r="E11" s="280">
        <f t="shared" si="0"/>
        <v>0.38126160931633857</v>
      </c>
      <c r="F11" s="198">
        <f t="shared" si="1"/>
        <v>96.239274500000931</v>
      </c>
      <c r="G11" s="199">
        <f t="shared" si="2"/>
        <v>0.10161404658846963</v>
      </c>
      <c r="H11" s="199">
        <f t="shared" si="3"/>
        <v>0.12733850140245609</v>
      </c>
      <c r="I11" s="182">
        <f t="shared" si="4"/>
        <v>0.25315845276951565</v>
      </c>
      <c r="J11" s="182">
        <f t="shared" si="5"/>
        <v>2.5724454813986455E-2</v>
      </c>
      <c r="K11" s="21">
        <v>2</v>
      </c>
      <c r="L11" s="211">
        <f>VLOOKUP(B11,'8. Primas y Siniestros Totales'!$B$10:$D$21,2,FALSE)</f>
        <v>2484.13684874</v>
      </c>
      <c r="M11" s="211">
        <f>VLOOKUP(B11,'8. Primas y Siniestros Totales'!$B$10:$D$21,3,FALSE)</f>
        <v>2738.0758226300004</v>
      </c>
    </row>
    <row r="12" spans="1:13" ht="15.75" x14ac:dyDescent="0.3">
      <c r="A12" s="202">
        <v>3</v>
      </c>
      <c r="B12" s="203" t="str">
        <f>'ER diciembre 2024'!E9</f>
        <v>SEGUROS DAVIVIENDA</v>
      </c>
      <c r="C12" s="204">
        <f>('ER diciembre 2024'!E37)/1000</f>
        <v>282.0428204000001</v>
      </c>
      <c r="D12" s="204">
        <f>('ER Diciembre 2025'!C37)/1000</f>
        <v>328.36914367999981</v>
      </c>
      <c r="E12" s="281">
        <f t="shared" si="0"/>
        <v>0.16425280109700569</v>
      </c>
      <c r="F12" s="205">
        <f t="shared" si="1"/>
        <v>46.326323279999713</v>
      </c>
      <c r="G12" s="184">
        <f t="shared" si="2"/>
        <v>0.18628000936560926</v>
      </c>
      <c r="H12" s="184">
        <f t="shared" si="3"/>
        <v>0.20209280937764287</v>
      </c>
      <c r="I12" s="158">
        <f t="shared" si="4"/>
        <v>8.4887262277285172E-2</v>
      </c>
      <c r="J12" s="158">
        <f t="shared" si="5"/>
        <v>1.5812800012033612E-2</v>
      </c>
      <c r="K12" s="358">
        <v>3</v>
      </c>
      <c r="L12" s="211">
        <f>VLOOKUP(B12,'8. Primas y Siniestros Totales'!$B$10:$D$21,2,FALSE)</f>
        <v>1514.0799131400001</v>
      </c>
      <c r="M12" s="206">
        <f>VLOOKUP(B12,'8. Primas y Siniestros Totales'!$B$10:$D$21,3,FALSE)</f>
        <v>1624.8432821099998</v>
      </c>
    </row>
    <row r="13" spans="1:13" ht="15.75" x14ac:dyDescent="0.3">
      <c r="A13" s="173">
        <v>4</v>
      </c>
      <c r="B13" s="180" t="str">
        <f>'ER diciembre 2024'!F9</f>
        <v>PALIC</v>
      </c>
      <c r="C13" s="196">
        <f>('ER diciembre 2024'!F37)/1000</f>
        <v>92.324409949999819</v>
      </c>
      <c r="D13" s="196">
        <f>('ER Diciembre 2025'!D37)/1000</f>
        <v>188.31341179999995</v>
      </c>
      <c r="E13" s="280">
        <f t="shared" si="0"/>
        <v>1.0396925569520017</v>
      </c>
      <c r="F13" s="198">
        <f t="shared" si="1"/>
        <v>95.989001850000136</v>
      </c>
      <c r="G13" s="199">
        <f t="shared" si="2"/>
        <v>6.6814539626779634E-2</v>
      </c>
      <c r="H13" s="199">
        <f t="shared" si="3"/>
        <v>0.12986402144847059</v>
      </c>
      <c r="I13" s="182">
        <f t="shared" si="4"/>
        <v>0.94364912448517979</v>
      </c>
      <c r="J13" s="182">
        <f t="shared" si="5"/>
        <v>6.3049481821690956E-2</v>
      </c>
      <c r="K13" s="358">
        <v>4</v>
      </c>
      <c r="L13" s="211">
        <f>VLOOKUP(B13,'8. Primas y Siniestros Totales'!$B$10:$D$21,2,FALSE)</f>
        <v>1381.80118378</v>
      </c>
      <c r="M13" s="206">
        <f>VLOOKUP(B13,'8. Primas y Siniestros Totales'!$B$10:$D$21,3,FALSE)</f>
        <v>1450.0814752200001</v>
      </c>
    </row>
    <row r="14" spans="1:13" ht="15.75" x14ac:dyDescent="0.3">
      <c r="A14" s="173">
        <v>5</v>
      </c>
      <c r="B14" s="180" t="str">
        <f>'ER diciembre 2024'!M9</f>
        <v>SEGUROS DEL PAÍS</v>
      </c>
      <c r="C14" s="196">
        <f>('ER diciembre 2024'!M37)/1000</f>
        <v>158.78215026999999</v>
      </c>
      <c r="D14" s="196">
        <f>('ER Diciembre 2025'!K37)/1000</f>
        <v>182.86542848999977</v>
      </c>
      <c r="E14" s="280">
        <f t="shared" si="0"/>
        <v>0.15167497214924688</v>
      </c>
      <c r="F14" s="198">
        <f t="shared" si="1"/>
        <v>24.083278219999784</v>
      </c>
      <c r="G14" s="199">
        <f t="shared" si="2"/>
        <v>0.12697049761397156</v>
      </c>
      <c r="H14" s="199">
        <f t="shared" si="3"/>
        <v>0.13289099589376757</v>
      </c>
      <c r="I14" s="182">
        <f t="shared" si="4"/>
        <v>4.6628928696460722E-2</v>
      </c>
      <c r="J14" s="182">
        <f t="shared" si="5"/>
        <v>5.920498279796016E-3</v>
      </c>
      <c r="K14" s="358">
        <v>5</v>
      </c>
      <c r="L14" s="211">
        <f>VLOOKUP(B14,'8. Primas y Siniestros Totales'!$B$10:$D$21,2,FALSE)</f>
        <v>1250.5436558399999</v>
      </c>
      <c r="M14" s="206">
        <f>VLOOKUP(B14,'8. Primas y Siniestros Totales'!$B$10:$D$21,3,FALSE)</f>
        <v>1376.0558212399999</v>
      </c>
    </row>
    <row r="15" spans="1:13" ht="15.75" x14ac:dyDescent="0.3">
      <c r="A15" s="173">
        <v>6</v>
      </c>
      <c r="B15" s="180" t="str">
        <f>'ER diciembre 2024'!G9</f>
        <v>MAPFRE SEGUROS</v>
      </c>
      <c r="C15" s="196">
        <f>('ER diciembre 2024'!G37)/1000</f>
        <v>127.71588814000035</v>
      </c>
      <c r="D15" s="204">
        <f>('ER Diciembre 2025'!E37)/1000</f>
        <v>171.34794723000047</v>
      </c>
      <c r="E15" s="280">
        <f t="shared" si="0"/>
        <v>0.34163376010172897</v>
      </c>
      <c r="F15" s="198">
        <f t="shared" si="1"/>
        <v>43.632059090000126</v>
      </c>
      <c r="G15" s="199">
        <f t="shared" si="2"/>
        <v>4.1841899790579985E-2</v>
      </c>
      <c r="H15" s="199">
        <f t="shared" si="3"/>
        <v>5.4787750337492641E-2</v>
      </c>
      <c r="I15" s="182">
        <f t="shared" si="4"/>
        <v>0.30939920538281107</v>
      </c>
      <c r="J15" s="182">
        <f t="shared" si="5"/>
        <v>1.2945850546912656E-2</v>
      </c>
      <c r="K15" s="358">
        <v>6</v>
      </c>
      <c r="L15" s="211">
        <f>VLOOKUP(B15,'8. Primas y Siniestros Totales'!$B$10:$D$21,2,FALSE)</f>
        <v>3052.3443911300001</v>
      </c>
      <c r="M15" s="206">
        <f>VLOOKUP(B15,'8. Primas y Siniestros Totales'!$B$10:$D$21,3,FALSE)</f>
        <v>3127.48645773</v>
      </c>
    </row>
    <row r="16" spans="1:13" ht="15.75" x14ac:dyDescent="0.3">
      <c r="A16" s="173">
        <v>7</v>
      </c>
      <c r="B16" s="180" t="str">
        <f>'ER diciembre 2024'!L9</f>
        <v>SEGUROS EQUIDAD</v>
      </c>
      <c r="C16" s="196">
        <f>('ER diciembre 2024'!L37)/1000</f>
        <v>144.86068059000004</v>
      </c>
      <c r="D16" s="197">
        <f>('ER Diciembre 2025'!J37)/1000</f>
        <v>155.18358812</v>
      </c>
      <c r="E16" s="280">
        <f t="shared" si="0"/>
        <v>7.1260934906256124E-2</v>
      </c>
      <c r="F16" s="198">
        <f t="shared" si="1"/>
        <v>10.322907529999952</v>
      </c>
      <c r="G16" s="199">
        <f t="shared" si="2"/>
        <v>0.1998280372303223</v>
      </c>
      <c r="H16" s="199">
        <f t="shared" si="3"/>
        <v>0.25975535896162999</v>
      </c>
      <c r="I16" s="182">
        <f t="shared" si="4"/>
        <v>0.29989446206807957</v>
      </c>
      <c r="J16" s="182">
        <f t="shared" si="5"/>
        <v>5.9927321731307687E-2</v>
      </c>
      <c r="K16" s="21">
        <v>7</v>
      </c>
      <c r="L16" s="211">
        <f>VLOOKUP(B16,'8. Primas y Siniestros Totales'!$B$10:$D$21,2,FALSE)</f>
        <v>724.92670497000006</v>
      </c>
      <c r="M16" s="211">
        <f>VLOOKUP(B16,'8. Primas y Siniestros Totales'!$B$10:$D$21,3,FALSE)</f>
        <v>597.42208491999997</v>
      </c>
    </row>
    <row r="17" spans="1:13" ht="15.75" x14ac:dyDescent="0.3">
      <c r="A17" s="173">
        <v>8</v>
      </c>
      <c r="B17" s="180" t="str">
        <f>'ER diciembre 2024'!K9</f>
        <v>CREFISA</v>
      </c>
      <c r="C17" s="196">
        <f>('ER diciembre 2024'!K37)/1000</f>
        <v>105.71627479999971</v>
      </c>
      <c r="D17" s="197">
        <f>('ER Diciembre 2025'!I37)/1000</f>
        <v>131.87066172999957</v>
      </c>
      <c r="E17" s="280">
        <f t="shared" si="0"/>
        <v>0.24740170782105472</v>
      </c>
      <c r="F17" s="198">
        <f t="shared" si="1"/>
        <v>26.154386929999859</v>
      </c>
      <c r="G17" s="199">
        <f t="shared" si="2"/>
        <v>7.8430044970464283E-2</v>
      </c>
      <c r="H17" s="199">
        <f t="shared" si="3"/>
        <v>7.9274013716993802E-2</v>
      </c>
      <c r="I17" s="182">
        <f t="shared" si="4"/>
        <v>1.0760783662018131E-2</v>
      </c>
      <c r="J17" s="182">
        <f t="shared" si="5"/>
        <v>8.4396874652951925E-4</v>
      </c>
      <c r="K17" s="358">
        <v>8</v>
      </c>
      <c r="L17" s="211">
        <f>VLOOKUP(B17,'8. Primas y Siniestros Totales'!$B$10:$D$21,2,FALSE)</f>
        <v>1347.90531919</v>
      </c>
      <c r="M17" s="206">
        <f>VLOOKUP(B17,'8. Primas y Siniestros Totales'!$B$10:$D$21,3,FALSE)</f>
        <v>1663.4790588599999</v>
      </c>
    </row>
    <row r="18" spans="1:13" ht="15.75" x14ac:dyDescent="0.3">
      <c r="A18" s="173">
        <v>9</v>
      </c>
      <c r="B18" s="180" t="str">
        <f>'ER diciembre 2024'!O9</f>
        <v>ASEGURADORA RURAL</v>
      </c>
      <c r="C18" s="196">
        <f>('ER diciembre 2024'!O37)/1000</f>
        <v>66.625186220000032</v>
      </c>
      <c r="D18" s="196">
        <f>('ER Diciembre 2025'!M37)/1000</f>
        <v>84.387647389999984</v>
      </c>
      <c r="E18" s="280">
        <f t="shared" si="0"/>
        <v>0.26660279959814787</v>
      </c>
      <c r="F18" s="198">
        <f t="shared" si="1"/>
        <v>17.762461169999952</v>
      </c>
      <c r="G18" s="199">
        <f t="shared" si="2"/>
        <v>0.14209626552100349</v>
      </c>
      <c r="H18" s="199">
        <f t="shared" si="3"/>
        <v>0.15492841391458206</v>
      </c>
      <c r="I18" s="182">
        <f t="shared" si="4"/>
        <v>9.0306021389997979E-2</v>
      </c>
      <c r="J18" s="182">
        <f t="shared" si="5"/>
        <v>1.2832148393578574E-2</v>
      </c>
      <c r="K18" s="21">
        <v>9</v>
      </c>
      <c r="L18" s="211">
        <f>VLOOKUP(B18,'8. Primas y Siniestros Totales'!$B$10:$D$21,2,FALSE)</f>
        <v>468.87359055999997</v>
      </c>
      <c r="M18" s="211">
        <f>VLOOKUP(B18,'8. Primas y Siniestros Totales'!$B$10:$D$21,3,FALSE)</f>
        <v>544.68799659000001</v>
      </c>
    </row>
    <row r="19" spans="1:13" s="350" customFormat="1" ht="15.75" x14ac:dyDescent="0.3">
      <c r="A19" s="28">
        <v>10</v>
      </c>
      <c r="B19" s="180" t="str">
        <f>'ER diciembre 2024'!N9</f>
        <v>SEGUROS LAFISE</v>
      </c>
      <c r="C19" s="196">
        <f>('ER diciembre 2024'!N37)/1000</f>
        <v>43.477011719999794</v>
      </c>
      <c r="D19" s="196">
        <f>('ER Diciembre 2025'!L37)/1000</f>
        <v>78.200318440000174</v>
      </c>
      <c r="E19" s="280">
        <f t="shared" si="0"/>
        <v>0.79865900038450355</v>
      </c>
      <c r="F19" s="198">
        <f t="shared" si="1"/>
        <v>34.72330672000038</v>
      </c>
      <c r="G19" s="199">
        <f t="shared" si="2"/>
        <v>0.10768989862274249</v>
      </c>
      <c r="H19" s="199">
        <f t="shared" si="3"/>
        <v>0.1520228495102911</v>
      </c>
      <c r="I19" s="182">
        <f t="shared" si="4"/>
        <v>0.41167232446615154</v>
      </c>
      <c r="J19" s="182">
        <f t="shared" si="5"/>
        <v>4.4332950887548614E-2</v>
      </c>
      <c r="K19" s="21">
        <v>10</v>
      </c>
      <c r="L19" s="211">
        <f>VLOOKUP(B19,'8. Primas y Siniestros Totales'!$B$10:$D$21,2,FALSE)</f>
        <v>403.72414011000006</v>
      </c>
      <c r="M19" s="211">
        <f>VLOOKUP(B19,'8. Primas y Siniestros Totales'!$B$10:$D$21,3,FALSE)</f>
        <v>514.39845188999993</v>
      </c>
    </row>
    <row r="20" spans="1:13" ht="15.75" x14ac:dyDescent="0.3">
      <c r="A20" s="173">
        <v>11</v>
      </c>
      <c r="B20" s="180" t="str">
        <f>'ER diciembre 2024'!I9</f>
        <v>SEGUROS CONTINENTAL</v>
      </c>
      <c r="C20" s="204">
        <f>('ER diciembre 2024'!I37)/1000</f>
        <v>32.199303240000006</v>
      </c>
      <c r="D20" s="204">
        <f>('ER Diciembre 2025'!G37)/1000</f>
        <v>40.170946000000001</v>
      </c>
      <c r="E20" s="280">
        <f t="shared" si="0"/>
        <v>0.24757190242853197</v>
      </c>
      <c r="F20" s="198">
        <f t="shared" si="1"/>
        <v>7.9716427599999946</v>
      </c>
      <c r="G20" s="199">
        <f t="shared" si="2"/>
        <v>5.9321399804299332E-2</v>
      </c>
      <c r="H20" s="199">
        <f t="shared" si="3"/>
        <v>6.5411323920618214E-2</v>
      </c>
      <c r="I20" s="182">
        <f t="shared" si="4"/>
        <v>0.10265981815010226</v>
      </c>
      <c r="J20" s="182">
        <f t="shared" si="5"/>
        <v>6.0899241163188816E-3</v>
      </c>
      <c r="K20" s="358">
        <v>11</v>
      </c>
      <c r="L20" s="211">
        <f>VLOOKUP(B20,'8. Primas y Siniestros Totales'!$B$10:$D$21,2,FALSE)</f>
        <v>542.79405654999994</v>
      </c>
      <c r="M20" s="206">
        <f>VLOOKUP(B20,'8. Primas y Siniestros Totales'!$B$10:$D$21,3,FALSE)</f>
        <v>614.12831284000004</v>
      </c>
    </row>
    <row r="21" spans="1:13" ht="15.75" x14ac:dyDescent="0.3">
      <c r="A21" s="173">
        <v>12</v>
      </c>
      <c r="B21" s="180" t="str">
        <f>'ER diciembre 2024'!P9</f>
        <v>ASSA CIA. DE SEGUROS</v>
      </c>
      <c r="C21" s="196">
        <f>('ER diciembre 2024'!P37)/1000</f>
        <v>19.116968990000007</v>
      </c>
      <c r="D21" s="196">
        <f>('ER Diciembre 2025'!N37)/1000</f>
        <v>17.360168669999123</v>
      </c>
      <c r="E21" s="280">
        <f t="shared" si="0"/>
        <v>-9.1897430022502946E-2</v>
      </c>
      <c r="F21" s="198">
        <f t="shared" si="1"/>
        <v>-1.7568003200008846</v>
      </c>
      <c r="G21" s="199">
        <f t="shared" si="2"/>
        <v>2.219249695439959E-2</v>
      </c>
      <c r="H21" s="199">
        <f t="shared" si="3"/>
        <v>1.6070163916431283E-2</v>
      </c>
      <c r="I21" s="182">
        <f t="shared" si="4"/>
        <v>-0.27587400600068906</v>
      </c>
      <c r="J21" s="182">
        <f t="shared" si="5"/>
        <v>-6.1223330379683062E-3</v>
      </c>
      <c r="K21" s="358">
        <v>12</v>
      </c>
      <c r="L21" s="211">
        <f>VLOOKUP(B21,'8. Primas y Siniestros Totales'!$B$10:$D$21,2,FALSE)</f>
        <v>861.41586632999997</v>
      </c>
      <c r="M21" s="206">
        <f>VLOOKUP(B21,'8. Primas y Siniestros Totales'!$B$10:$D$21,3,FALSE)</f>
        <v>1080.2732791199999</v>
      </c>
    </row>
    <row r="22" spans="1:13" ht="15.75" x14ac:dyDescent="0.3">
      <c r="A22" s="665" t="s">
        <v>29</v>
      </c>
      <c r="B22" s="665"/>
      <c r="C22" s="189">
        <f>SUM(C10:C21)</f>
        <v>1648.9352403000012</v>
      </c>
      <c r="D22" s="189">
        <f>SUM(D10:D21)</f>
        <v>2080.2501355199988</v>
      </c>
      <c r="E22" s="188">
        <f>IFERROR(F22/C22,0%)</f>
        <v>0.26157176138798865</v>
      </c>
      <c r="F22" s="200">
        <f>IFERROR(D22-C22,0)</f>
        <v>431.31489521999765</v>
      </c>
      <c r="G22" s="201">
        <f>C22/L22</f>
        <v>8.9413218726628566E-2</v>
      </c>
      <c r="H22" s="201">
        <f>IFERROR(D22/M22,0)</f>
        <v>0.10307588037634224</v>
      </c>
      <c r="I22" s="186">
        <f>IFERROR(J22/G22,0%)</f>
        <v>0.15280359933675822</v>
      </c>
      <c r="J22" s="186">
        <f>H22-G22</f>
        <v>1.3662661649713678E-2</v>
      </c>
      <c r="K22" s="358"/>
      <c r="L22" s="209">
        <f>SUM(L10:L21)</f>
        <v>18441.738970850001</v>
      </c>
      <c r="M22" s="209">
        <f>SUM(M10:M21)</f>
        <v>20181.735318919997</v>
      </c>
    </row>
    <row r="23" spans="1:13" x14ac:dyDescent="0.3">
      <c r="D23" s="13"/>
    </row>
    <row r="24" spans="1:13" ht="16.5" x14ac:dyDescent="0.3">
      <c r="A24" s="192"/>
      <c r="B24" s="192"/>
      <c r="C24" s="193"/>
      <c r="E24" s="193"/>
      <c r="J24" s="455"/>
    </row>
    <row r="25" spans="1:13" ht="16.5" x14ac:dyDescent="0.3">
      <c r="A25" s="278"/>
      <c r="B25" s="278"/>
      <c r="C25" s="278"/>
      <c r="E25" s="279"/>
    </row>
  </sheetData>
  <sortState xmlns:xlrd2="http://schemas.microsoft.com/office/spreadsheetml/2017/richdata2" ref="B10:J21">
    <sortCondition descending="1" ref="D10:D21"/>
  </sortState>
  <mergeCells count="6">
    <mergeCell ref="G8:H8"/>
    <mergeCell ref="I8:J8"/>
    <mergeCell ref="A22:B22"/>
    <mergeCell ref="A8:A9"/>
    <mergeCell ref="C8:D8"/>
    <mergeCell ref="E8:F8"/>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1"/>
  <dimension ref="A1:N24"/>
  <sheetViews>
    <sheetView showGridLines="0" topLeftCell="A7" zoomScaleNormal="100" workbookViewId="0">
      <selection activeCell="E25" sqref="E25"/>
    </sheetView>
  </sheetViews>
  <sheetFormatPr baseColWidth="10" defaultRowHeight="15" x14ac:dyDescent="0.3"/>
  <cols>
    <col min="1" max="1" width="4.85546875" customWidth="1"/>
    <col min="2" max="2" width="23.28515625" customWidth="1"/>
    <col min="4" max="4" width="10.42578125" customWidth="1"/>
    <col min="7" max="7" width="13.140625" customWidth="1"/>
    <col min="8" max="8" width="15.140625" customWidth="1"/>
    <col min="9" max="12" width="11.42578125" customWidth="1"/>
    <col min="13" max="14" width="11.42578125" hidden="1" customWidth="1"/>
  </cols>
  <sheetData>
    <row r="1" spans="1:14" s="502" customFormat="1" x14ac:dyDescent="0.25">
      <c r="A1" s="494" t="s">
        <v>0</v>
      </c>
      <c r="B1" s="505"/>
      <c r="C1" s="505"/>
      <c r="D1" s="505"/>
      <c r="E1" s="505"/>
      <c r="F1" s="505"/>
      <c r="G1" s="505"/>
      <c r="H1" s="509"/>
    </row>
    <row r="2" spans="1:14" s="502" customFormat="1" x14ac:dyDescent="0.25">
      <c r="A2" s="494" t="s">
        <v>42</v>
      </c>
      <c r="B2" s="505"/>
      <c r="C2" s="505"/>
      <c r="D2" s="505"/>
      <c r="E2" s="505"/>
      <c r="F2" s="505"/>
      <c r="G2" s="505"/>
      <c r="H2" s="505"/>
    </row>
    <row r="3" spans="1:14" s="502" customFormat="1" x14ac:dyDescent="0.25">
      <c r="A3" s="494" t="str">
        <f>'1. Ramos Totales'!A3</f>
        <v>Al 31 de diciembre de 2025</v>
      </c>
      <c r="B3" s="505"/>
      <c r="C3" s="505"/>
      <c r="D3" s="505"/>
      <c r="E3" s="505"/>
      <c r="F3" s="505"/>
      <c r="G3" s="505"/>
      <c r="H3" s="505"/>
    </row>
    <row r="4" spans="1:14" s="502" customFormat="1" x14ac:dyDescent="0.25">
      <c r="A4" s="494" t="s">
        <v>2</v>
      </c>
      <c r="B4" s="505"/>
      <c r="C4" s="505"/>
      <c r="D4" s="505"/>
      <c r="E4" s="505"/>
      <c r="F4" s="505"/>
      <c r="G4" s="505"/>
      <c r="H4" s="505"/>
    </row>
    <row r="5" spans="1:14" s="502" customFormat="1" x14ac:dyDescent="0.25">
      <c r="A5" s="503"/>
      <c r="B5" s="501"/>
      <c r="C5" s="501"/>
      <c r="D5" s="501"/>
      <c r="E5" s="501"/>
      <c r="F5" s="501"/>
      <c r="G5" s="501"/>
      <c r="H5" s="501"/>
    </row>
    <row r="6" spans="1:14" s="502" customFormat="1" x14ac:dyDescent="0.25">
      <c r="A6" s="502" t="s">
        <v>48</v>
      </c>
      <c r="C6" s="501"/>
      <c r="D6" s="501"/>
      <c r="E6" s="501"/>
      <c r="F6" s="501"/>
      <c r="G6" s="501"/>
      <c r="H6" s="501"/>
    </row>
    <row r="7" spans="1:14" x14ac:dyDescent="0.3">
      <c r="A7" s="111"/>
      <c r="B7" s="110"/>
      <c r="C7" s="110"/>
      <c r="D7" s="110"/>
      <c r="E7" s="110"/>
      <c r="F7" s="110"/>
      <c r="G7" s="110"/>
      <c r="H7" s="110"/>
      <c r="I7" s="108"/>
      <c r="J7" s="108"/>
      <c r="K7" s="108"/>
      <c r="L7" s="108"/>
      <c r="M7" s="108"/>
      <c r="N7" s="108"/>
    </row>
    <row r="8" spans="1:14" ht="15.75" x14ac:dyDescent="0.3">
      <c r="A8" s="667" t="s">
        <v>25</v>
      </c>
      <c r="B8" s="169" t="s">
        <v>26</v>
      </c>
      <c r="C8" s="671" t="s">
        <v>44</v>
      </c>
      <c r="D8" s="665"/>
      <c r="E8" s="665" t="s">
        <v>45</v>
      </c>
      <c r="F8" s="665"/>
      <c r="G8" s="672" t="s">
        <v>49</v>
      </c>
      <c r="H8" s="672"/>
      <c r="I8" s="672" t="s">
        <v>45</v>
      </c>
      <c r="J8" s="672"/>
      <c r="K8" s="358"/>
      <c r="L8" s="358"/>
      <c r="M8" s="149" t="s">
        <v>5</v>
      </c>
      <c r="N8" s="149" t="s">
        <v>5</v>
      </c>
    </row>
    <row r="9" spans="1:14" ht="15.75"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358"/>
      <c r="L9" s="358"/>
      <c r="M9" s="208">
        <v>2023</v>
      </c>
      <c r="N9" s="210" t="s">
        <v>360</v>
      </c>
    </row>
    <row r="10" spans="1:14" s="330" customFormat="1" ht="15.75" x14ac:dyDescent="0.3">
      <c r="A10" s="28">
        <v>1</v>
      </c>
      <c r="B10" s="195" t="str">
        <f>'ER diciembre 2024'!H9</f>
        <v>FICOHSA SEGUROS</v>
      </c>
      <c r="C10" s="196">
        <f>('ER diciembre 2024'!H18)/1000</f>
        <v>172.84269984000002</v>
      </c>
      <c r="D10" s="197">
        <f>('ER Diciembre 2025'!F18)/1000</f>
        <v>276.34683774000001</v>
      </c>
      <c r="E10" s="182">
        <f t="shared" ref="E10:E21" si="0">IFERROR(D10/C10-1,0)</f>
        <v>0.59883430423045625</v>
      </c>
      <c r="F10" s="198">
        <f t="shared" ref="F10:F21" si="1">D10-C10</f>
        <v>103.50413789999999</v>
      </c>
      <c r="G10" s="182">
        <f t="shared" ref="G10:G21" si="2">C10/M10</f>
        <v>3.920052673127479E-2</v>
      </c>
      <c r="H10" s="207">
        <f t="shared" ref="H10:H21" si="3">IFERROR(D10/N10,0)</f>
        <v>5.6969293955985802E-2</v>
      </c>
      <c r="I10" s="182">
        <f t="shared" ref="I10:I21" si="4">IFERROR(H10/G10-1,0)</f>
        <v>0.45327878746422079</v>
      </c>
      <c r="J10" s="182">
        <f t="shared" ref="J10:J21" si="5">H10-G10</f>
        <v>1.7768767224711011E-2</v>
      </c>
      <c r="K10" s="332"/>
      <c r="L10" s="332"/>
      <c r="M10" s="211">
        <f>VLOOKUP(B10,'8. Primas y Siniestros Totales'!$B$10:$D$21,2,FALSE)</f>
        <v>4409.1933005100009</v>
      </c>
      <c r="N10" s="211">
        <f>VLOOKUP(B10,'8. Primas y Siniestros Totales'!$B$10:$D$21,3,FALSE)</f>
        <v>4850.8032757700003</v>
      </c>
    </row>
    <row r="11" spans="1:14" s="349" customFormat="1" ht="15.75" x14ac:dyDescent="0.3">
      <c r="A11" s="28">
        <v>2</v>
      </c>
      <c r="B11" s="180" t="str">
        <f>'ER diciembre 2024'!J9</f>
        <v>SEGUROS ATLÁNTIDA</v>
      </c>
      <c r="C11" s="196">
        <f>('ER diciembre 2024'!J18)/1000</f>
        <v>182.02898628</v>
      </c>
      <c r="D11" s="197">
        <f>('ER Diciembre 2025'!H18)/1000</f>
        <v>250.83050366999998</v>
      </c>
      <c r="E11" s="182">
        <f t="shared" si="0"/>
        <v>0.37797011781501855</v>
      </c>
      <c r="F11" s="198">
        <f t="shared" si="1"/>
        <v>68.801517389999987</v>
      </c>
      <c r="G11" s="182">
        <f t="shared" si="2"/>
        <v>7.3276553331725044E-2</v>
      </c>
      <c r="H11" s="199">
        <f t="shared" si="3"/>
        <v>9.1608311792136604E-2</v>
      </c>
      <c r="I11" s="182">
        <f t="shared" si="4"/>
        <v>0.25017222599735511</v>
      </c>
      <c r="J11" s="182">
        <f t="shared" si="5"/>
        <v>1.833175846041156E-2</v>
      </c>
      <c r="K11" s="23"/>
      <c r="L11" s="23"/>
      <c r="M11" s="211">
        <f>VLOOKUP(B11,'8. Primas y Siniestros Totales'!$B$10:$D$21,2,FALSE)</f>
        <v>2484.13684874</v>
      </c>
      <c r="N11" s="211">
        <f>VLOOKUP(B11,'8. Primas y Siniestros Totales'!$B$10:$D$21,3,FALSE)</f>
        <v>2738.0758226300004</v>
      </c>
    </row>
    <row r="12" spans="1:14" s="4" customFormat="1" ht="15.75" x14ac:dyDescent="0.3">
      <c r="A12" s="202">
        <v>3</v>
      </c>
      <c r="B12" s="203" t="str">
        <f>'ER diciembre 2024'!E9</f>
        <v>SEGUROS DAVIVIENDA</v>
      </c>
      <c r="C12" s="204">
        <f>('ER diciembre 2024'!E18)/1000</f>
        <v>171.25785547000001</v>
      </c>
      <c r="D12" s="204">
        <f>('ER Diciembre 2025'!C18)/1000</f>
        <v>230.25560188</v>
      </c>
      <c r="E12" s="158">
        <f t="shared" si="0"/>
        <v>0.34449658526954341</v>
      </c>
      <c r="F12" s="205">
        <f t="shared" si="1"/>
        <v>58.997746409999991</v>
      </c>
      <c r="G12" s="182">
        <f t="shared" si="2"/>
        <v>0.11311018261568111</v>
      </c>
      <c r="H12" s="207">
        <f t="shared" si="3"/>
        <v>0.14170942171173156</v>
      </c>
      <c r="I12" s="158">
        <f t="shared" si="4"/>
        <v>0.25284407145927101</v>
      </c>
      <c r="J12" s="158">
        <f t="shared" si="5"/>
        <v>2.8599239096050458E-2</v>
      </c>
      <c r="K12" s="367"/>
      <c r="L12" s="367"/>
      <c r="M12" s="206">
        <f>VLOOKUP(B12,'8. Primas y Siniestros Totales'!$B$10:$D$21,2,FALSE)</f>
        <v>1514.0799131400001</v>
      </c>
      <c r="N12" s="206">
        <f>VLOOKUP(B12,'8. Primas y Siniestros Totales'!$B$10:$D$21,3,FALSE)</f>
        <v>1624.8432821099998</v>
      </c>
    </row>
    <row r="13" spans="1:14" s="4" customFormat="1" ht="15.75" x14ac:dyDescent="0.3">
      <c r="A13" s="173">
        <v>4</v>
      </c>
      <c r="B13" s="180" t="str">
        <f>'ER diciembre 2024'!G9</f>
        <v>MAPFRE SEGUROS</v>
      </c>
      <c r="C13" s="196">
        <f>('ER diciembre 2024'!G18)/1000</f>
        <v>136.76149078999998</v>
      </c>
      <c r="D13" s="196">
        <f>('ER Diciembre 2025'!E18)/1000</f>
        <v>198.09011009</v>
      </c>
      <c r="E13" s="182">
        <f t="shared" si="0"/>
        <v>0.44843485505851444</v>
      </c>
      <c r="F13" s="198">
        <f t="shared" si="1"/>
        <v>61.328619300000014</v>
      </c>
      <c r="G13" s="182">
        <f t="shared" si="2"/>
        <v>4.4805393253600022E-2</v>
      </c>
      <c r="H13" s="207">
        <f t="shared" si="3"/>
        <v>6.3338438956432208E-2</v>
      </c>
      <c r="I13" s="182">
        <f t="shared" si="4"/>
        <v>0.41363426045464058</v>
      </c>
      <c r="J13" s="182">
        <f t="shared" si="5"/>
        <v>1.8533045702832186E-2</v>
      </c>
      <c r="K13" s="367"/>
      <c r="L13" s="367"/>
      <c r="M13" s="206">
        <f>VLOOKUP(B13,'8. Primas y Siniestros Totales'!$B$10:$D$21,2,FALSE)</f>
        <v>3052.3443911300001</v>
      </c>
      <c r="N13" s="206">
        <f>VLOOKUP(B13,'8. Primas y Siniestros Totales'!$B$10:$D$21,3,FALSE)</f>
        <v>3127.48645773</v>
      </c>
    </row>
    <row r="14" spans="1:14" s="4" customFormat="1" ht="15.75" x14ac:dyDescent="0.3">
      <c r="A14" s="173">
        <v>5</v>
      </c>
      <c r="B14" s="180" t="str">
        <f>'ER diciembre 2024'!F9</f>
        <v>PALIC</v>
      </c>
      <c r="C14" s="196">
        <f>('ER diciembre 2024'!F18)/1000</f>
        <v>113.46662015</v>
      </c>
      <c r="D14" s="196">
        <f>('ER Diciembre 2025'!D18)/1000</f>
        <v>183.84355442</v>
      </c>
      <c r="E14" s="182">
        <f t="shared" si="0"/>
        <v>0.62024350577256548</v>
      </c>
      <c r="F14" s="198">
        <f t="shared" si="1"/>
        <v>70.376934270000007</v>
      </c>
      <c r="G14" s="182">
        <f t="shared" si="2"/>
        <v>8.2115011538494459E-2</v>
      </c>
      <c r="H14" s="207">
        <f t="shared" si="3"/>
        <v>0.12678153439075418</v>
      </c>
      <c r="I14" s="182">
        <f t="shared" si="4"/>
        <v>0.54395075900733003</v>
      </c>
      <c r="J14" s="182">
        <f t="shared" si="5"/>
        <v>4.4666522852259721E-2</v>
      </c>
      <c r="K14" s="367"/>
      <c r="L14" s="367"/>
      <c r="M14" s="206">
        <f>VLOOKUP(B14,'8. Primas y Siniestros Totales'!$B$10:$D$21,2,FALSE)</f>
        <v>1381.80118378</v>
      </c>
      <c r="N14" s="206">
        <f>VLOOKUP(B14,'8. Primas y Siniestros Totales'!$B$10:$D$21,3,FALSE)</f>
        <v>1450.0814752200001</v>
      </c>
    </row>
    <row r="15" spans="1:14" s="4" customFormat="1" ht="15.75" x14ac:dyDescent="0.3">
      <c r="A15" s="173">
        <v>6</v>
      </c>
      <c r="B15" s="180" t="str">
        <f>'ER diciembre 2024'!K9</f>
        <v>CREFISA</v>
      </c>
      <c r="C15" s="196">
        <f>('ER diciembre 2024'!K18)/1000</f>
        <v>78.237899709999994</v>
      </c>
      <c r="D15" s="197">
        <f>('ER Diciembre 2025'!I18)/1000</f>
        <v>128.95438165000002</v>
      </c>
      <c r="E15" s="182">
        <f t="shared" si="0"/>
        <v>0.64823419503831192</v>
      </c>
      <c r="F15" s="198">
        <f t="shared" si="1"/>
        <v>50.716481940000023</v>
      </c>
      <c r="G15" s="182">
        <f t="shared" si="2"/>
        <v>5.8044061846284342E-2</v>
      </c>
      <c r="H15" s="207">
        <f t="shared" si="3"/>
        <v>7.7520892711672507E-2</v>
      </c>
      <c r="I15" s="182">
        <f t="shared" si="4"/>
        <v>0.33555251382937046</v>
      </c>
      <c r="J15" s="182">
        <f t="shared" si="5"/>
        <v>1.9476830865388164E-2</v>
      </c>
      <c r="K15" s="367"/>
      <c r="L15" s="367"/>
      <c r="M15" s="206">
        <f>VLOOKUP(B15,'8. Primas y Siniestros Totales'!$B$10:$D$21,2,FALSE)</f>
        <v>1347.90531919</v>
      </c>
      <c r="N15" s="206">
        <f>VLOOKUP(B15,'8. Primas y Siniestros Totales'!$B$10:$D$21,3,FALSE)</f>
        <v>1663.4790588599999</v>
      </c>
    </row>
    <row r="16" spans="1:14" s="4" customFormat="1" ht="15.75" x14ac:dyDescent="0.3">
      <c r="A16" s="173">
        <v>7</v>
      </c>
      <c r="B16" s="180" t="str">
        <f>'ER diciembre 2024'!M9</f>
        <v>SEGUROS DEL PAÍS</v>
      </c>
      <c r="C16" s="196">
        <f>('ER diciembre 2024'!M18)/1000</f>
        <v>83.283012920000004</v>
      </c>
      <c r="D16" s="196">
        <f>('ER Diciembre 2025'!K18)/1000</f>
        <v>119.8407713</v>
      </c>
      <c r="E16" s="182">
        <f t="shared" si="0"/>
        <v>0.43895816323451986</v>
      </c>
      <c r="F16" s="198">
        <f t="shared" si="1"/>
        <v>36.557758379999996</v>
      </c>
      <c r="G16" s="182">
        <f t="shared" si="2"/>
        <v>6.6597445463875596E-2</v>
      </c>
      <c r="H16" s="207">
        <f t="shared" si="3"/>
        <v>8.709005074518586E-2</v>
      </c>
      <c r="I16" s="182">
        <f t="shared" si="4"/>
        <v>0.30770857858843925</v>
      </c>
      <c r="J16" s="182">
        <f t="shared" si="5"/>
        <v>2.0492605281310264E-2</v>
      </c>
      <c r="K16" s="367"/>
      <c r="L16" s="367"/>
      <c r="M16" s="206">
        <f>VLOOKUP(B16,'8. Primas y Siniestros Totales'!$B$10:$D$21,2,FALSE)</f>
        <v>1250.5436558399999</v>
      </c>
      <c r="N16" s="206">
        <f>VLOOKUP(B16,'8. Primas y Siniestros Totales'!$B$10:$D$21,3,FALSE)</f>
        <v>1376.0558212399999</v>
      </c>
    </row>
    <row r="17" spans="1:14" s="4" customFormat="1" ht="15.75" x14ac:dyDescent="0.3">
      <c r="A17" s="173">
        <v>8</v>
      </c>
      <c r="B17" s="180" t="str">
        <f>'ER diciembre 2024'!L9</f>
        <v>SEGUROS EQUIDAD</v>
      </c>
      <c r="C17" s="196">
        <f>('ER diciembre 2024'!L18)/1000</f>
        <v>74.709397479999993</v>
      </c>
      <c r="D17" s="197">
        <f>('ER Diciembre 2025'!J18)/1000</f>
        <v>116.14658739000001</v>
      </c>
      <c r="E17" s="182">
        <f t="shared" si="0"/>
        <v>0.55464494839612266</v>
      </c>
      <c r="F17" s="198">
        <f t="shared" si="1"/>
        <v>41.437189910000015</v>
      </c>
      <c r="G17" s="182">
        <f t="shared" si="2"/>
        <v>0.10305786359890234</v>
      </c>
      <c r="H17" s="207">
        <f t="shared" si="3"/>
        <v>0.19441294575769333</v>
      </c>
      <c r="I17" s="182">
        <f t="shared" si="4"/>
        <v>0.88644455618002937</v>
      </c>
      <c r="J17" s="182">
        <f t="shared" si="5"/>
        <v>9.1355082158790984E-2</v>
      </c>
      <c r="K17" s="367"/>
      <c r="L17" s="367"/>
      <c r="M17" s="206">
        <f>VLOOKUP(B17,'8. Primas y Siniestros Totales'!$B$10:$D$21,2,FALSE)</f>
        <v>724.92670497000006</v>
      </c>
      <c r="N17" s="206">
        <f>VLOOKUP(B17,'8. Primas y Siniestros Totales'!$B$10:$D$21,3,FALSE)</f>
        <v>597.42208491999997</v>
      </c>
    </row>
    <row r="18" spans="1:14" s="4" customFormat="1" ht="15.75" x14ac:dyDescent="0.3">
      <c r="A18" s="173">
        <v>9</v>
      </c>
      <c r="B18" s="180" t="str">
        <f>'ER diciembre 2024'!I9</f>
        <v>SEGUROS CONTINENTAL</v>
      </c>
      <c r="C18" s="196">
        <f>('ER diciembre 2024'!I18)/1000</f>
        <v>52.605860609999993</v>
      </c>
      <c r="D18" s="196">
        <f>('ER Diciembre 2025'!G18)/1000</f>
        <v>114.46578135999999</v>
      </c>
      <c r="E18" s="182">
        <f t="shared" si="0"/>
        <v>1.1759131023177458</v>
      </c>
      <c r="F18" s="198">
        <f t="shared" si="1"/>
        <v>61.859920750000001</v>
      </c>
      <c r="G18" s="182">
        <f t="shared" si="2"/>
        <v>9.6916795560295824E-2</v>
      </c>
      <c r="H18" s="207">
        <f t="shared" si="3"/>
        <v>0.1863874030341636</v>
      </c>
      <c r="I18" s="182">
        <f t="shared" si="4"/>
        <v>0.92316927067821308</v>
      </c>
      <c r="J18" s="182">
        <f t="shared" si="5"/>
        <v>8.9470607473867772E-2</v>
      </c>
      <c r="K18" s="367"/>
      <c r="L18" s="367"/>
      <c r="M18" s="206">
        <f>VLOOKUP(B18,'8. Primas y Siniestros Totales'!$B$10:$D$21,2,FALSE)</f>
        <v>542.79405654999994</v>
      </c>
      <c r="N18" s="206">
        <f>VLOOKUP(B18,'8. Primas y Siniestros Totales'!$B$10:$D$21,3,FALSE)</f>
        <v>614.12831284000004</v>
      </c>
    </row>
    <row r="19" spans="1:14" s="349" customFormat="1" ht="15.75" x14ac:dyDescent="0.3">
      <c r="A19" s="28">
        <v>10</v>
      </c>
      <c r="B19" s="180" t="str">
        <f>'ER diciembre 2024'!O9</f>
        <v>ASEGURADORA RURAL</v>
      </c>
      <c r="C19" s="196">
        <f>('ER diciembre 2024'!O18)/1000</f>
        <v>49.193615460000004</v>
      </c>
      <c r="D19" s="196">
        <f>('ER Diciembre 2025'!M18)/1000</f>
        <v>83.93148029000001</v>
      </c>
      <c r="E19" s="182">
        <f t="shared" si="0"/>
        <v>0.70614579768477959</v>
      </c>
      <c r="F19" s="198">
        <f t="shared" si="1"/>
        <v>34.737864830000007</v>
      </c>
      <c r="G19" s="182">
        <f t="shared" si="2"/>
        <v>0.10491871679367892</v>
      </c>
      <c r="H19" s="199">
        <f t="shared" si="3"/>
        <v>0.15409093061615106</v>
      </c>
      <c r="I19" s="182">
        <f t="shared" si="4"/>
        <v>0.46866960753216746</v>
      </c>
      <c r="J19" s="182">
        <f t="shared" si="5"/>
        <v>4.9172213822472138E-2</v>
      </c>
      <c r="K19" s="23"/>
      <c r="L19" s="23"/>
      <c r="M19" s="211">
        <f>VLOOKUP(B19,'8. Primas y Siniestros Totales'!$B$10:$D$21,2,FALSE)</f>
        <v>468.87359055999997</v>
      </c>
      <c r="N19" s="211">
        <f>VLOOKUP(B19,'8. Primas y Siniestros Totales'!$B$10:$D$21,3,FALSE)</f>
        <v>544.68799659000001</v>
      </c>
    </row>
    <row r="20" spans="1:14" s="4" customFormat="1" ht="15.75" x14ac:dyDescent="0.3">
      <c r="A20" s="173">
        <v>11</v>
      </c>
      <c r="B20" s="180" t="str">
        <f>'ER diciembre 2024'!N9</f>
        <v>SEGUROS LAFISE</v>
      </c>
      <c r="C20" s="196">
        <f>('ER diciembre 2024'!N18)/1000</f>
        <v>42.891941150000001</v>
      </c>
      <c r="D20" s="196">
        <f>('ER Diciembre 2025'!L18)/1000</f>
        <v>69.97268618999999</v>
      </c>
      <c r="E20" s="182">
        <f t="shared" si="0"/>
        <v>0.63137140250412727</v>
      </c>
      <c r="F20" s="198">
        <f t="shared" si="1"/>
        <v>27.080745039999989</v>
      </c>
      <c r="G20" s="182">
        <f t="shared" si="2"/>
        <v>0.10624071460852828</v>
      </c>
      <c r="H20" s="207">
        <f t="shared" si="3"/>
        <v>0.13602818191405269</v>
      </c>
      <c r="I20" s="182">
        <f t="shared" si="4"/>
        <v>0.28037713615993765</v>
      </c>
      <c r="J20" s="182">
        <f t="shared" si="5"/>
        <v>2.9787467305524409E-2</v>
      </c>
      <c r="K20" s="367"/>
      <c r="L20" s="367"/>
      <c r="M20" s="206">
        <f>VLOOKUP(B20,'8. Primas y Siniestros Totales'!$B$10:$D$21,2,FALSE)</f>
        <v>403.72414011000006</v>
      </c>
      <c r="N20" s="206">
        <f>VLOOKUP(B20,'8. Primas y Siniestros Totales'!$B$10:$D$21,3,FALSE)</f>
        <v>514.39845188999993</v>
      </c>
    </row>
    <row r="21" spans="1:14" s="4" customFormat="1" ht="15" customHeight="1" x14ac:dyDescent="0.3">
      <c r="A21" s="173">
        <v>12</v>
      </c>
      <c r="B21" s="180" t="str">
        <f>'ER diciembre 2024'!P9</f>
        <v>ASSA CIA. DE SEGUROS</v>
      </c>
      <c r="C21" s="196">
        <f>('ER diciembre 2024'!P18)/1000</f>
        <v>20.476814789999999</v>
      </c>
      <c r="D21" s="196">
        <f>('ER Diciembre 2025'!N18)/1000</f>
        <v>29.74884029</v>
      </c>
      <c r="E21" s="182">
        <f t="shared" si="0"/>
        <v>0.45280604405955094</v>
      </c>
      <c r="F21" s="198">
        <f t="shared" si="1"/>
        <v>9.2720255000000016</v>
      </c>
      <c r="G21" s="182">
        <f t="shared" si="2"/>
        <v>2.3771114034896974E-2</v>
      </c>
      <c r="H21" s="207">
        <f t="shared" si="3"/>
        <v>2.7538254314902307E-2</v>
      </c>
      <c r="I21" s="182">
        <f t="shared" si="4"/>
        <v>0.1584755461807561</v>
      </c>
      <c r="J21" s="182">
        <f t="shared" si="5"/>
        <v>3.7671402800053336E-3</v>
      </c>
      <c r="K21" s="367"/>
      <c r="L21" s="367"/>
      <c r="M21" s="206">
        <f>VLOOKUP(B21,'8. Primas y Siniestros Totales'!$B$10:$D$21,2,FALSE)</f>
        <v>861.41586632999997</v>
      </c>
      <c r="N21" s="206">
        <f>VLOOKUP(B21,'8. Primas y Siniestros Totales'!$B$10:$D$21,3,FALSE)</f>
        <v>1080.2732791199999</v>
      </c>
    </row>
    <row r="22" spans="1:14" ht="15.75" x14ac:dyDescent="0.3">
      <c r="A22" s="665" t="s">
        <v>29</v>
      </c>
      <c r="B22" s="665"/>
      <c r="C22" s="189">
        <f>SUM(C10:C21)</f>
        <v>1177.7561946500002</v>
      </c>
      <c r="D22" s="189">
        <f>SUM(D10:D21)</f>
        <v>1802.4271362699999</v>
      </c>
      <c r="E22" s="188">
        <f>IFERROR(D22/C22-1,0)</f>
        <v>0.53039070773525943</v>
      </c>
      <c r="F22" s="200">
        <f>D22-C22</f>
        <v>624.67094161999967</v>
      </c>
      <c r="G22" s="201">
        <f>IFERROR(C22/M22,0)</f>
        <v>6.3863619179927916E-2</v>
      </c>
      <c r="H22" s="201">
        <f>IFERROR(D22/N22,0)</f>
        <v>8.9309819388041348E-2</v>
      </c>
      <c r="I22" s="186">
        <f>IFERROR(H22/G22-1,0)</f>
        <v>0.39844594676699874</v>
      </c>
      <c r="J22" s="212">
        <f>H22-G22</f>
        <v>2.5446200208113431E-2</v>
      </c>
      <c r="K22" s="358"/>
      <c r="L22" s="358"/>
      <c r="M22" s="209">
        <f>SUM(M10:M21)</f>
        <v>18441.738970850001</v>
      </c>
      <c r="N22" s="209">
        <f>SUM(N10:N21)</f>
        <v>20181.735318919997</v>
      </c>
    </row>
    <row r="24" spans="1:14" x14ac:dyDescent="0.3">
      <c r="D24" s="228"/>
    </row>
  </sheetData>
  <sortState xmlns:xlrd2="http://schemas.microsoft.com/office/spreadsheetml/2017/richdata2" ref="B10:J21">
    <sortCondition descending="1" ref="D10:D21"/>
  </sortState>
  <mergeCells count="6">
    <mergeCell ref="A22:B22"/>
    <mergeCell ref="G8:H8"/>
    <mergeCell ref="I8:J8"/>
    <mergeCell ref="E8:F8"/>
    <mergeCell ref="A8:A9"/>
    <mergeCell ref="C8:D8"/>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2"/>
  <dimension ref="A1:N23"/>
  <sheetViews>
    <sheetView showGridLines="0" topLeftCell="A8" zoomScaleNormal="100" workbookViewId="0">
      <selection activeCell="K18" sqref="K18"/>
    </sheetView>
  </sheetViews>
  <sheetFormatPr baseColWidth="10" defaultColWidth="11.42578125" defaultRowHeight="15" x14ac:dyDescent="0.25"/>
  <cols>
    <col min="1" max="1" width="4.85546875" style="44" customWidth="1"/>
    <col min="2" max="2" width="22.7109375" style="44" bestFit="1" customWidth="1"/>
    <col min="3" max="3" width="13" style="44" customWidth="1"/>
    <col min="4" max="4" width="13.85546875" style="44" customWidth="1"/>
    <col min="5" max="5" width="11.42578125" style="44"/>
    <col min="6" max="6" width="12.42578125" style="44" customWidth="1"/>
    <col min="7" max="8" width="15.42578125" style="44" customWidth="1"/>
    <col min="9" max="10" width="13" style="44" customWidth="1"/>
    <col min="11" max="11" width="28" style="44" customWidth="1"/>
    <col min="12" max="12" width="0.42578125" style="44" hidden="1" customWidth="1"/>
    <col min="13" max="13" width="0.5703125" style="44" hidden="1" customWidth="1"/>
    <col min="14" max="14" width="0.7109375" style="44" hidden="1" customWidth="1"/>
    <col min="15" max="16384" width="11.42578125" style="44"/>
  </cols>
  <sheetData>
    <row r="1" spans="1:14" s="511" customFormat="1" x14ac:dyDescent="0.25">
      <c r="A1" s="515" t="s">
        <v>0</v>
      </c>
      <c r="B1" s="516"/>
      <c r="C1" s="516"/>
      <c r="D1" s="516"/>
      <c r="E1" s="516"/>
      <c r="F1" s="516"/>
      <c r="G1" s="510"/>
      <c r="H1" s="510"/>
      <c r="I1" s="510"/>
      <c r="J1" s="510"/>
    </row>
    <row r="2" spans="1:14" s="511" customFormat="1" x14ac:dyDescent="0.25">
      <c r="A2" s="515" t="s">
        <v>42</v>
      </c>
      <c r="B2" s="516"/>
      <c r="C2" s="516"/>
      <c r="D2" s="516"/>
      <c r="E2" s="516"/>
      <c r="F2" s="516"/>
      <c r="G2" s="516"/>
      <c r="H2" s="516"/>
      <c r="I2" s="516"/>
      <c r="J2" s="516"/>
      <c r="K2" s="516"/>
    </row>
    <row r="3" spans="1:14" s="511" customFormat="1" x14ac:dyDescent="0.25">
      <c r="A3" s="494" t="str">
        <f>'1. Ramos Totales'!A3</f>
        <v>Al 31 de diciembre de 2025</v>
      </c>
      <c r="B3" s="516"/>
      <c r="C3" s="516"/>
      <c r="D3" s="516"/>
      <c r="E3" s="516"/>
      <c r="F3" s="517"/>
      <c r="G3" s="516"/>
      <c r="H3" s="516"/>
      <c r="I3" s="516"/>
      <c r="J3" s="516"/>
      <c r="K3" s="516"/>
    </row>
    <row r="4" spans="1:14" s="511" customFormat="1" x14ac:dyDescent="0.25">
      <c r="A4" s="515" t="s">
        <v>2</v>
      </c>
      <c r="B4" s="516"/>
      <c r="C4" s="516"/>
      <c r="D4" s="516"/>
      <c r="E4" s="516"/>
      <c r="F4" s="516"/>
      <c r="G4" s="516"/>
      <c r="H4" s="516"/>
      <c r="I4" s="516"/>
      <c r="J4" s="516"/>
      <c r="K4" s="516"/>
    </row>
    <row r="5" spans="1:14" s="511" customFormat="1" ht="7.5" customHeight="1" x14ac:dyDescent="0.25">
      <c r="A5" s="518"/>
      <c r="B5" s="519"/>
      <c r="C5" s="519"/>
      <c r="D5" s="519"/>
      <c r="E5" s="519"/>
      <c r="F5" s="519"/>
      <c r="G5" s="519"/>
      <c r="H5" s="519"/>
      <c r="I5" s="519"/>
      <c r="J5" s="519"/>
      <c r="K5" s="519"/>
    </row>
    <row r="6" spans="1:14" s="511" customFormat="1" x14ac:dyDescent="0.25">
      <c r="A6" s="511" t="s">
        <v>50</v>
      </c>
      <c r="C6" s="519"/>
      <c r="D6" s="519"/>
      <c r="E6" s="519"/>
      <c r="F6" s="519"/>
      <c r="G6" s="519"/>
      <c r="H6" s="519"/>
      <c r="I6" s="519"/>
      <c r="J6" s="519"/>
      <c r="K6" s="519"/>
    </row>
    <row r="7" spans="1:14" ht="7.5" customHeight="1" x14ac:dyDescent="0.35">
      <c r="A7" s="126"/>
      <c r="B7" s="125"/>
      <c r="C7" s="125"/>
      <c r="D7" s="125"/>
      <c r="E7" s="125"/>
      <c r="F7" s="125"/>
      <c r="G7" s="125"/>
      <c r="H7" s="125"/>
      <c r="I7" s="125"/>
      <c r="J7" s="125"/>
      <c r="K7" s="125"/>
      <c r="L7" s="124"/>
      <c r="M7" s="124"/>
      <c r="N7" s="124"/>
    </row>
    <row r="8" spans="1:14" ht="18" x14ac:dyDescent="0.35">
      <c r="A8" s="667" t="s">
        <v>25</v>
      </c>
      <c r="B8" s="169" t="s">
        <v>26</v>
      </c>
      <c r="C8" s="671" t="s">
        <v>44</v>
      </c>
      <c r="D8" s="665"/>
      <c r="E8" s="665" t="s">
        <v>45</v>
      </c>
      <c r="F8" s="665"/>
      <c r="G8" s="672" t="s">
        <v>51</v>
      </c>
      <c r="H8" s="672"/>
      <c r="I8" s="672" t="s">
        <v>45</v>
      </c>
      <c r="J8" s="672"/>
      <c r="K8" s="214"/>
      <c r="L8" s="124"/>
      <c r="M8" s="149" t="s">
        <v>5</v>
      </c>
      <c r="N8" s="149" t="s">
        <v>5</v>
      </c>
    </row>
    <row r="9" spans="1:14" ht="18" x14ac:dyDescent="0.35">
      <c r="A9" s="667"/>
      <c r="B9" s="170"/>
      <c r="C9" s="148">
        <f>'1. Ramos Totales'!$B$9</f>
        <v>45657</v>
      </c>
      <c r="D9" s="148">
        <f>'1. Ramos Totales'!$C$9</f>
        <v>46022</v>
      </c>
      <c r="E9" s="149" t="s">
        <v>9</v>
      </c>
      <c r="F9" s="172" t="s">
        <v>10</v>
      </c>
      <c r="G9" s="146">
        <f>'1. Ramos Totales'!$B$9</f>
        <v>45657</v>
      </c>
      <c r="H9" s="146">
        <f>'1. Ramos Totales'!$C$9</f>
        <v>46022</v>
      </c>
      <c r="I9" s="147" t="s">
        <v>9</v>
      </c>
      <c r="J9" s="147" t="s">
        <v>10</v>
      </c>
      <c r="K9" s="215"/>
      <c r="L9" s="124"/>
      <c r="M9" s="208">
        <v>2023</v>
      </c>
      <c r="N9" s="210" t="s">
        <v>360</v>
      </c>
    </row>
    <row r="10" spans="1:14" ht="18" x14ac:dyDescent="0.35">
      <c r="A10" s="173">
        <v>1</v>
      </c>
      <c r="B10" s="195" t="str">
        <f>'Balance diciembre 2024'!G9</f>
        <v>PALIC</v>
      </c>
      <c r="C10" s="221">
        <f>('Balance diciembre 2024'!G35)/1000</f>
        <v>2615.3118973199998</v>
      </c>
      <c r="D10" s="183">
        <f>('Balance Diciembre 2025'!F35)/1000</f>
        <v>2816.0463220300003</v>
      </c>
      <c r="E10" s="182">
        <f t="shared" ref="E10:E21" si="0">IFERROR(D10/C10-1,0)</f>
        <v>7.675353173581323E-2</v>
      </c>
      <c r="F10" s="198">
        <f t="shared" ref="F10:F21" si="1">D10-C10</f>
        <v>200.73442471000044</v>
      </c>
      <c r="G10" s="182">
        <f t="shared" ref="G10:G21" si="2">C10/M10</f>
        <v>1.8926832079891966</v>
      </c>
      <c r="H10" s="182">
        <f t="shared" ref="H10:H21" si="3">D10/N10</f>
        <v>1.9419917916010629</v>
      </c>
      <c r="I10" s="182">
        <f t="shared" ref="I10:I21" si="4">IFERROR(H10/G10-1,0)</f>
        <v>2.6052211698043282E-2</v>
      </c>
      <c r="J10" s="182">
        <f t="shared" ref="J10:J21" si="5">H10-G10</f>
        <v>4.9308583611866297E-2</v>
      </c>
      <c r="K10" s="213"/>
      <c r="L10" s="124">
        <v>1</v>
      </c>
      <c r="M10" s="206">
        <f>VLOOKUP(B10,'8. Primas y Siniestros Totales'!$B$10:$D$21,2,FALSE)</f>
        <v>1381.80118378</v>
      </c>
      <c r="N10" s="206">
        <f>VLOOKUP(B10,'8. Primas y Siniestros Totales'!$B$10:$D$21,3,FALSE)</f>
        <v>1450.0814752200001</v>
      </c>
    </row>
    <row r="11" spans="1:14" ht="18" x14ac:dyDescent="0.35">
      <c r="A11" s="173">
        <v>2</v>
      </c>
      <c r="B11" s="180" t="str">
        <f>'Balance diciembre 2024'!F9</f>
        <v>SEGUROS DAVIVIENDA</v>
      </c>
      <c r="C11" s="221">
        <f>('Balance diciembre 2024'!F35)/1000</f>
        <v>1045.3239441200001</v>
      </c>
      <c r="D11" s="183">
        <f>('Balance Diciembre 2025'!E35)/1000</f>
        <v>1068.20305661</v>
      </c>
      <c r="E11" s="182">
        <f t="shared" si="0"/>
        <v>2.1887102671565239E-2</v>
      </c>
      <c r="F11" s="198">
        <f t="shared" si="1"/>
        <v>22.879112489999898</v>
      </c>
      <c r="G11" s="182">
        <f t="shared" si="2"/>
        <v>0.69040209505992156</v>
      </c>
      <c r="H11" s="182">
        <f t="shared" si="3"/>
        <v>0.65741912981468942</v>
      </c>
      <c r="I11" s="182">
        <f t="shared" si="4"/>
        <v>-4.7773559033550517E-2</v>
      </c>
      <c r="J11" s="182">
        <f t="shared" si="5"/>
        <v>-3.2982965245232143E-2</v>
      </c>
      <c r="K11" s="213"/>
      <c r="L11" s="124">
        <v>2</v>
      </c>
      <c r="M11" s="206">
        <f>VLOOKUP(B11,'8. Primas y Siniestros Totales'!$B$10:$D$21,2,FALSE)</f>
        <v>1514.0799131400001</v>
      </c>
      <c r="N11" s="206">
        <f>VLOOKUP(B11,'8. Primas y Siniestros Totales'!$B$10:$D$21,3,FALSE)</f>
        <v>1624.8432821099998</v>
      </c>
    </row>
    <row r="12" spans="1:14" s="353" customFormat="1" ht="18" x14ac:dyDescent="0.35">
      <c r="A12" s="351">
        <v>3</v>
      </c>
      <c r="B12" s="180" t="str">
        <f>'Balance diciembre 2024'!K9</f>
        <v>SEGUROS ATLÁNTIDA</v>
      </c>
      <c r="C12" s="221">
        <f>('Balance diciembre 2024'!K35)/1000</f>
        <v>977.02513124999996</v>
      </c>
      <c r="D12" s="221">
        <f>('Balance Diciembre 2025'!J35)/1000</f>
        <v>956.41611634000003</v>
      </c>
      <c r="E12" s="182">
        <f t="shared" si="0"/>
        <v>-2.1093638485668142E-2</v>
      </c>
      <c r="F12" s="198">
        <f t="shared" si="1"/>
        <v>-20.609014909999928</v>
      </c>
      <c r="G12" s="182">
        <f t="shared" si="2"/>
        <v>0.39330567949409273</v>
      </c>
      <c r="H12" s="182">
        <f t="shared" si="3"/>
        <v>0.34930227586661017</v>
      </c>
      <c r="I12" s="182">
        <f t="shared" si="4"/>
        <v>-0.11188092601175736</v>
      </c>
      <c r="J12" s="182">
        <f t="shared" si="5"/>
        <v>-4.4003403627482562E-2</v>
      </c>
      <c r="K12" s="213"/>
      <c r="L12" s="352">
        <v>3</v>
      </c>
      <c r="M12" s="211">
        <f>VLOOKUP(B12,'8. Primas y Siniestros Totales'!$B$10:$D$21,2,FALSE)</f>
        <v>2484.13684874</v>
      </c>
      <c r="N12" s="211">
        <f>VLOOKUP(B12,'8. Primas y Siniestros Totales'!$B$10:$D$21,3,FALSE)</f>
        <v>2738.0758226300004</v>
      </c>
    </row>
    <row r="13" spans="1:14" ht="18" x14ac:dyDescent="0.35">
      <c r="A13" s="173">
        <v>4</v>
      </c>
      <c r="B13" s="180" t="str">
        <f>'Balance diciembre 2024'!I9</f>
        <v>FICOHSA SEGUROS</v>
      </c>
      <c r="C13" s="221">
        <f>('Balance diciembre 2024'!I35)/1000</f>
        <v>640.6636616799999</v>
      </c>
      <c r="D13" s="221">
        <f>('Balance Diciembre 2025'!H35)/1000</f>
        <v>751.81917146000001</v>
      </c>
      <c r="E13" s="182">
        <f t="shared" si="0"/>
        <v>0.17350056890774668</v>
      </c>
      <c r="F13" s="198">
        <f t="shared" si="1"/>
        <v>111.1555097800001</v>
      </c>
      <c r="G13" s="182">
        <f t="shared" si="2"/>
        <v>0.14530178606728261</v>
      </c>
      <c r="H13" s="182">
        <f t="shared" si="3"/>
        <v>0.15498859234621482</v>
      </c>
      <c r="I13" s="182">
        <f t="shared" si="4"/>
        <v>6.6666808035289238E-2</v>
      </c>
      <c r="J13" s="182">
        <f t="shared" si="5"/>
        <v>9.6868062789322029E-3</v>
      </c>
      <c r="K13" s="213"/>
      <c r="L13" s="124">
        <v>4</v>
      </c>
      <c r="M13" s="206">
        <f>VLOOKUP(B13,'8. Primas y Siniestros Totales'!$B$10:$D$21,2,FALSE)</f>
        <v>4409.1933005100009</v>
      </c>
      <c r="N13" s="206">
        <f>VLOOKUP(B13,'8. Primas y Siniestros Totales'!$B$10:$D$21,3,FALSE)</f>
        <v>4850.8032757700003</v>
      </c>
    </row>
    <row r="14" spans="1:14" ht="18" x14ac:dyDescent="0.35">
      <c r="A14" s="173">
        <v>5</v>
      </c>
      <c r="B14" s="203" t="str">
        <f>'Balance diciembre 2024'!H9</f>
        <v>MAPFRE SEGUROS</v>
      </c>
      <c r="C14" s="222">
        <f>('Balance diciembre 2024'!H35)/1000</f>
        <v>604.9022721</v>
      </c>
      <c r="D14" s="222">
        <f>('Balance Diciembre 2025'!G35)/1000</f>
        <v>606.8360355399999</v>
      </c>
      <c r="E14" s="158">
        <f t="shared" si="0"/>
        <v>3.1968196007705618E-3</v>
      </c>
      <c r="F14" s="205">
        <f t="shared" si="1"/>
        <v>1.9337634399998933</v>
      </c>
      <c r="G14" s="182">
        <f t="shared" si="2"/>
        <v>0.19817628504104046</v>
      </c>
      <c r="H14" s="182">
        <f t="shared" si="3"/>
        <v>0.19403314570399616</v>
      </c>
      <c r="I14" s="158">
        <f t="shared" si="4"/>
        <v>-2.0906332643112591E-2</v>
      </c>
      <c r="J14" s="158">
        <f t="shared" si="5"/>
        <v>-4.1431393370442993E-3</v>
      </c>
      <c r="K14" s="213"/>
      <c r="L14" s="124">
        <v>5</v>
      </c>
      <c r="M14" s="206">
        <f>VLOOKUP(B14,'8. Primas y Siniestros Totales'!$B$10:$D$21,2,FALSE)</f>
        <v>3052.3443911300001</v>
      </c>
      <c r="N14" s="206">
        <f>VLOOKUP(B14,'8. Primas y Siniestros Totales'!$B$10:$D$21,3,FALSE)</f>
        <v>3127.48645773</v>
      </c>
    </row>
    <row r="15" spans="1:14" s="45" customFormat="1" ht="18" x14ac:dyDescent="0.35">
      <c r="A15" s="173">
        <v>6</v>
      </c>
      <c r="B15" s="180" t="str">
        <f>'Balance diciembre 2024'!L9</f>
        <v>CREFISA</v>
      </c>
      <c r="C15" s="221">
        <f>('Balance diciembre 2024'!L35)/1000</f>
        <v>363.28030454999998</v>
      </c>
      <c r="D15" s="183">
        <f>('Balance Diciembre 2025'!K35)/1000</f>
        <v>408.75219897000005</v>
      </c>
      <c r="E15" s="182">
        <f t="shared" si="0"/>
        <v>0.12517027168958883</v>
      </c>
      <c r="F15" s="198">
        <f t="shared" si="1"/>
        <v>45.471894420000069</v>
      </c>
      <c r="G15" s="182">
        <f t="shared" si="2"/>
        <v>0.26951470505977887</v>
      </c>
      <c r="H15" s="182">
        <f t="shared" si="3"/>
        <v>0.24572127721891632</v>
      </c>
      <c r="I15" s="182">
        <f t="shared" si="4"/>
        <v>-8.8282484755646706E-2</v>
      </c>
      <c r="J15" s="182">
        <f t="shared" si="5"/>
        <v>-2.3793427840862552E-2</v>
      </c>
      <c r="K15" s="213"/>
      <c r="L15" s="123">
        <v>6</v>
      </c>
      <c r="M15" s="206">
        <f>VLOOKUP(B15,'8. Primas y Siniestros Totales'!$B$10:$D$21,2,FALSE)</f>
        <v>1347.90531919</v>
      </c>
      <c r="N15" s="206">
        <f>VLOOKUP(B15,'8. Primas y Siniestros Totales'!$B$10:$D$21,3,FALSE)</f>
        <v>1663.4790588599999</v>
      </c>
    </row>
    <row r="16" spans="1:14" s="45" customFormat="1" ht="18" x14ac:dyDescent="0.35">
      <c r="A16" s="173">
        <v>7</v>
      </c>
      <c r="B16" s="180" t="str">
        <f>'Balance diciembre 2024'!J9</f>
        <v>SEGUROS CONTINENTAL</v>
      </c>
      <c r="C16" s="221">
        <f>('Balance diciembre 2024'!J35)/1000</f>
        <v>356.85463005999998</v>
      </c>
      <c r="D16" s="221">
        <f>('Balance Diciembre 2025'!I35)/1000</f>
        <v>395.34805550999999</v>
      </c>
      <c r="E16" s="182">
        <f t="shared" si="0"/>
        <v>0.10786864512176253</v>
      </c>
      <c r="F16" s="198">
        <f t="shared" si="1"/>
        <v>38.493425450000018</v>
      </c>
      <c r="G16" s="182">
        <f t="shared" si="2"/>
        <v>0.65744019440479629</v>
      </c>
      <c r="H16" s="182">
        <f t="shared" si="3"/>
        <v>0.64375481026389469</v>
      </c>
      <c r="I16" s="182">
        <f t="shared" si="4"/>
        <v>-2.0816165876945569E-2</v>
      </c>
      <c r="J16" s="182">
        <f t="shared" si="5"/>
        <v>-1.3685384140901591E-2</v>
      </c>
      <c r="K16" s="213"/>
      <c r="L16" s="123">
        <v>7</v>
      </c>
      <c r="M16" s="206">
        <f>VLOOKUP(B16,'8. Primas y Siniestros Totales'!$B$10:$D$21,2,FALSE)</f>
        <v>542.79405654999994</v>
      </c>
      <c r="N16" s="206">
        <f>VLOOKUP(B16,'8. Primas y Siniestros Totales'!$B$10:$D$21,3,FALSE)</f>
        <v>614.12831284000004</v>
      </c>
    </row>
    <row r="17" spans="1:14" s="45" customFormat="1" ht="18" x14ac:dyDescent="0.35">
      <c r="A17" s="173">
        <v>8</v>
      </c>
      <c r="B17" s="180" t="str">
        <f>'Balance diciembre 2024'!N9</f>
        <v>SEGUROS DEL PAÍS</v>
      </c>
      <c r="C17" s="221">
        <f>('Balance diciembre 2024'!N35)/1000</f>
        <v>286.31509463999998</v>
      </c>
      <c r="D17" s="221">
        <f>('Balance Diciembre 2025'!M35)/1000</f>
        <v>324.755109</v>
      </c>
      <c r="E17" s="182">
        <f t="shared" si="0"/>
        <v>0.13425772891342946</v>
      </c>
      <c r="F17" s="198">
        <f t="shared" si="1"/>
        <v>38.440014360000021</v>
      </c>
      <c r="G17" s="182">
        <f t="shared" si="2"/>
        <v>0.22895249862163342</v>
      </c>
      <c r="H17" s="182">
        <f t="shared" si="3"/>
        <v>0.23600431318793061</v>
      </c>
      <c r="I17" s="182">
        <f t="shared" si="4"/>
        <v>3.0800338973155261E-2</v>
      </c>
      <c r="J17" s="182">
        <f t="shared" si="5"/>
        <v>7.0518145662971932E-3</v>
      </c>
      <c r="K17" s="213"/>
      <c r="L17" s="123">
        <v>8</v>
      </c>
      <c r="M17" s="206">
        <f>VLOOKUP(B17,'8. Primas y Siniestros Totales'!$B$10:$D$21,2,FALSE)</f>
        <v>1250.5436558399999</v>
      </c>
      <c r="N17" s="206">
        <f>VLOOKUP(B17,'8. Primas y Siniestros Totales'!$B$10:$D$21,3,FALSE)</f>
        <v>1376.0558212399999</v>
      </c>
    </row>
    <row r="18" spans="1:14" s="45" customFormat="1" ht="18" x14ac:dyDescent="0.35">
      <c r="A18" s="173">
        <v>9</v>
      </c>
      <c r="B18" s="180" t="str">
        <f>'Balance diciembre 2024'!M9</f>
        <v>SEGUROS EQUIDAD</v>
      </c>
      <c r="C18" s="221">
        <f>('Balance diciembre 2024'!M35)/1000</f>
        <v>316.80089425</v>
      </c>
      <c r="D18" s="221">
        <f>('Balance Diciembre 2025'!L35)/1000</f>
        <v>315.07979698000003</v>
      </c>
      <c r="E18" s="182">
        <f t="shared" si="0"/>
        <v>-5.4327411987725727E-3</v>
      </c>
      <c r="F18" s="198">
        <f t="shared" si="1"/>
        <v>-1.7210972699999729</v>
      </c>
      <c r="G18" s="182">
        <f t="shared" si="2"/>
        <v>0.4370109310059288</v>
      </c>
      <c r="H18" s="182">
        <f t="shared" si="3"/>
        <v>0.52739897793064006</v>
      </c>
      <c r="I18" s="182">
        <f t="shared" si="4"/>
        <v>0.20683246232915153</v>
      </c>
      <c r="J18" s="182">
        <f t="shared" si="5"/>
        <v>9.0388046924711252E-2</v>
      </c>
      <c r="K18" s="213"/>
      <c r="L18" s="123">
        <v>9</v>
      </c>
      <c r="M18" s="206">
        <f>VLOOKUP(B18,'8. Primas y Siniestros Totales'!$B$10:$D$21,2,FALSE)</f>
        <v>724.92670497000006</v>
      </c>
      <c r="N18" s="206">
        <f>VLOOKUP(B18,'8. Primas y Siniestros Totales'!$B$10:$D$21,3,FALSE)</f>
        <v>597.42208491999997</v>
      </c>
    </row>
    <row r="19" spans="1:14" s="45" customFormat="1" ht="18" x14ac:dyDescent="0.35">
      <c r="A19" s="173">
        <v>10</v>
      </c>
      <c r="B19" s="180" t="str">
        <f>'Balance diciembre 2024'!O9</f>
        <v>SEGUROS LAFISE</v>
      </c>
      <c r="C19" s="221">
        <f>('Balance diciembre 2024'!O35)/1000</f>
        <v>155.27668204</v>
      </c>
      <c r="D19" s="183">
        <f>('Balance Diciembre 2025'!N35)/1000</f>
        <v>198.67951722999999</v>
      </c>
      <c r="E19" s="182">
        <f t="shared" si="0"/>
        <v>0.27951933683654584</v>
      </c>
      <c r="F19" s="198">
        <f t="shared" si="1"/>
        <v>43.40283518999999</v>
      </c>
      <c r="G19" s="182">
        <f t="shared" si="2"/>
        <v>0.38461084342812096</v>
      </c>
      <c r="H19" s="182">
        <f t="shared" si="3"/>
        <v>0.38623661579853674</v>
      </c>
      <c r="I19" s="182">
        <f t="shared" si="4"/>
        <v>4.2270580723229312E-3</v>
      </c>
      <c r="J19" s="182">
        <f t="shared" si="5"/>
        <v>1.6257723704157789E-3</v>
      </c>
      <c r="K19" s="213"/>
      <c r="L19" s="123">
        <v>10</v>
      </c>
      <c r="M19" s="206">
        <f>VLOOKUP(B19,'8. Primas y Siniestros Totales'!$B$10:$D$21,2,FALSE)</f>
        <v>403.72414011000006</v>
      </c>
      <c r="N19" s="206">
        <f>VLOOKUP(B19,'8. Primas y Siniestros Totales'!$B$10:$D$21,3,FALSE)</f>
        <v>514.39845188999993</v>
      </c>
    </row>
    <row r="20" spans="1:14" s="569" customFormat="1" ht="18" x14ac:dyDescent="0.35">
      <c r="A20" s="28">
        <v>11</v>
      </c>
      <c r="B20" s="180" t="str">
        <f>'Balance diciembre 2024'!P9</f>
        <v>ASEGURADORA RURAL</v>
      </c>
      <c r="C20" s="221">
        <f>('Balance diciembre 2024'!P35)/1000</f>
        <v>136.89847775999999</v>
      </c>
      <c r="D20" s="221">
        <f>('Balance Diciembre 2025'!O35)/1000</f>
        <v>163.01564913999999</v>
      </c>
      <c r="E20" s="182">
        <f t="shared" si="0"/>
        <v>0.19077766098894577</v>
      </c>
      <c r="F20" s="198">
        <f t="shared" si="1"/>
        <v>26.117171380000002</v>
      </c>
      <c r="G20" s="182">
        <f t="shared" si="2"/>
        <v>0.29197310429980727</v>
      </c>
      <c r="H20" s="182">
        <f t="shared" si="3"/>
        <v>0.29928261713229171</v>
      </c>
      <c r="I20" s="182">
        <f t="shared" si="4"/>
        <v>2.5034884120623602E-2</v>
      </c>
      <c r="J20" s="182">
        <f t="shared" si="5"/>
        <v>7.3095128324844327E-3</v>
      </c>
      <c r="K20" s="213"/>
      <c r="L20" s="568">
        <v>11</v>
      </c>
      <c r="M20" s="211">
        <f>VLOOKUP(B20,'8. Primas y Siniestros Totales'!$B$10:$D$21,2,FALSE)</f>
        <v>468.87359055999997</v>
      </c>
      <c r="N20" s="211">
        <f>VLOOKUP(B20,'8. Primas y Siniestros Totales'!$B$10:$D$21,3,FALSE)</f>
        <v>544.68799659000001</v>
      </c>
    </row>
    <row r="21" spans="1:14" s="45" customFormat="1" ht="15" customHeight="1" x14ac:dyDescent="0.35">
      <c r="A21" s="173">
        <v>12</v>
      </c>
      <c r="B21" s="180" t="str">
        <f>'Balance diciembre 2024'!Q9</f>
        <v>ASSA CIA. DE SEGUROS</v>
      </c>
      <c r="C21" s="221">
        <f>('Balance diciembre 2024'!Q35)/1000</f>
        <v>36.577193920000006</v>
      </c>
      <c r="D21" s="221">
        <f>('Balance Diciembre 2025'!P35)/1000</f>
        <v>75.94292166999999</v>
      </c>
      <c r="E21" s="182">
        <f t="shared" si="0"/>
        <v>1.0762369534442398</v>
      </c>
      <c r="F21" s="198">
        <f t="shared" si="1"/>
        <v>39.365727749999984</v>
      </c>
      <c r="G21" s="182">
        <f t="shared" si="2"/>
        <v>4.2461713731643341E-2</v>
      </c>
      <c r="H21" s="182">
        <f t="shared" si="3"/>
        <v>7.0299731686285685E-2</v>
      </c>
      <c r="I21" s="182">
        <f t="shared" si="4"/>
        <v>0.65560278915207526</v>
      </c>
      <c r="J21" s="182">
        <f t="shared" si="5"/>
        <v>2.7838017954642344E-2</v>
      </c>
      <c r="K21" s="213"/>
      <c r="L21" s="123">
        <v>12</v>
      </c>
      <c r="M21" s="206">
        <f>VLOOKUP(B21,'8. Primas y Siniestros Totales'!$B$10:$D$21,2,FALSE)</f>
        <v>861.41586632999997</v>
      </c>
      <c r="N21" s="206">
        <f>VLOOKUP(B21,'8. Primas y Siniestros Totales'!$B$10:$D$21,3,FALSE)</f>
        <v>1080.2732791199999</v>
      </c>
    </row>
    <row r="22" spans="1:14" ht="18" x14ac:dyDescent="0.35">
      <c r="A22" s="665" t="s">
        <v>29</v>
      </c>
      <c r="B22" s="665"/>
      <c r="C22" s="189">
        <f>SUM(C10:C21)</f>
        <v>7535.2301836900006</v>
      </c>
      <c r="D22" s="189">
        <f>SUM(D10:D21)</f>
        <v>8080.8939504800001</v>
      </c>
      <c r="E22" s="188">
        <f>IFERROR(D22/C22-1,0)</f>
        <v>7.2415009692880838E-2</v>
      </c>
      <c r="F22" s="200">
        <f>D22-C22</f>
        <v>545.6637667899995</v>
      </c>
      <c r="G22" s="186">
        <f>C22/M22</f>
        <v>0.40859651010138404</v>
      </c>
      <c r="H22" s="201">
        <f>D22/N22</f>
        <v>0.40040629919986681</v>
      </c>
      <c r="I22" s="186">
        <f>IFERROR(H22/G22-1,0)</f>
        <v>-2.0044740224249624E-2</v>
      </c>
      <c r="J22" s="212">
        <f>H22-G22</f>
        <v>-8.1902109015172253E-3</v>
      </c>
      <c r="K22" s="216"/>
      <c r="L22" s="124"/>
      <c r="M22" s="209">
        <f>SUM(M10:M21)</f>
        <v>18441.738970850001</v>
      </c>
      <c r="N22" s="209">
        <f>SUM(N10:N21)</f>
        <v>20181.735318919997</v>
      </c>
    </row>
    <row r="23" spans="1:14" x14ac:dyDescent="0.25">
      <c r="G23" s="99"/>
      <c r="H23" s="99"/>
      <c r="I23" s="99"/>
      <c r="J23" s="99"/>
      <c r="K23" s="99"/>
    </row>
  </sheetData>
  <sortState xmlns:xlrd2="http://schemas.microsoft.com/office/spreadsheetml/2017/richdata2" ref="B10:J21">
    <sortCondition descending="1" ref="D10:D21"/>
  </sortState>
  <mergeCells count="6">
    <mergeCell ref="A22:B22"/>
    <mergeCell ref="G8:H8"/>
    <mergeCell ref="I8:J8"/>
    <mergeCell ref="A8:A9"/>
    <mergeCell ref="C8:D8"/>
    <mergeCell ref="E8:F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3"/>
  <dimension ref="A1:M22"/>
  <sheetViews>
    <sheetView showGridLines="0" topLeftCell="A7" zoomScaleNormal="100" workbookViewId="0">
      <selection activeCell="E25" sqref="E25"/>
    </sheetView>
  </sheetViews>
  <sheetFormatPr baseColWidth="10" defaultRowHeight="15" x14ac:dyDescent="0.3"/>
  <cols>
    <col min="1" max="1" width="4.85546875" customWidth="1"/>
    <col min="2" max="2" width="22.7109375" bestFit="1" customWidth="1"/>
    <col min="3" max="3" width="13" customWidth="1"/>
    <col min="4" max="4" width="12.85546875" customWidth="1"/>
    <col min="5" max="5" width="11.42578125" customWidth="1"/>
    <col min="6" max="6" width="11.7109375" customWidth="1"/>
    <col min="7" max="8" width="14.42578125" customWidth="1"/>
    <col min="9" max="9" width="13.28515625" customWidth="1"/>
    <col min="10" max="10" width="13" customWidth="1"/>
    <col min="11" max="11" width="11.42578125" customWidth="1"/>
    <col min="12" max="13" width="11.42578125" hidden="1" customWidth="1"/>
  </cols>
  <sheetData>
    <row r="1" spans="1:13" s="502" customFormat="1" x14ac:dyDescent="0.25">
      <c r="A1" s="494" t="s">
        <v>0</v>
      </c>
      <c r="B1" s="505"/>
      <c r="C1" s="505"/>
      <c r="D1" s="505"/>
      <c r="E1" s="505"/>
      <c r="F1" s="505"/>
      <c r="G1" s="508"/>
      <c r="H1" s="508"/>
      <c r="I1" s="508"/>
      <c r="J1" s="508"/>
    </row>
    <row r="2" spans="1:13" s="502" customFormat="1" x14ac:dyDescent="0.25">
      <c r="A2" s="494" t="s">
        <v>42</v>
      </c>
      <c r="B2" s="505"/>
      <c r="C2" s="505"/>
      <c r="D2" s="505"/>
      <c r="E2" s="505"/>
      <c r="F2" s="505"/>
      <c r="G2" s="514"/>
      <c r="H2" s="514"/>
      <c r="I2" s="514"/>
      <c r="J2" s="514"/>
    </row>
    <row r="3" spans="1:13" s="502" customFormat="1" x14ac:dyDescent="0.25">
      <c r="A3" s="494" t="str">
        <f>'1. Ramos Totales'!A3</f>
        <v>Al 31 de diciembre de 2025</v>
      </c>
      <c r="B3" s="505"/>
      <c r="C3" s="505"/>
      <c r="D3" s="505"/>
      <c r="E3" s="505"/>
      <c r="F3" s="505"/>
      <c r="G3" s="505"/>
      <c r="H3" s="505"/>
      <c r="I3" s="505"/>
      <c r="J3" s="505"/>
    </row>
    <row r="4" spans="1:13" s="502" customFormat="1" x14ac:dyDescent="0.25">
      <c r="A4" s="494" t="s">
        <v>2</v>
      </c>
      <c r="B4" s="505"/>
      <c r="C4" s="505"/>
      <c r="D4" s="505"/>
      <c r="E4" s="505"/>
      <c r="F4" s="505"/>
      <c r="G4" s="505"/>
      <c r="H4" s="505"/>
      <c r="I4" s="505"/>
      <c r="J4" s="505"/>
    </row>
    <row r="5" spans="1:13" s="502" customFormat="1" ht="7.5" customHeight="1" x14ac:dyDescent="0.25">
      <c r="A5" s="503"/>
      <c r="B5" s="501"/>
      <c r="C5" s="501"/>
      <c r="D5" s="501"/>
      <c r="E5" s="501"/>
      <c r="F5" s="501"/>
      <c r="G5" s="501"/>
      <c r="H5" s="501"/>
      <c r="I5" s="501"/>
      <c r="J5" s="501"/>
    </row>
    <row r="6" spans="1:13" s="502" customFormat="1" x14ac:dyDescent="0.25">
      <c r="A6" s="502" t="s">
        <v>52</v>
      </c>
      <c r="C6" s="501"/>
      <c r="D6" s="501"/>
      <c r="E6" s="501"/>
      <c r="F6" s="501"/>
      <c r="G6" s="501"/>
      <c r="H6" s="501"/>
      <c r="I6" s="501"/>
      <c r="J6" s="501"/>
    </row>
    <row r="7" spans="1:13" ht="12" customHeight="1" x14ac:dyDescent="0.3">
      <c r="A7" s="111"/>
      <c r="B7" s="110"/>
      <c r="C7" s="110"/>
      <c r="D7" s="110"/>
      <c r="E7" s="110"/>
      <c r="F7" s="110"/>
      <c r="G7" s="110"/>
      <c r="H7" s="110"/>
      <c r="I7" s="110"/>
      <c r="J7" s="110"/>
      <c r="K7" s="108"/>
      <c r="L7" s="108"/>
      <c r="M7" s="108"/>
    </row>
    <row r="8" spans="1:13" x14ac:dyDescent="0.3">
      <c r="A8" s="667" t="s">
        <v>53</v>
      </c>
      <c r="B8" s="169" t="s">
        <v>26</v>
      </c>
      <c r="C8" s="671" t="s">
        <v>44</v>
      </c>
      <c r="D8" s="665"/>
      <c r="E8" s="665" t="s">
        <v>45</v>
      </c>
      <c r="F8" s="665"/>
      <c r="G8" s="672" t="s">
        <v>54</v>
      </c>
      <c r="H8" s="672"/>
      <c r="I8" s="672" t="s">
        <v>45</v>
      </c>
      <c r="J8" s="672"/>
      <c r="K8" s="108"/>
      <c r="L8" s="149" t="s">
        <v>5</v>
      </c>
      <c r="M8" s="149" t="s">
        <v>5</v>
      </c>
    </row>
    <row r="9" spans="1:13"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108"/>
      <c r="L9" s="208">
        <v>2023</v>
      </c>
      <c r="M9" s="210" t="s">
        <v>360</v>
      </c>
    </row>
    <row r="10" spans="1:13" ht="15.75" x14ac:dyDescent="0.3">
      <c r="A10" s="173">
        <v>1</v>
      </c>
      <c r="B10" s="195" t="str">
        <f>'Balance diciembre 2024'!I9</f>
        <v>FICOHSA SEGUROS</v>
      </c>
      <c r="C10" s="221">
        <f>('Balance diciembre 2024'!I16)/1000</f>
        <v>1090.2821560699999</v>
      </c>
      <c r="D10" s="183">
        <f>('Balance Diciembre 2025'!H16)/1000</f>
        <v>1162.2410455899999</v>
      </c>
      <c r="E10" s="182">
        <f t="shared" ref="E10:E21" si="0">IFERROR(D10/C10-1,0)</f>
        <v>6.6000245091950349E-2</v>
      </c>
      <c r="F10" s="198">
        <f t="shared" ref="F10:F21" si="1">D10-C10</f>
        <v>71.958889519999957</v>
      </c>
      <c r="G10" s="182">
        <f t="shared" ref="G10:G21" si="2">C10/L10</f>
        <v>0.24727474659455043</v>
      </c>
      <c r="H10" s="182">
        <f t="shared" ref="H10:H21" si="3">D10/M10</f>
        <v>0.23959764589824756</v>
      </c>
      <c r="I10" s="182">
        <f t="shared" ref="I10:I21" si="4">IFERROR(H10/G10-1,0)</f>
        <v>-3.1046844863987677E-2</v>
      </c>
      <c r="J10" s="182">
        <f t="shared" ref="J10:J21" si="5">H10-G10</f>
        <v>-7.6771006963028687E-3</v>
      </c>
      <c r="K10" s="108"/>
      <c r="L10" s="206">
        <f>VLOOKUP(B10,'8. Primas y Siniestros Totales'!$B$10:$D$21,2,FALSE)</f>
        <v>4409.1933005100009</v>
      </c>
      <c r="M10" s="206">
        <f>VLOOKUP(B10,'8. Primas y Siniestros Totales'!$B$10:$D$21,3,FALSE)</f>
        <v>4850.8032757700003</v>
      </c>
    </row>
    <row r="11" spans="1:13" ht="15.75" x14ac:dyDescent="0.3">
      <c r="A11" s="173">
        <v>2</v>
      </c>
      <c r="B11" s="180" t="str">
        <f>'Balance diciembre 2024'!K9</f>
        <v>SEGUROS ATLÁNTIDA</v>
      </c>
      <c r="C11" s="221">
        <f>('Balance diciembre 2024'!K16)/1000</f>
        <v>793.45950811</v>
      </c>
      <c r="D11" s="183">
        <f>('Balance Diciembre 2025'!J16)/1000</f>
        <v>954.54755121000005</v>
      </c>
      <c r="E11" s="182">
        <f t="shared" si="0"/>
        <v>0.20301986610974976</v>
      </c>
      <c r="F11" s="198">
        <f t="shared" si="1"/>
        <v>161.08804310000005</v>
      </c>
      <c r="G11" s="182">
        <f t="shared" si="2"/>
        <v>0.31941054636843269</v>
      </c>
      <c r="H11" s="182">
        <f t="shared" si="3"/>
        <v>0.348619838545278</v>
      </c>
      <c r="I11" s="182">
        <f t="shared" si="4"/>
        <v>9.1447488221484852E-2</v>
      </c>
      <c r="J11" s="182">
        <f t="shared" si="5"/>
        <v>2.9209292176845314E-2</v>
      </c>
      <c r="K11" s="108"/>
      <c r="L11" s="206">
        <f>VLOOKUP(B11,'8. Primas y Siniestros Totales'!$B$10:$D$21,2,FALSE)</f>
        <v>2484.13684874</v>
      </c>
      <c r="M11" s="206">
        <f>VLOOKUP(B11,'8. Primas y Siniestros Totales'!$B$10:$D$21,3,FALSE)</f>
        <v>2738.0758226300004</v>
      </c>
    </row>
    <row r="12" spans="1:13" s="349" customFormat="1" x14ac:dyDescent="0.3">
      <c r="A12" s="351">
        <v>3</v>
      </c>
      <c r="B12" s="180" t="str">
        <f>'Balance diciembre 2024'!H9</f>
        <v>MAPFRE SEGUROS</v>
      </c>
      <c r="C12" s="221">
        <f>('Balance diciembre 2024'!H16)/1000</f>
        <v>627.22839010000007</v>
      </c>
      <c r="D12" s="221">
        <f>('Balance Diciembre 2025'!G16)/1000</f>
        <v>637.15043290999995</v>
      </c>
      <c r="E12" s="182">
        <f t="shared" si="0"/>
        <v>1.5818867523547553E-2</v>
      </c>
      <c r="F12" s="198">
        <f t="shared" si="1"/>
        <v>9.9220428099998799</v>
      </c>
      <c r="G12" s="182">
        <f t="shared" si="2"/>
        <v>0.20549070148267101</v>
      </c>
      <c r="H12" s="182">
        <f t="shared" si="3"/>
        <v>0.20372604055093432</v>
      </c>
      <c r="I12" s="182">
        <f t="shared" si="4"/>
        <v>-8.5875463901976534E-3</v>
      </c>
      <c r="J12" s="182">
        <f t="shared" si="5"/>
        <v>-1.764660931736689E-3</v>
      </c>
      <c r="K12" s="354"/>
      <c r="L12" s="211">
        <f>VLOOKUP(B12,'8. Primas y Siniestros Totales'!$B$10:$D$21,2,FALSE)</f>
        <v>3052.3443911300001</v>
      </c>
      <c r="M12" s="211">
        <f>VLOOKUP(B12,'8. Primas y Siniestros Totales'!$B$10:$D$21,3,FALSE)</f>
        <v>3127.48645773</v>
      </c>
    </row>
    <row r="13" spans="1:13" s="4" customFormat="1" x14ac:dyDescent="0.3">
      <c r="A13" s="173">
        <v>4</v>
      </c>
      <c r="B13" s="203" t="str">
        <f>'Balance diciembre 2024'!N9</f>
        <v>SEGUROS DEL PAÍS</v>
      </c>
      <c r="C13" s="222">
        <f>('Balance diciembre 2024'!N16)/1000</f>
        <v>383.68650549</v>
      </c>
      <c r="D13" s="222">
        <f>('Balance Diciembre 2025'!M16)/1000</f>
        <v>443.33373174000002</v>
      </c>
      <c r="E13" s="158">
        <f t="shared" si="0"/>
        <v>0.15545823321001473</v>
      </c>
      <c r="F13" s="205">
        <f t="shared" si="1"/>
        <v>59.647226250000017</v>
      </c>
      <c r="G13" s="182">
        <f t="shared" si="2"/>
        <v>0.30681576264706634</v>
      </c>
      <c r="H13" s="182">
        <f t="shared" si="3"/>
        <v>0.32217714201484965</v>
      </c>
      <c r="I13" s="158">
        <f t="shared" si="4"/>
        <v>5.0067112703898742E-2</v>
      </c>
      <c r="J13" s="158">
        <f t="shared" si="5"/>
        <v>1.5361379367783312E-2</v>
      </c>
      <c r="K13" s="112"/>
      <c r="L13" s="206">
        <f>VLOOKUP(B13,'8. Primas y Siniestros Totales'!$B$10:$D$21,2,FALSE)</f>
        <v>1250.5436558399999</v>
      </c>
      <c r="M13" s="206">
        <f>VLOOKUP(B13,'8. Primas y Siniestros Totales'!$B$10:$D$21,3,FALSE)</f>
        <v>1376.0558212399999</v>
      </c>
    </row>
    <row r="14" spans="1:13" s="4" customFormat="1" x14ac:dyDescent="0.3">
      <c r="A14" s="173">
        <v>5</v>
      </c>
      <c r="B14" s="180" t="str">
        <f>'Balance diciembre 2024'!F9</f>
        <v>SEGUROS DAVIVIENDA</v>
      </c>
      <c r="C14" s="221">
        <f>('Balance diciembre 2024'!F16)/1000</f>
        <v>399.61302570999993</v>
      </c>
      <c r="D14" s="221">
        <f>('Balance Diciembre 2025'!E16)/1000</f>
        <v>424.45333762000001</v>
      </c>
      <c r="E14" s="182">
        <f t="shared" si="0"/>
        <v>6.2160916466288407E-2</v>
      </c>
      <c r="F14" s="198">
        <f t="shared" si="1"/>
        <v>24.840311910000082</v>
      </c>
      <c r="G14" s="182">
        <f t="shared" si="2"/>
        <v>0.26393126428925123</v>
      </c>
      <c r="H14" s="182">
        <f t="shared" si="3"/>
        <v>0.26122724714029688</v>
      </c>
      <c r="I14" s="182">
        <f t="shared" si="4"/>
        <v>-1.0245156655601551E-2</v>
      </c>
      <c r="J14" s="182">
        <f t="shared" si="5"/>
        <v>-2.7040171489543519E-3</v>
      </c>
      <c r="K14" s="112"/>
      <c r="L14" s="206">
        <f>VLOOKUP(B14,'8. Primas y Siniestros Totales'!$B$10:$D$21,2,FALSE)</f>
        <v>1514.0799131400001</v>
      </c>
      <c r="M14" s="206">
        <f>VLOOKUP(B14,'8. Primas y Siniestros Totales'!$B$10:$D$21,3,FALSE)</f>
        <v>1624.8432821099998</v>
      </c>
    </row>
    <row r="15" spans="1:13" s="4" customFormat="1" ht="15.75" x14ac:dyDescent="0.3">
      <c r="A15" s="173">
        <v>6</v>
      </c>
      <c r="B15" s="180" t="str">
        <f>'Balance diciembre 2024'!L9</f>
        <v>CREFISA</v>
      </c>
      <c r="C15" s="221">
        <f>('Balance diciembre 2024'!L16)/1000</f>
        <v>229.59918402000002</v>
      </c>
      <c r="D15" s="183">
        <f>('Balance Diciembre 2025'!K16)/1000</f>
        <v>346.09860706999996</v>
      </c>
      <c r="E15" s="182">
        <f t="shared" si="0"/>
        <v>0.50740347160751176</v>
      </c>
      <c r="F15" s="198">
        <f t="shared" si="1"/>
        <v>116.49942304999993</v>
      </c>
      <c r="G15" s="182">
        <f t="shared" si="2"/>
        <v>0.17033776835154388</v>
      </c>
      <c r="H15" s="182">
        <f t="shared" si="3"/>
        <v>0.20805708687861996</v>
      </c>
      <c r="I15" s="182">
        <f t="shared" si="4"/>
        <v>0.22143837442575132</v>
      </c>
      <c r="J15" s="182">
        <f t="shared" si="5"/>
        <v>3.7719318527076079E-2</v>
      </c>
      <c r="K15" s="112"/>
      <c r="L15" s="206">
        <f>VLOOKUP(B15,'8. Primas y Siniestros Totales'!$B$10:$D$21,2,FALSE)</f>
        <v>1347.90531919</v>
      </c>
      <c r="M15" s="206">
        <f>VLOOKUP(B15,'8. Primas y Siniestros Totales'!$B$10:$D$21,3,FALSE)</f>
        <v>1663.4790588599999</v>
      </c>
    </row>
    <row r="16" spans="1:13" s="4" customFormat="1" x14ac:dyDescent="0.3">
      <c r="A16" s="173">
        <v>7</v>
      </c>
      <c r="B16" s="180" t="str">
        <f>'Balance diciembre 2024'!G9</f>
        <v>PALIC</v>
      </c>
      <c r="C16" s="221">
        <f>('Balance diciembre 2024'!G16)/1000</f>
        <v>257.81154537999998</v>
      </c>
      <c r="D16" s="221">
        <f>('Balance Diciembre 2025'!F16)/1000</f>
        <v>268.52057536999996</v>
      </c>
      <c r="E16" s="182">
        <f t="shared" si="0"/>
        <v>4.1538209525160852E-2</v>
      </c>
      <c r="F16" s="198">
        <f t="shared" si="1"/>
        <v>10.709029989999976</v>
      </c>
      <c r="G16" s="182">
        <f t="shared" si="2"/>
        <v>0.18657643979920543</v>
      </c>
      <c r="H16" s="182">
        <f t="shared" si="3"/>
        <v>0.18517619868860208</v>
      </c>
      <c r="I16" s="182">
        <f t="shared" si="4"/>
        <v>-7.5049192283350719E-3</v>
      </c>
      <c r="J16" s="182">
        <f t="shared" si="5"/>
        <v>-1.4002411106033563E-3</v>
      </c>
      <c r="K16" s="112"/>
      <c r="L16" s="206">
        <f>VLOOKUP(B16,'8. Primas y Siniestros Totales'!$B$10:$D$21,2,FALSE)</f>
        <v>1381.80118378</v>
      </c>
      <c r="M16" s="206">
        <f>VLOOKUP(B16,'8. Primas y Siniestros Totales'!$B$10:$D$21,3,FALSE)</f>
        <v>1450.0814752200001</v>
      </c>
    </row>
    <row r="17" spans="1:13" s="4" customFormat="1" x14ac:dyDescent="0.3">
      <c r="A17" s="173">
        <v>8</v>
      </c>
      <c r="B17" s="180" t="str">
        <f>'Balance diciembre 2024'!Q9</f>
        <v>ASSA CIA. DE SEGUROS</v>
      </c>
      <c r="C17" s="221">
        <f>('Balance diciembre 2024'!Q16)/1000</f>
        <v>270.34020416000004</v>
      </c>
      <c r="D17" s="221">
        <f>('Balance Diciembre 2025'!P16)/1000</f>
        <v>266.04001446000001</v>
      </c>
      <c r="E17" s="182">
        <f t="shared" si="0"/>
        <v>-1.5906585975110743E-2</v>
      </c>
      <c r="F17" s="198">
        <f t="shared" si="1"/>
        <v>-4.3001897000000326</v>
      </c>
      <c r="G17" s="182">
        <f t="shared" si="2"/>
        <v>0.31383239469661145</v>
      </c>
      <c r="H17" s="182">
        <f t="shared" si="3"/>
        <v>0.24627103123083685</v>
      </c>
      <c r="I17" s="182">
        <f t="shared" si="4"/>
        <v>-0.2152784881595402</v>
      </c>
      <c r="J17" s="182">
        <f t="shared" si="5"/>
        <v>-6.7561363465774599E-2</v>
      </c>
      <c r="K17" s="112"/>
      <c r="L17" s="206">
        <f>VLOOKUP(B17,'8. Primas y Siniestros Totales'!$B$10:$D$21,2,FALSE)</f>
        <v>861.41586632999997</v>
      </c>
      <c r="M17" s="206">
        <f>VLOOKUP(B17,'8. Primas y Siniestros Totales'!$B$10:$D$21,3,FALSE)</f>
        <v>1080.2732791199999</v>
      </c>
    </row>
    <row r="18" spans="1:13" s="4" customFormat="1" x14ac:dyDescent="0.3">
      <c r="A18" s="173">
        <v>9</v>
      </c>
      <c r="B18" s="180" t="str">
        <f>'Balance diciembre 2024'!J9</f>
        <v>SEGUROS CONTINENTAL</v>
      </c>
      <c r="C18" s="221">
        <f>('Balance diciembre 2024'!J16)/1000</f>
        <v>132.58318204000003</v>
      </c>
      <c r="D18" s="221">
        <f>('Balance Diciembre 2025'!I16)/1000</f>
        <v>167.73110944000001</v>
      </c>
      <c r="E18" s="182">
        <f t="shared" si="0"/>
        <v>0.26510094914900995</v>
      </c>
      <c r="F18" s="198">
        <f t="shared" si="1"/>
        <v>35.147927399999986</v>
      </c>
      <c r="G18" s="182">
        <f t="shared" si="2"/>
        <v>0.24426056335748955</v>
      </c>
      <c r="H18" s="182">
        <f t="shared" si="3"/>
        <v>0.27312062631396594</v>
      </c>
      <c r="I18" s="182">
        <f t="shared" si="4"/>
        <v>0.11815277325074369</v>
      </c>
      <c r="J18" s="182">
        <f t="shared" si="5"/>
        <v>2.886006295647639E-2</v>
      </c>
      <c r="K18" s="112"/>
      <c r="L18" s="206">
        <f>VLOOKUP(B18,'8. Primas y Siniestros Totales'!$B$10:$D$21,2,FALSE)</f>
        <v>542.79405654999994</v>
      </c>
      <c r="M18" s="206">
        <f>VLOOKUP(B18,'8. Primas y Siniestros Totales'!$B$10:$D$21,3,FALSE)</f>
        <v>614.12831284000004</v>
      </c>
    </row>
    <row r="19" spans="1:13" s="541" customFormat="1" x14ac:dyDescent="0.3">
      <c r="A19" s="28">
        <v>10</v>
      </c>
      <c r="B19" s="180" t="str">
        <f>'Balance diciembre 2024'!P9</f>
        <v>ASEGURADORA RURAL</v>
      </c>
      <c r="C19" s="221">
        <f>('Balance diciembre 2024'!P16)/1000</f>
        <v>94.190864959999985</v>
      </c>
      <c r="D19" s="221">
        <f>('Balance Diciembre 2025'!O16)/1000</f>
        <v>154.91245340999998</v>
      </c>
      <c r="E19" s="182">
        <f t="shared" si="0"/>
        <v>0.64466536617735293</v>
      </c>
      <c r="F19" s="198">
        <f t="shared" si="1"/>
        <v>60.721588449999999</v>
      </c>
      <c r="G19" s="182">
        <f t="shared" si="2"/>
        <v>0.20088754593216257</v>
      </c>
      <c r="H19" s="182">
        <f t="shared" si="3"/>
        <v>0.28440585138615854</v>
      </c>
      <c r="I19" s="182">
        <f t="shared" si="4"/>
        <v>0.41574655644506286</v>
      </c>
      <c r="J19" s="182">
        <f t="shared" si="5"/>
        <v>8.3518305453995967E-2</v>
      </c>
      <c r="K19" s="557"/>
      <c r="L19" s="560">
        <f>VLOOKUP(B19,'8. Primas y Siniestros Totales'!$B$10:$D$21,2,FALSE)</f>
        <v>468.87359055999997</v>
      </c>
      <c r="M19" s="560">
        <f>VLOOKUP(B19,'8. Primas y Siniestros Totales'!$B$10:$D$21,3,FALSE)</f>
        <v>544.68799659000001</v>
      </c>
    </row>
    <row r="20" spans="1:13" s="4" customFormat="1" x14ac:dyDescent="0.3">
      <c r="A20" s="173">
        <v>11</v>
      </c>
      <c r="B20" s="180" t="str">
        <f>'Balance diciembre 2024'!O9</f>
        <v>SEGUROS LAFISE</v>
      </c>
      <c r="C20" s="221">
        <f>('Balance diciembre 2024'!O16)/1000</f>
        <v>151.35134797000001</v>
      </c>
      <c r="D20" s="221">
        <f>('Balance Diciembre 2025'!N16)/1000</f>
        <v>150.71697137000001</v>
      </c>
      <c r="E20" s="182">
        <f t="shared" si="0"/>
        <v>-4.1914169150693015E-3</v>
      </c>
      <c r="F20" s="198">
        <f t="shared" si="1"/>
        <v>-0.63437659999999596</v>
      </c>
      <c r="G20" s="182">
        <f t="shared" si="2"/>
        <v>0.37488803104209301</v>
      </c>
      <c r="H20" s="182">
        <f t="shared" si="3"/>
        <v>0.29299654930188174</v>
      </c>
      <c r="I20" s="182">
        <f t="shared" si="4"/>
        <v>-0.21844250805386844</v>
      </c>
      <c r="J20" s="182">
        <f t="shared" si="5"/>
        <v>-8.1891481740211269E-2</v>
      </c>
      <c r="K20" s="112"/>
      <c r="L20" s="206">
        <f>VLOOKUP(B20,'8. Primas y Siniestros Totales'!$B$10:$D$21,2,FALSE)</f>
        <v>403.72414011000006</v>
      </c>
      <c r="M20" s="206">
        <f>VLOOKUP(B20,'8. Primas y Siniestros Totales'!$B$10:$D$21,3,FALSE)</f>
        <v>514.39845188999993</v>
      </c>
    </row>
    <row r="21" spans="1:13" s="4" customFormat="1" ht="15" customHeight="1" x14ac:dyDescent="0.3">
      <c r="A21" s="173">
        <v>12</v>
      </c>
      <c r="B21" s="180" t="str">
        <f>'Balance diciembre 2024'!M9</f>
        <v>SEGUROS EQUIDAD</v>
      </c>
      <c r="C21" s="221">
        <f>('Balance diciembre 2024'!M16)/1000</f>
        <v>144.68801218000002</v>
      </c>
      <c r="D21" s="183">
        <f>('Balance Diciembre 2025'!L16)/1000</f>
        <v>141.69793206999998</v>
      </c>
      <c r="E21" s="182">
        <f t="shared" si="0"/>
        <v>-2.0665707303243686E-2</v>
      </c>
      <c r="F21" s="198">
        <f t="shared" si="1"/>
        <v>-2.9900801100000365</v>
      </c>
      <c r="G21" s="182">
        <f t="shared" si="2"/>
        <v>0.19958984982624925</v>
      </c>
      <c r="H21" s="182">
        <f t="shared" si="3"/>
        <v>0.23718227974276271</v>
      </c>
      <c r="I21" s="182">
        <f t="shared" si="4"/>
        <v>0.18834840523823804</v>
      </c>
      <c r="J21" s="182">
        <f t="shared" si="5"/>
        <v>3.7592429916513459E-2</v>
      </c>
      <c r="K21" s="112"/>
      <c r="L21" s="206">
        <f>VLOOKUP(B21,'8. Primas y Siniestros Totales'!$B$10:$D$21,2,FALSE)</f>
        <v>724.92670497000006</v>
      </c>
      <c r="M21" s="206">
        <f>VLOOKUP(B21,'8. Primas y Siniestros Totales'!$B$10:$D$21,3,FALSE)</f>
        <v>597.42208491999997</v>
      </c>
    </row>
    <row r="22" spans="1:13" x14ac:dyDescent="0.3">
      <c r="A22" s="665" t="s">
        <v>29</v>
      </c>
      <c r="B22" s="665"/>
      <c r="C22" s="189">
        <f>SUM(C10:C21)</f>
        <v>4574.8339261900001</v>
      </c>
      <c r="D22" s="189">
        <f>SUM(D10:D21)</f>
        <v>5117.4437622600008</v>
      </c>
      <c r="E22" s="188">
        <f>IFERROR(D22/C22-1,0)</f>
        <v>0.1186075483447977</v>
      </c>
      <c r="F22" s="200">
        <f>D22-C22</f>
        <v>542.60983607000071</v>
      </c>
      <c r="G22" s="186">
        <f>C22/L22</f>
        <v>0.24806955208623369</v>
      </c>
      <c r="H22" s="201">
        <f>D22/M22</f>
        <v>0.25356807436982359</v>
      </c>
      <c r="I22" s="186">
        <f>IFERROR(H22/G22-1,0)</f>
        <v>2.2165244534639639E-2</v>
      </c>
      <c r="J22" s="212">
        <f>H22-G22</f>
        <v>5.4985222835899072E-3</v>
      </c>
      <c r="K22" s="108"/>
      <c r="L22" s="209">
        <f>SUM(L10:L21)</f>
        <v>18441.738970850001</v>
      </c>
      <c r="M22" s="209">
        <f>SUM(M10:M21)</f>
        <v>20181.735318919997</v>
      </c>
    </row>
  </sheetData>
  <sortState xmlns:xlrd2="http://schemas.microsoft.com/office/spreadsheetml/2017/richdata2" ref="B10:J21">
    <sortCondition descending="1" ref="D10:D21"/>
  </sortState>
  <mergeCells count="6">
    <mergeCell ref="A22:B22"/>
    <mergeCell ref="G8:H8"/>
    <mergeCell ref="I8:J8"/>
    <mergeCell ref="A8:A9"/>
    <mergeCell ref="C8:D8"/>
    <mergeCell ref="E8:F8"/>
  </mergeCells>
  <pageMargins left="0.7" right="0.7" top="0.75" bottom="0.75" header="0.3" footer="0.3"/>
  <pageSetup paperSize="9" orientation="portrait" r:id="rId1"/>
  <ignoredErrors>
    <ignoredError sqref="M9"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4"/>
  <dimension ref="A1:N43"/>
  <sheetViews>
    <sheetView showGridLines="0" topLeftCell="A7" zoomScaleNormal="100" workbookViewId="0">
      <selection activeCell="F22" sqref="F22"/>
    </sheetView>
  </sheetViews>
  <sheetFormatPr baseColWidth="10" defaultRowHeight="15" x14ac:dyDescent="0.3"/>
  <cols>
    <col min="1" max="1" width="6.28515625" customWidth="1"/>
    <col min="2" max="2" width="23.5703125" bestFit="1" customWidth="1"/>
    <col min="3" max="3" width="16.7109375" customWidth="1"/>
    <col min="4" max="4" width="15.5703125" customWidth="1"/>
    <col min="7" max="8" width="13.5703125" customWidth="1"/>
    <col min="9" max="9" width="13.28515625" customWidth="1"/>
    <col min="10" max="10" width="18.140625" customWidth="1"/>
    <col min="11" max="11" width="7" customWidth="1"/>
    <col min="12" max="14" width="11.42578125" hidden="1" customWidth="1"/>
  </cols>
  <sheetData>
    <row r="1" spans="1:14" s="502" customFormat="1" x14ac:dyDescent="0.25">
      <c r="A1" s="494" t="s">
        <v>0</v>
      </c>
      <c r="B1" s="505"/>
      <c r="C1" s="505"/>
      <c r="D1" s="505"/>
      <c r="E1" s="505"/>
      <c r="F1" s="505"/>
      <c r="G1" s="505"/>
      <c r="H1" s="505"/>
      <c r="I1" s="505"/>
      <c r="J1" s="505"/>
      <c r="K1" s="505"/>
    </row>
    <row r="2" spans="1:14" s="502" customFormat="1" x14ac:dyDescent="0.25">
      <c r="A2" s="494" t="s">
        <v>42</v>
      </c>
      <c r="B2" s="505"/>
      <c r="C2" s="505"/>
      <c r="D2" s="505"/>
      <c r="E2" s="505"/>
      <c r="F2" s="509"/>
      <c r="G2" s="505"/>
      <c r="H2" s="505"/>
      <c r="I2" s="505"/>
      <c r="J2" s="505"/>
      <c r="K2" s="505"/>
    </row>
    <row r="3" spans="1:14" s="502" customFormat="1" x14ac:dyDescent="0.25">
      <c r="A3" s="494" t="str">
        <f>'1. Ramos Totales'!A3</f>
        <v>Al 31 de diciembre de 2025</v>
      </c>
      <c r="B3" s="505"/>
      <c r="C3" s="505"/>
      <c r="D3" s="505"/>
      <c r="E3" s="505"/>
      <c r="F3" s="505"/>
      <c r="G3" s="505"/>
      <c r="H3" s="505"/>
      <c r="I3" s="505"/>
      <c r="J3" s="505"/>
      <c r="K3" s="505"/>
    </row>
    <row r="4" spans="1:14" s="502" customFormat="1" x14ac:dyDescent="0.25">
      <c r="A4" s="494" t="s">
        <v>2</v>
      </c>
      <c r="B4" s="505"/>
      <c r="C4" s="505"/>
      <c r="D4" s="505"/>
      <c r="E4" s="505"/>
      <c r="G4" s="505"/>
      <c r="H4" s="505"/>
      <c r="I4" s="505"/>
      <c r="J4" s="505"/>
      <c r="K4" s="505"/>
    </row>
    <row r="5" spans="1:14" s="502" customFormat="1" ht="7.5" customHeight="1" x14ac:dyDescent="0.25">
      <c r="A5" s="503"/>
      <c r="B5" s="501"/>
      <c r="C5" s="501"/>
      <c r="D5" s="501"/>
      <c r="E5" s="501"/>
      <c r="F5" s="501"/>
      <c r="G5" s="501"/>
      <c r="H5" s="501"/>
      <c r="I5" s="501"/>
      <c r="J5" s="501"/>
      <c r="K5" s="501"/>
    </row>
    <row r="6" spans="1:14" s="502" customFormat="1" x14ac:dyDescent="0.25">
      <c r="A6" s="502" t="s">
        <v>55</v>
      </c>
      <c r="C6" s="501"/>
      <c r="D6" s="501"/>
      <c r="E6" s="501"/>
      <c r="F6" s="501"/>
      <c r="G6" s="501"/>
      <c r="H6" s="501"/>
      <c r="I6" s="501"/>
      <c r="J6" s="501"/>
      <c r="K6" s="501"/>
    </row>
    <row r="7" spans="1:14" ht="9" customHeight="1" x14ac:dyDescent="0.3">
      <c r="A7" s="111"/>
      <c r="B7" s="110"/>
      <c r="C7" s="110"/>
      <c r="D7" s="110"/>
      <c r="E7" s="110"/>
      <c r="F7" s="110"/>
      <c r="G7" s="110"/>
      <c r="H7" s="110"/>
      <c r="I7" s="110"/>
      <c r="J7" s="110"/>
      <c r="K7" s="110"/>
      <c r="L7" s="108"/>
      <c r="M7" s="108"/>
      <c r="N7" s="108"/>
    </row>
    <row r="8" spans="1:14" x14ac:dyDescent="0.3">
      <c r="A8" s="667" t="s">
        <v>25</v>
      </c>
      <c r="B8" s="169" t="s">
        <v>26</v>
      </c>
      <c r="C8" s="671" t="s">
        <v>44</v>
      </c>
      <c r="D8" s="665"/>
      <c r="E8" s="665" t="s">
        <v>45</v>
      </c>
      <c r="F8" s="665"/>
      <c r="G8" s="672" t="s">
        <v>56</v>
      </c>
      <c r="H8" s="672"/>
      <c r="I8" s="672" t="s">
        <v>45</v>
      </c>
      <c r="J8" s="672"/>
      <c r="K8" s="217"/>
      <c r="L8" s="108"/>
      <c r="M8" s="149" t="s">
        <v>5</v>
      </c>
      <c r="N8" s="149" t="s">
        <v>5</v>
      </c>
    </row>
    <row r="9" spans="1:14" x14ac:dyDescent="0.3">
      <c r="A9" s="667"/>
      <c r="B9" s="570"/>
      <c r="C9" s="148">
        <f>'1. Ramos Totales'!$B$9</f>
        <v>45657</v>
      </c>
      <c r="D9" s="148">
        <f>'1. Ramos Totales'!$C$9</f>
        <v>46022</v>
      </c>
      <c r="E9" s="149" t="s">
        <v>9</v>
      </c>
      <c r="F9" s="172" t="s">
        <v>10</v>
      </c>
      <c r="G9" s="146">
        <f>'1. Ramos Totales'!$B$9</f>
        <v>45657</v>
      </c>
      <c r="H9" s="146">
        <f>'1. Ramos Totales'!$C$9</f>
        <v>46022</v>
      </c>
      <c r="I9" s="146" t="s">
        <v>9</v>
      </c>
      <c r="J9" s="146" t="s">
        <v>10</v>
      </c>
      <c r="K9" s="218"/>
      <c r="L9" s="108"/>
      <c r="M9" s="208">
        <v>2024</v>
      </c>
      <c r="N9" s="210" t="s">
        <v>368</v>
      </c>
    </row>
    <row r="10" spans="1:14" ht="15.75" x14ac:dyDescent="0.3">
      <c r="A10" s="173">
        <v>1</v>
      </c>
      <c r="B10" s="195" t="str">
        <f>'Balance diciembre 2024'!I9</f>
        <v>FICOHSA SEGUROS</v>
      </c>
      <c r="C10" s="221">
        <f>('Balance diciembre 2024'!I10)/1000</f>
        <v>4163.9416203299998</v>
      </c>
      <c r="D10" s="183">
        <f>('Balance Diciembre 2025'!H10)/1000</f>
        <v>4511.8655646200004</v>
      </c>
      <c r="E10" s="182">
        <f t="shared" ref="E10:E21" si="0">IFERROR(D10/C10-1,0)</f>
        <v>8.3556393440123999E-2</v>
      </c>
      <c r="F10" s="198">
        <f t="shared" ref="F10:F21" si="1">D10-C10</f>
        <v>347.92394429000069</v>
      </c>
      <c r="G10" s="182">
        <f t="shared" ref="G10:G21" si="2">C10/M10</f>
        <v>0.94437719930499908</v>
      </c>
      <c r="H10" s="182">
        <f t="shared" ref="H10:H21" si="3">D10/N10</f>
        <v>0.93012750839783376</v>
      </c>
      <c r="I10" s="182">
        <f t="shared" ref="I10:I21" si="4">IFERROR(H10/G10-1,0)</f>
        <v>-1.5088982365999759E-2</v>
      </c>
      <c r="J10" s="182">
        <f t="shared" ref="J10:J21" si="5">H10-G10</f>
        <v>-1.4249690907165324E-2</v>
      </c>
      <c r="K10" s="219"/>
      <c r="L10" s="108">
        <v>1</v>
      </c>
      <c r="M10" s="206">
        <f>VLOOKUP(B10,'8. Primas y Siniestros Totales'!$B$10:$D$21,2,FALSE)</f>
        <v>4409.1933005100009</v>
      </c>
      <c r="N10" s="206">
        <f>VLOOKUP(B10,'8. Primas y Siniestros Totales'!$B$10:$D$21,3,FALSE)</f>
        <v>4850.8032757700003</v>
      </c>
    </row>
    <row r="11" spans="1:14" s="4" customFormat="1" x14ac:dyDescent="0.3">
      <c r="A11" s="173">
        <v>2</v>
      </c>
      <c r="B11" s="180" t="str">
        <f>'Balance diciembre 2024'!G9</f>
        <v>PALIC</v>
      </c>
      <c r="C11" s="221">
        <f>('Balance diciembre 2024'!G10)/1000</f>
        <v>3691.9576763599998</v>
      </c>
      <c r="D11" s="222">
        <f>('Balance Diciembre 2025'!F10)/1000</f>
        <v>4090.4428763599999</v>
      </c>
      <c r="E11" s="182">
        <f t="shared" si="0"/>
        <v>0.10793330664420764</v>
      </c>
      <c r="F11" s="198">
        <f t="shared" si="1"/>
        <v>398.48520000000008</v>
      </c>
      <c r="G11" s="182">
        <f t="shared" si="2"/>
        <v>2.6718443432364332</v>
      </c>
      <c r="H11" s="182">
        <f t="shared" si="3"/>
        <v>2.8208365848818362</v>
      </c>
      <c r="I11" s="182">
        <f t="shared" si="4"/>
        <v>5.5763817986839381E-2</v>
      </c>
      <c r="J11" s="182">
        <f t="shared" si="5"/>
        <v>0.14899224164540303</v>
      </c>
      <c r="K11" s="220"/>
      <c r="L11" s="112">
        <v>2</v>
      </c>
      <c r="M11" s="206">
        <f>VLOOKUP(B11,'8. Primas y Siniestros Totales'!$B$10:$D$21,2,FALSE)</f>
        <v>1381.80118378</v>
      </c>
      <c r="N11" s="206">
        <f>VLOOKUP(B11,'8. Primas y Siniestros Totales'!$B$10:$D$21,3,FALSE)</f>
        <v>1450.0814752200001</v>
      </c>
    </row>
    <row r="12" spans="1:14" s="349" customFormat="1" x14ac:dyDescent="0.3">
      <c r="A12" s="351">
        <v>3</v>
      </c>
      <c r="B12" s="180" t="str">
        <f>'Balance diciembre 2024'!K9</f>
        <v>SEGUROS ATLÁNTIDA</v>
      </c>
      <c r="C12" s="221">
        <f>('Balance diciembre 2024'!K10)/1000</f>
        <v>3641.3835016600001</v>
      </c>
      <c r="D12" s="222">
        <f>('Balance Diciembre 2025'!J10)/1000</f>
        <v>3731.5197039600002</v>
      </c>
      <c r="E12" s="182">
        <f t="shared" si="0"/>
        <v>2.4753284640002926E-2</v>
      </c>
      <c r="F12" s="198">
        <f t="shared" si="1"/>
        <v>90.13620230000015</v>
      </c>
      <c r="G12" s="182">
        <f t="shared" si="2"/>
        <v>1.4658546301533175</v>
      </c>
      <c r="H12" s="182">
        <f t="shared" si="3"/>
        <v>1.3628255554938462</v>
      </c>
      <c r="I12" s="182">
        <f t="shared" si="4"/>
        <v>-7.028601100007803E-2</v>
      </c>
      <c r="J12" s="182">
        <f t="shared" si="5"/>
        <v>-0.10302907465947131</v>
      </c>
      <c r="K12" s="219"/>
      <c r="L12" s="354">
        <v>3</v>
      </c>
      <c r="M12" s="211">
        <f>VLOOKUP(B12,'8. Primas y Siniestros Totales'!$B$10:$D$21,2,FALSE)</f>
        <v>2484.13684874</v>
      </c>
      <c r="N12" s="211">
        <f>VLOOKUP(B12,'8. Primas y Siniestros Totales'!$B$10:$D$21,3,FALSE)</f>
        <v>2738.0758226300004</v>
      </c>
    </row>
    <row r="13" spans="1:14" ht="15.75" x14ac:dyDescent="0.3">
      <c r="A13" s="173">
        <v>4</v>
      </c>
      <c r="B13" s="180" t="str">
        <f>'Balance diciembre 2024'!F9</f>
        <v>SEGUROS DAVIVIENDA</v>
      </c>
      <c r="C13" s="221">
        <f>('Balance diciembre 2024'!F10)/1000</f>
        <v>3057.2780564300006</v>
      </c>
      <c r="D13" s="165">
        <f>('Balance Diciembre 2025'!E10)/1000</f>
        <v>3145.76305456</v>
      </c>
      <c r="E13" s="182">
        <f t="shared" si="0"/>
        <v>2.8942411026010362E-2</v>
      </c>
      <c r="F13" s="198">
        <f t="shared" si="1"/>
        <v>88.48499812999944</v>
      </c>
      <c r="G13" s="182">
        <f t="shared" si="2"/>
        <v>2.0192316336127947</v>
      </c>
      <c r="H13" s="182">
        <f t="shared" si="3"/>
        <v>1.9360409026493646</v>
      </c>
      <c r="I13" s="182">
        <f t="shared" si="4"/>
        <v>-4.1199201507449601E-2</v>
      </c>
      <c r="J13" s="182">
        <f t="shared" si="5"/>
        <v>-8.3190730963430104E-2</v>
      </c>
      <c r="K13" s="220"/>
      <c r="L13" s="108">
        <v>4</v>
      </c>
      <c r="M13" s="206">
        <f>VLOOKUP(B13,'8. Primas y Siniestros Totales'!$B$10:$D$21,2,FALSE)</f>
        <v>1514.0799131400001</v>
      </c>
      <c r="N13" s="206">
        <f>VLOOKUP(B13,'8. Primas y Siniestros Totales'!$B$10:$D$21,3,FALSE)</f>
        <v>1624.8432821099998</v>
      </c>
    </row>
    <row r="14" spans="1:14" x14ac:dyDescent="0.3">
      <c r="A14" s="173">
        <v>5</v>
      </c>
      <c r="B14" s="180" t="str">
        <f>'Balance diciembre 2024'!H9</f>
        <v>MAPFRE SEGUROS</v>
      </c>
      <c r="C14" s="221">
        <f>('Balance diciembre 2024'!H10)/1000</f>
        <v>2992.5186915599998</v>
      </c>
      <c r="D14" s="222">
        <f>('Balance Diciembre 2025'!G10)/1000</f>
        <v>3004.2271197599998</v>
      </c>
      <c r="E14" s="182">
        <f t="shared" si="0"/>
        <v>3.9125664387735792E-3</v>
      </c>
      <c r="F14" s="198">
        <f t="shared" si="1"/>
        <v>11.708428200000071</v>
      </c>
      <c r="G14" s="182">
        <f t="shared" si="2"/>
        <v>0.98040008206680362</v>
      </c>
      <c r="H14" s="182">
        <f t="shared" si="3"/>
        <v>0.96058837036197287</v>
      </c>
      <c r="I14" s="182">
        <f t="shared" si="4"/>
        <v>-2.0207782585110801E-2</v>
      </c>
      <c r="J14" s="182">
        <f t="shared" si="5"/>
        <v>-1.9811711704830759E-2</v>
      </c>
      <c r="K14" s="219"/>
      <c r="L14" s="108">
        <v>5</v>
      </c>
      <c r="M14" s="206">
        <f>VLOOKUP(B14,'8. Primas y Siniestros Totales'!$B$10:$D$21,2,FALSE)</f>
        <v>3052.3443911300001</v>
      </c>
      <c r="N14" s="206">
        <f>VLOOKUP(B14,'8. Primas y Siniestros Totales'!$B$10:$D$21,3,FALSE)</f>
        <v>3127.48645773</v>
      </c>
    </row>
    <row r="15" spans="1:14" x14ac:dyDescent="0.3">
      <c r="A15" s="173">
        <v>6</v>
      </c>
      <c r="B15" s="180" t="str">
        <f>'Balance diciembre 2024'!L9</f>
        <v>CREFISA</v>
      </c>
      <c r="C15" s="221">
        <f>('Balance diciembre 2024'!L10)/1000</f>
        <v>1516.41218712</v>
      </c>
      <c r="D15" s="222">
        <f>('Balance Diciembre 2025'!K10)/1000</f>
        <v>1918.7526529500001</v>
      </c>
      <c r="E15" s="182">
        <f t="shared" si="0"/>
        <v>0.26532394638302992</v>
      </c>
      <c r="F15" s="198">
        <f t="shared" si="1"/>
        <v>402.34046583000008</v>
      </c>
      <c r="G15" s="182">
        <f t="shared" si="2"/>
        <v>1.1250138756268588</v>
      </c>
      <c r="H15" s="182">
        <f t="shared" si="3"/>
        <v>1.1534576541438051</v>
      </c>
      <c r="I15" s="182">
        <f t="shared" si="4"/>
        <v>2.5283046843397772E-2</v>
      </c>
      <c r="J15" s="182">
        <f t="shared" si="5"/>
        <v>2.8443778516946239E-2</v>
      </c>
      <c r="K15" s="220"/>
      <c r="L15" s="108">
        <v>6</v>
      </c>
      <c r="M15" s="206">
        <f>VLOOKUP(B15,'8. Primas y Siniestros Totales'!$B$10:$D$21,2,FALSE)</f>
        <v>1347.90531919</v>
      </c>
      <c r="N15" s="206">
        <f>VLOOKUP(B15,'8. Primas y Siniestros Totales'!$B$10:$D$21,3,FALSE)</f>
        <v>1663.4790588599999</v>
      </c>
    </row>
    <row r="16" spans="1:14" s="4" customFormat="1" ht="15.75" x14ac:dyDescent="0.3">
      <c r="A16" s="173">
        <v>7</v>
      </c>
      <c r="B16" s="180" t="str">
        <f>'Balance diciembre 2024'!N9</f>
        <v>SEGUROS DEL PAÍS</v>
      </c>
      <c r="C16" s="221">
        <f>('Balance diciembre 2024'!N10)/1000</f>
        <v>1572.0392486100002</v>
      </c>
      <c r="D16" s="165">
        <f>('Balance Diciembre 2025'!M10)/1000</f>
        <v>1905.9712281500003</v>
      </c>
      <c r="E16" s="182">
        <f t="shared" si="0"/>
        <v>0.21241961982518154</v>
      </c>
      <c r="F16" s="198">
        <f t="shared" si="1"/>
        <v>333.93197954000016</v>
      </c>
      <c r="G16" s="182">
        <f t="shared" si="2"/>
        <v>1.2570846617538107</v>
      </c>
      <c r="H16" s="182">
        <f t="shared" si="3"/>
        <v>1.3850973185320925</v>
      </c>
      <c r="I16" s="182">
        <f t="shared" si="4"/>
        <v>0.10183296373983763</v>
      </c>
      <c r="J16" s="182">
        <f t="shared" si="5"/>
        <v>0.12801265677828177</v>
      </c>
      <c r="K16" s="220"/>
      <c r="L16" s="112">
        <v>7</v>
      </c>
      <c r="M16" s="206">
        <f>VLOOKUP(B16,'8. Primas y Siniestros Totales'!$B$10:$D$21,2,FALSE)</f>
        <v>1250.5436558399999</v>
      </c>
      <c r="N16" s="206">
        <f>VLOOKUP(B16,'8. Primas y Siniestros Totales'!$B$10:$D$21,3,FALSE)</f>
        <v>1376.0558212399999</v>
      </c>
    </row>
    <row r="17" spans="1:14" s="4" customFormat="1" x14ac:dyDescent="0.3">
      <c r="A17" s="173">
        <v>8</v>
      </c>
      <c r="B17" s="203" t="str">
        <f>'Balance diciembre 2024'!Q9</f>
        <v>ASSA CIA. DE SEGUROS</v>
      </c>
      <c r="C17" s="221">
        <f>('Balance diciembre 2024'!P10)/1000</f>
        <v>1037.3885556500002</v>
      </c>
      <c r="D17" s="222">
        <f>('Balance Diciembre 2025'!P10)/1000</f>
        <v>1447.1499130299999</v>
      </c>
      <c r="E17" s="182">
        <f t="shared" si="0"/>
        <v>0.39499313458615726</v>
      </c>
      <c r="F17" s="198">
        <f t="shared" si="1"/>
        <v>409.76135737999971</v>
      </c>
      <c r="G17" s="182">
        <f t="shared" si="2"/>
        <v>1.2042830834655032</v>
      </c>
      <c r="H17" s="182">
        <f t="shared" si="3"/>
        <v>1.3396146521451135</v>
      </c>
      <c r="I17" s="182">
        <f t="shared" si="4"/>
        <v>0.11237521355043345</v>
      </c>
      <c r="J17" s="182">
        <f t="shared" si="5"/>
        <v>0.13533156867961038</v>
      </c>
      <c r="K17" s="220"/>
      <c r="L17" s="112">
        <v>8</v>
      </c>
      <c r="M17" s="206">
        <f>VLOOKUP(B17,'8. Primas y Siniestros Totales'!$B$10:$D$21,2,FALSE)</f>
        <v>861.41586632999997</v>
      </c>
      <c r="N17" s="206">
        <f>VLOOKUP(B17,'8. Primas y Siniestros Totales'!$B$10:$D$21,3,FALSE)</f>
        <v>1080.2732791199999</v>
      </c>
    </row>
    <row r="18" spans="1:14" s="4" customFormat="1" x14ac:dyDescent="0.3">
      <c r="A18" s="173">
        <v>9</v>
      </c>
      <c r="B18" s="180" t="str">
        <f>'Balance diciembre 2024'!J9</f>
        <v>SEGUROS CONTINENTAL</v>
      </c>
      <c r="C18" s="221">
        <f>('Balance diciembre 2024'!J10)/1000</f>
        <v>1328.8445336700001</v>
      </c>
      <c r="D18" s="222">
        <f>('Balance Diciembre 2025'!I10)/1000</f>
        <v>1437.7777154300002</v>
      </c>
      <c r="E18" s="182">
        <f t="shared" si="0"/>
        <v>8.1975866250620477E-2</v>
      </c>
      <c r="F18" s="198">
        <f t="shared" si="1"/>
        <v>108.93318176000002</v>
      </c>
      <c r="G18" s="182">
        <f t="shared" si="2"/>
        <v>2.4481560135645895</v>
      </c>
      <c r="H18" s="182">
        <f t="shared" si="3"/>
        <v>2.3411682629987896</v>
      </c>
      <c r="I18" s="182">
        <f t="shared" si="4"/>
        <v>-4.3701361340130696E-2</v>
      </c>
      <c r="J18" s="182">
        <f t="shared" si="5"/>
        <v>-0.1069877505657999</v>
      </c>
      <c r="K18" s="220"/>
      <c r="L18" s="112">
        <v>9</v>
      </c>
      <c r="M18" s="206">
        <f>VLOOKUP(B18,'8. Primas y Siniestros Totales'!$B$10:$D$21,2,FALSE)</f>
        <v>542.79405654999994</v>
      </c>
      <c r="N18" s="206">
        <f>VLOOKUP(B18,'8. Primas y Siniestros Totales'!$B$10:$D$21,3,FALSE)</f>
        <v>614.12831284000004</v>
      </c>
    </row>
    <row r="19" spans="1:14" ht="15.75" x14ac:dyDescent="0.3">
      <c r="A19" s="173">
        <v>10</v>
      </c>
      <c r="B19" s="180" t="str">
        <f>'Balance diciembre 2024'!M9</f>
        <v>SEGUROS EQUIDAD</v>
      </c>
      <c r="C19" s="221">
        <f>('Balance diciembre 2024'!M10)/1000</f>
        <v>1322.3536912499999</v>
      </c>
      <c r="D19" s="165">
        <f>('Balance Diciembre 2025'!L10)/1000</f>
        <v>1331.0279349399998</v>
      </c>
      <c r="E19" s="182">
        <f t="shared" si="0"/>
        <v>6.5597001372608155E-3</v>
      </c>
      <c r="F19" s="198">
        <f t="shared" si="1"/>
        <v>8.674243689999912</v>
      </c>
      <c r="G19" s="182">
        <f t="shared" si="2"/>
        <v>1.8241205382338941</v>
      </c>
      <c r="H19" s="182">
        <f t="shared" si="3"/>
        <v>2.22795234481202</v>
      </c>
      <c r="I19" s="182">
        <f t="shared" si="4"/>
        <v>0.2213843866749694</v>
      </c>
      <c r="J19" s="182">
        <f t="shared" si="5"/>
        <v>0.4038318065781259</v>
      </c>
      <c r="K19" s="220"/>
      <c r="L19" s="108">
        <v>10</v>
      </c>
      <c r="M19" s="206">
        <f>VLOOKUP(B19,'8. Primas y Siniestros Totales'!$B$10:$D$21,2,FALSE)</f>
        <v>724.92670497000006</v>
      </c>
      <c r="N19" s="206">
        <f>VLOOKUP(B19,'8. Primas y Siniestros Totales'!$B$10:$D$21,3,FALSE)</f>
        <v>597.42208491999997</v>
      </c>
    </row>
    <row r="20" spans="1:14" s="542" customFormat="1" x14ac:dyDescent="0.3">
      <c r="A20" s="28">
        <v>11</v>
      </c>
      <c r="B20" s="180" t="str">
        <f>'Balance diciembre 2024'!P9</f>
        <v>ASEGURADORA RURAL</v>
      </c>
      <c r="C20" s="221">
        <f>('Balance diciembre 2024'!O10)/1000</f>
        <v>707.97496749999993</v>
      </c>
      <c r="D20" s="222">
        <f>('Balance Diciembre 2025'!O10)/1000</f>
        <v>1107.9931197000001</v>
      </c>
      <c r="E20" s="182">
        <f t="shared" si="0"/>
        <v>0.56501736722774765</v>
      </c>
      <c r="F20" s="198">
        <f t="shared" si="1"/>
        <v>400.01815220000015</v>
      </c>
      <c r="G20" s="182">
        <f t="shared" si="2"/>
        <v>1.5099484845252829</v>
      </c>
      <c r="H20" s="182">
        <f t="shared" si="3"/>
        <v>2.0341794323292453</v>
      </c>
      <c r="I20" s="182">
        <f t="shared" si="4"/>
        <v>0.34718465773935114</v>
      </c>
      <c r="J20" s="182">
        <f t="shared" si="5"/>
        <v>0.5242309478039624</v>
      </c>
      <c r="K20" s="556"/>
      <c r="L20" s="558">
        <v>11</v>
      </c>
      <c r="M20" s="560">
        <f>VLOOKUP(B20,'8. Primas y Siniestros Totales'!$B$10:$D$21,2,FALSE)</f>
        <v>468.87359055999997</v>
      </c>
      <c r="N20" s="560">
        <f>VLOOKUP(B20,'8. Primas y Siniestros Totales'!$B$10:$D$21,3,FALSE)</f>
        <v>544.68799659000001</v>
      </c>
    </row>
    <row r="21" spans="1:14" ht="15" customHeight="1" x14ac:dyDescent="0.3">
      <c r="A21" s="173">
        <v>12</v>
      </c>
      <c r="B21" s="180" t="str">
        <f>'Balance diciembre 2024'!O9</f>
        <v>SEGUROS LAFISE</v>
      </c>
      <c r="C21" s="222">
        <f>('Balance diciembre 2024'!Q10)/1000</f>
        <v>823.10515395999994</v>
      </c>
      <c r="D21" s="222">
        <f>('Balance Diciembre 2025'!N10)/1000</f>
        <v>753.58713492000015</v>
      </c>
      <c r="E21" s="158">
        <f t="shared" si="0"/>
        <v>-8.4458247777389195E-2</v>
      </c>
      <c r="F21" s="205">
        <f t="shared" si="1"/>
        <v>-69.518019039999785</v>
      </c>
      <c r="G21" s="182">
        <f t="shared" si="2"/>
        <v>2.038781118552222</v>
      </c>
      <c r="H21" s="182">
        <f t="shared" si="3"/>
        <v>1.4649871751191601</v>
      </c>
      <c r="I21" s="158">
        <f t="shared" si="4"/>
        <v>-0.28143969855897233</v>
      </c>
      <c r="J21" s="158">
        <f t="shared" si="5"/>
        <v>-0.57379394343306189</v>
      </c>
      <c r="K21" s="220"/>
      <c r="L21" s="108">
        <v>12</v>
      </c>
      <c r="M21" s="206">
        <f>VLOOKUP(B21,'8. Primas y Siniestros Totales'!$B$10:$D$21,2,FALSE)</f>
        <v>403.72414011000006</v>
      </c>
      <c r="N21" s="206">
        <f>VLOOKUP(B21,'8. Primas y Siniestros Totales'!$B$10:$D$21,3,FALSE)</f>
        <v>514.39845188999993</v>
      </c>
    </row>
    <row r="22" spans="1:14" x14ac:dyDescent="0.3">
      <c r="A22" s="665" t="s">
        <v>29</v>
      </c>
      <c r="B22" s="665"/>
      <c r="C22" s="189">
        <f>SUM(C10:C21)</f>
        <v>25855.197884099995</v>
      </c>
      <c r="D22" s="189">
        <f>SUM(D10:D21)</f>
        <v>28386.078018380002</v>
      </c>
      <c r="E22" s="188">
        <f>IFERROR(D22/C22-1,0)</f>
        <v>9.7886705242987482E-2</v>
      </c>
      <c r="F22" s="189">
        <f>D22-C22</f>
        <v>2530.880134280007</v>
      </c>
      <c r="G22" s="212">
        <f>C22/M22</f>
        <v>1.401993484723328</v>
      </c>
      <c r="H22" s="201">
        <f>D22/N22</f>
        <v>1.4065231542189827</v>
      </c>
      <c r="I22" s="186">
        <f>IFERROR(H22/G22-1,0)</f>
        <v>3.230877707358637E-3</v>
      </c>
      <c r="J22" s="212">
        <f>H22-G22</f>
        <v>4.5296694956546979E-3</v>
      </c>
      <c r="K22" s="220"/>
      <c r="L22" s="108"/>
      <c r="M22" s="209">
        <f>SUM(M10:M21)</f>
        <v>18441.738970850001</v>
      </c>
      <c r="N22" s="209">
        <f>SUM(N10:N21)</f>
        <v>20181.735318919997</v>
      </c>
    </row>
    <row r="23" spans="1:14" x14ac:dyDescent="0.3">
      <c r="A23" t="s">
        <v>57</v>
      </c>
      <c r="C23" s="30"/>
    </row>
    <row r="24" spans="1:14" x14ac:dyDescent="0.3">
      <c r="C24" s="26"/>
      <c r="D24" s="4"/>
      <c r="E24" s="4"/>
    </row>
    <row r="25" spans="1:14" x14ac:dyDescent="0.3">
      <c r="B25" s="25"/>
    </row>
    <row r="26" spans="1:14" ht="15.75" x14ac:dyDescent="0.3">
      <c r="A26" s="539" t="s">
        <v>367</v>
      </c>
      <c r="B26" s="502"/>
      <c r="C26" s="501"/>
      <c r="D26" s="501"/>
      <c r="E26" s="501"/>
      <c r="F26" s="501"/>
      <c r="G26" s="501"/>
      <c r="H26" s="501"/>
      <c r="I26" s="501"/>
      <c r="J26" s="501"/>
    </row>
    <row r="27" spans="1:14" x14ac:dyDescent="0.3">
      <c r="A27" s="111"/>
      <c r="B27" s="110"/>
      <c r="C27" s="110"/>
      <c r="D27" s="110"/>
      <c r="E27" s="110"/>
      <c r="F27" s="110"/>
      <c r="G27" s="110"/>
      <c r="H27" s="110"/>
      <c r="I27" s="110"/>
      <c r="J27" s="110"/>
    </row>
    <row r="28" spans="1:14" x14ac:dyDescent="0.3">
      <c r="A28" s="667" t="s">
        <v>25</v>
      </c>
      <c r="B28" s="169" t="s">
        <v>26</v>
      </c>
      <c r="C28" s="671" t="s">
        <v>44</v>
      </c>
      <c r="D28" s="665"/>
      <c r="E28" s="665" t="s">
        <v>45</v>
      </c>
      <c r="F28" s="665"/>
      <c r="G28" s="672" t="s">
        <v>56</v>
      </c>
      <c r="H28" s="672"/>
      <c r="I28" s="672" t="s">
        <v>45</v>
      </c>
      <c r="J28" s="672"/>
      <c r="L28" s="108"/>
      <c r="M28" s="149" t="s">
        <v>5</v>
      </c>
      <c r="N28" s="149" t="s">
        <v>5</v>
      </c>
    </row>
    <row r="29" spans="1:14" x14ac:dyDescent="0.3">
      <c r="A29" s="667"/>
      <c r="B29" s="170"/>
      <c r="C29" s="148">
        <f>'1. Ramos Totales'!$B$9</f>
        <v>45657</v>
      </c>
      <c r="D29" s="148">
        <f>'1. Ramos Totales'!$C$9</f>
        <v>46022</v>
      </c>
      <c r="E29" s="149" t="s">
        <v>9</v>
      </c>
      <c r="F29" s="172" t="s">
        <v>10</v>
      </c>
      <c r="G29" s="146">
        <f>'1. Ramos Totales'!$B$9</f>
        <v>45657</v>
      </c>
      <c r="H29" s="146">
        <f>'1. Ramos Totales'!$C$9</f>
        <v>46022</v>
      </c>
      <c r="I29" s="147" t="s">
        <v>9</v>
      </c>
      <c r="J29" s="147" t="s">
        <v>10</v>
      </c>
      <c r="L29" s="108"/>
      <c r="M29" s="208">
        <v>2024</v>
      </c>
      <c r="N29" s="210" t="s">
        <v>368</v>
      </c>
    </row>
    <row r="30" spans="1:14" ht="15.75" x14ac:dyDescent="0.3">
      <c r="A30" s="173">
        <v>1</v>
      </c>
      <c r="B30" s="195" t="str">
        <f>'Balance diciembre 2024'!I9</f>
        <v>FICOHSA SEGUROS</v>
      </c>
      <c r="C30" s="221">
        <f>('Balance diciembre 2024'!I25)/1000</f>
        <v>7735.1519151499997</v>
      </c>
      <c r="D30" s="183">
        <f>('Balance Diciembre 2025'!H25)/1000</f>
        <v>8192.3152759200002</v>
      </c>
      <c r="E30" s="182">
        <f t="shared" ref="E30:E41" si="6">IFERROR(D30/C30-1,0)</f>
        <v>5.9102053299639135E-2</v>
      </c>
      <c r="F30" s="198">
        <f t="shared" ref="F30:F41" si="7">D30-C30</f>
        <v>457.16336077000051</v>
      </c>
      <c r="G30" s="182">
        <f t="shared" ref="G30:G41" si="8">C30/M30</f>
        <v>1.7543236115901957</v>
      </c>
      <c r="H30" s="182">
        <f t="shared" ref="H30:H41" si="9">D30/N30</f>
        <v>1.6888574551850033</v>
      </c>
      <c r="I30" s="182">
        <f t="shared" ref="I30:I41" si="10">IFERROR(H30/G30-1,0)</f>
        <v>-3.7317035450404101E-2</v>
      </c>
      <c r="J30" s="182">
        <f t="shared" ref="J30:J41" si="11">H30-G30</f>
        <v>-6.5466156405192377E-2</v>
      </c>
      <c r="L30" s="108">
        <v>1</v>
      </c>
      <c r="M30" s="206">
        <f>VLOOKUP(B30,'8. Primas y Siniestros Totales'!$B$10:$D$21,2,FALSE)</f>
        <v>4409.1933005100009</v>
      </c>
      <c r="N30" s="206">
        <f>VLOOKUP(B30,'8. Primas y Siniestros Totales'!$B$10:$D$21,3,FALSE)</f>
        <v>4850.8032757700003</v>
      </c>
    </row>
    <row r="31" spans="1:14" x14ac:dyDescent="0.3">
      <c r="A31" s="173">
        <v>2</v>
      </c>
      <c r="B31" s="180" t="str">
        <f>'Balance diciembre 2024'!H9</f>
        <v>MAPFRE SEGUROS</v>
      </c>
      <c r="C31" s="221">
        <f>('Balance diciembre 2024'!H25)/1000</f>
        <v>5576.3544682399997</v>
      </c>
      <c r="D31" s="222">
        <f>('Balance Diciembre 2025'!G25)/1000</f>
        <v>7102.3868755599997</v>
      </c>
      <c r="E31" s="182">
        <f t="shared" si="6"/>
        <v>0.27366129897435365</v>
      </c>
      <c r="F31" s="198">
        <f t="shared" si="7"/>
        <v>1526.0324073199999</v>
      </c>
      <c r="G31" s="182">
        <f t="shared" si="8"/>
        <v>1.8269086818789779</v>
      </c>
      <c r="H31" s="182">
        <f t="shared" si="9"/>
        <v>2.2709568759300311</v>
      </c>
      <c r="I31" s="182">
        <f t="shared" si="10"/>
        <v>0.24305987401316043</v>
      </c>
      <c r="J31" s="182">
        <f t="shared" si="11"/>
        <v>0.44404819405105322</v>
      </c>
      <c r="L31" s="112">
        <v>2</v>
      </c>
      <c r="M31" s="206">
        <f>VLOOKUP(B31,'8. Primas y Siniestros Totales'!$B$10:$D$21,2,FALSE)</f>
        <v>3052.3443911300001</v>
      </c>
      <c r="N31" s="206">
        <f>VLOOKUP(B31,'8. Primas y Siniestros Totales'!$B$10:$D$21,3,FALSE)</f>
        <v>3127.48645773</v>
      </c>
    </row>
    <row r="32" spans="1:14" x14ac:dyDescent="0.3">
      <c r="A32" s="351">
        <v>3</v>
      </c>
      <c r="B32" s="180" t="str">
        <f>'Balance diciembre 2024'!K9</f>
        <v>SEGUROS ATLÁNTIDA</v>
      </c>
      <c r="C32" s="221">
        <f>('Balance diciembre 2024'!K25)/1000</f>
        <v>4969.2127016599998</v>
      </c>
      <c r="D32" s="222">
        <f>('Balance Diciembre 2025'!J25)/1000</f>
        <v>4827.5553355799993</v>
      </c>
      <c r="E32" s="182">
        <f t="shared" si="6"/>
        <v>-2.8507003943034848E-2</v>
      </c>
      <c r="F32" s="198">
        <f t="shared" si="7"/>
        <v>-141.65736608000043</v>
      </c>
      <c r="G32" s="182">
        <f t="shared" si="8"/>
        <v>2.0003780001816227</v>
      </c>
      <c r="H32" s="182">
        <f t="shared" si="9"/>
        <v>1.7631196680824543</v>
      </c>
      <c r="I32" s="182">
        <f t="shared" si="10"/>
        <v>-0.11860674936318372</v>
      </c>
      <c r="J32" s="182">
        <f t="shared" si="11"/>
        <v>-0.23725833209916836</v>
      </c>
      <c r="L32" s="354">
        <v>3</v>
      </c>
      <c r="M32" s="211">
        <f>VLOOKUP(B32,'8. Primas y Siniestros Totales'!$B$10:$D$21,2,FALSE)</f>
        <v>2484.13684874</v>
      </c>
      <c r="N32" s="211">
        <f>VLOOKUP(B32,'8. Primas y Siniestros Totales'!$B$10:$D$21,3,FALSE)</f>
        <v>2738.0758226300004</v>
      </c>
    </row>
    <row r="33" spans="1:14" x14ac:dyDescent="0.3">
      <c r="A33" s="173">
        <v>4</v>
      </c>
      <c r="B33" s="180" t="str">
        <f>'Balance diciembre 2024'!L9</f>
        <v>CREFISA</v>
      </c>
      <c r="C33" s="221">
        <f>('Balance diciembre 2024'!L25)/1000</f>
        <v>4249.0055894799998</v>
      </c>
      <c r="D33" s="222">
        <f>('Balance Diciembre 2025'!K25)/1000</f>
        <v>4670.7495410500005</v>
      </c>
      <c r="E33" s="182">
        <f t="shared" si="6"/>
        <v>9.9257095028113307E-2</v>
      </c>
      <c r="F33" s="198">
        <f t="shared" si="7"/>
        <v>421.74395157000072</v>
      </c>
      <c r="G33" s="182">
        <f t="shared" si="8"/>
        <v>3.1523027092387803</v>
      </c>
      <c r="H33" s="182">
        <f t="shared" si="9"/>
        <v>2.8078198617365917</v>
      </c>
      <c r="I33" s="182">
        <f t="shared" si="10"/>
        <v>-0.1092797485763588</v>
      </c>
      <c r="J33" s="182">
        <f t="shared" si="11"/>
        <v>-0.3444828475021886</v>
      </c>
      <c r="L33" s="108">
        <v>4</v>
      </c>
      <c r="M33" s="206">
        <f>VLOOKUP(B33,'8. Primas y Siniestros Totales'!$B$10:$D$21,2,FALSE)</f>
        <v>1347.90531919</v>
      </c>
      <c r="N33" s="206">
        <f>VLOOKUP(B33,'8. Primas y Siniestros Totales'!$B$10:$D$21,3,FALSE)</f>
        <v>1663.4790588599999</v>
      </c>
    </row>
    <row r="34" spans="1:14" x14ac:dyDescent="0.3">
      <c r="A34" s="173">
        <v>5</v>
      </c>
      <c r="B34" s="180" t="str">
        <f>'Balance diciembre 2024'!G9</f>
        <v>PALIC</v>
      </c>
      <c r="C34" s="221">
        <f>('Balance diciembre 2024'!G25)/1000</f>
        <v>3691.9576763599998</v>
      </c>
      <c r="D34" s="222">
        <f>('Balance Diciembre 2025'!F25)/1000</f>
        <v>4090.4428763599999</v>
      </c>
      <c r="E34" s="182">
        <f t="shared" si="6"/>
        <v>0.10793330664420764</v>
      </c>
      <c r="F34" s="198">
        <f t="shared" si="7"/>
        <v>398.48520000000008</v>
      </c>
      <c r="G34" s="182">
        <f t="shared" si="8"/>
        <v>2.6718443432364332</v>
      </c>
      <c r="H34" s="182">
        <f t="shared" si="9"/>
        <v>2.8208365848818362</v>
      </c>
      <c r="I34" s="182">
        <f t="shared" si="10"/>
        <v>5.5763817986839381E-2</v>
      </c>
      <c r="J34" s="182">
        <f t="shared" si="11"/>
        <v>0.14899224164540303</v>
      </c>
      <c r="L34" s="108">
        <v>5</v>
      </c>
      <c r="M34" s="206">
        <f>VLOOKUP(B34,'8. Primas y Siniestros Totales'!$B$10:$D$21,2,FALSE)</f>
        <v>1381.80118378</v>
      </c>
      <c r="N34" s="206">
        <f>VLOOKUP(B34,'8. Primas y Siniestros Totales'!$B$10:$D$21,3,FALSE)</f>
        <v>1450.0814752200001</v>
      </c>
    </row>
    <row r="35" spans="1:14" x14ac:dyDescent="0.3">
      <c r="A35" s="173">
        <v>6</v>
      </c>
      <c r="B35" s="203" t="str">
        <f>'Balance diciembre 2024'!Q9</f>
        <v>ASSA CIA. DE SEGUROS</v>
      </c>
      <c r="C35" s="221">
        <f>('Balance diciembre 2024'!P25)/1000</f>
        <v>1037.3885556500002</v>
      </c>
      <c r="D35" s="222">
        <f>('Balance Diciembre 2025'!P25)/1000</f>
        <v>4358.9762206000005</v>
      </c>
      <c r="E35" s="182">
        <f t="shared" si="6"/>
        <v>3.2018742127618536</v>
      </c>
      <c r="F35" s="198">
        <f t="shared" si="7"/>
        <v>3321.5876649500005</v>
      </c>
      <c r="G35" s="182">
        <f t="shared" si="8"/>
        <v>1.2042830834655032</v>
      </c>
      <c r="H35" s="182">
        <f t="shared" si="9"/>
        <v>4.0350680747661007</v>
      </c>
      <c r="I35" s="182">
        <f t="shared" si="10"/>
        <v>2.3505976544606058</v>
      </c>
      <c r="J35" s="182">
        <f t="shared" si="11"/>
        <v>2.8307849913005976</v>
      </c>
      <c r="L35" s="108">
        <v>6</v>
      </c>
      <c r="M35" s="206">
        <f>VLOOKUP(B35,'8. Primas y Siniestros Totales'!$B$10:$D$21,2,FALSE)</f>
        <v>861.41586632999997</v>
      </c>
      <c r="N35" s="206">
        <f>VLOOKUP(B35,'8. Primas y Siniestros Totales'!$B$10:$D$21,3,FALSE)</f>
        <v>1080.2732791199999</v>
      </c>
    </row>
    <row r="36" spans="1:14" ht="15.75" x14ac:dyDescent="0.3">
      <c r="A36" s="173">
        <v>7</v>
      </c>
      <c r="B36" s="180" t="str">
        <f>'Balance diciembre 2024'!N9</f>
        <v>SEGUROS DEL PAÍS</v>
      </c>
      <c r="C36" s="221">
        <f>('Balance diciembre 2024'!N25)/1000</f>
        <v>3313.4340507800002</v>
      </c>
      <c r="D36" s="165">
        <f>('Balance Diciembre 2025'!M25)/1000</f>
        <v>3618.5237930100002</v>
      </c>
      <c r="E36" s="182">
        <f t="shared" si="6"/>
        <v>9.2076600153903732E-2</v>
      </c>
      <c r="F36" s="198">
        <f t="shared" si="7"/>
        <v>305.08974222999996</v>
      </c>
      <c r="G36" s="182">
        <f t="shared" si="8"/>
        <v>2.6495948664457787</v>
      </c>
      <c r="H36" s="182">
        <f t="shared" si="9"/>
        <v>2.6296344502574422</v>
      </c>
      <c r="I36" s="182">
        <f t="shared" si="10"/>
        <v>-7.5333842321002598E-3</v>
      </c>
      <c r="J36" s="182">
        <f t="shared" si="11"/>
        <v>-1.9960416188336438E-2</v>
      </c>
      <c r="L36" s="112">
        <v>7</v>
      </c>
      <c r="M36" s="206">
        <f>VLOOKUP(B36,'8. Primas y Siniestros Totales'!$B$10:$D$21,2,FALSE)</f>
        <v>1250.5436558399999</v>
      </c>
      <c r="N36" s="206">
        <f>VLOOKUP(B36,'8. Primas y Siniestros Totales'!$B$10:$D$21,3,FALSE)</f>
        <v>1376.0558212399999</v>
      </c>
    </row>
    <row r="37" spans="1:14" ht="15.75" x14ac:dyDescent="0.3">
      <c r="A37" s="173">
        <v>8</v>
      </c>
      <c r="B37" s="180" t="str">
        <f>'Balance diciembre 2024'!F9</f>
        <v>SEGUROS DAVIVIENDA</v>
      </c>
      <c r="C37" s="221">
        <f>('Balance diciembre 2024'!F25)/1000</f>
        <v>3057.2780564300006</v>
      </c>
      <c r="D37" s="165">
        <f>('Balance Diciembre 2025'!E25)/1000</f>
        <v>3145.76305456</v>
      </c>
      <c r="E37" s="182">
        <f t="shared" si="6"/>
        <v>2.8942411026010362E-2</v>
      </c>
      <c r="F37" s="198">
        <f t="shared" si="7"/>
        <v>88.48499812999944</v>
      </c>
      <c r="G37" s="182">
        <f t="shared" si="8"/>
        <v>2.0192316336127947</v>
      </c>
      <c r="H37" s="182">
        <f t="shared" si="9"/>
        <v>1.9360409026493646</v>
      </c>
      <c r="I37" s="182">
        <f t="shared" si="10"/>
        <v>-4.1199201507449601E-2</v>
      </c>
      <c r="J37" s="182">
        <f t="shared" si="11"/>
        <v>-8.3190730963430104E-2</v>
      </c>
      <c r="L37" s="112">
        <v>8</v>
      </c>
      <c r="M37" s="206">
        <f>VLOOKUP(B37,'8. Primas y Siniestros Totales'!$B$10:$D$21,2,FALSE)</f>
        <v>1514.0799131400001</v>
      </c>
      <c r="N37" s="206">
        <f>VLOOKUP(B37,'8. Primas y Siniestros Totales'!$B$10:$D$21,3,FALSE)</f>
        <v>1624.8432821099998</v>
      </c>
    </row>
    <row r="38" spans="1:14" x14ac:dyDescent="0.3">
      <c r="A38" s="173">
        <v>9</v>
      </c>
      <c r="B38" s="180" t="str">
        <f>'Balance diciembre 2024'!J9</f>
        <v>SEGUROS CONTINENTAL</v>
      </c>
      <c r="C38" s="221">
        <f>('Balance diciembre 2024'!J25)/1000</f>
        <v>3092.6755677599999</v>
      </c>
      <c r="D38" s="222">
        <f>('Balance Diciembre 2025'!I25)/1000</f>
        <v>2691.45386401</v>
      </c>
      <c r="E38" s="182">
        <f t="shared" si="6"/>
        <v>-0.1297328785251799</v>
      </c>
      <c r="F38" s="198">
        <f t="shared" si="7"/>
        <v>-401.22170374999996</v>
      </c>
      <c r="G38" s="182">
        <f t="shared" si="8"/>
        <v>5.6976960790931495</v>
      </c>
      <c r="H38" s="182">
        <f t="shared" si="9"/>
        <v>4.3825594875499725</v>
      </c>
      <c r="I38" s="182">
        <f t="shared" si="10"/>
        <v>-0.23081901408691763</v>
      </c>
      <c r="J38" s="182">
        <f t="shared" si="11"/>
        <v>-1.315136591543177</v>
      </c>
      <c r="L38" s="112">
        <v>9</v>
      </c>
      <c r="M38" s="206">
        <f>VLOOKUP(B38,'8. Primas y Siniestros Totales'!$B$10:$D$21,2,FALSE)</f>
        <v>542.79405654999994</v>
      </c>
      <c r="N38" s="206">
        <f>VLOOKUP(B38,'8. Primas y Siniestros Totales'!$B$10:$D$21,3,FALSE)</f>
        <v>614.12831284000004</v>
      </c>
    </row>
    <row r="39" spans="1:14" x14ac:dyDescent="0.3">
      <c r="A39" s="173">
        <v>10</v>
      </c>
      <c r="B39" s="180" t="str">
        <f>'Balance diciembre 2024'!O9</f>
        <v>SEGUROS LAFISE</v>
      </c>
      <c r="C39" s="222">
        <f>('Balance diciembre 2024'!Q25)/1000</f>
        <v>2094.0821250999998</v>
      </c>
      <c r="D39" s="222">
        <f>('Balance Diciembre 2025'!N25)/1000</f>
        <v>1576.0493806800002</v>
      </c>
      <c r="E39" s="158">
        <f t="shared" si="6"/>
        <v>-0.24737938317259722</v>
      </c>
      <c r="F39" s="205">
        <f t="shared" si="7"/>
        <v>-518.03274441999952</v>
      </c>
      <c r="G39" s="182">
        <f t="shared" si="8"/>
        <v>5.1869133327757879</v>
      </c>
      <c r="H39" s="182">
        <f t="shared" si="9"/>
        <v>3.0638688255948057</v>
      </c>
      <c r="I39" s="158">
        <f t="shared" si="10"/>
        <v>-0.40930788138787555</v>
      </c>
      <c r="J39" s="158">
        <f t="shared" si="11"/>
        <v>-2.1230445071809823</v>
      </c>
      <c r="L39" s="108">
        <v>10</v>
      </c>
      <c r="M39" s="206">
        <f>VLOOKUP(B39,'8. Primas y Siniestros Totales'!$B$10:$D$21,2,FALSE)</f>
        <v>403.72414011000006</v>
      </c>
      <c r="N39" s="206">
        <f>VLOOKUP(B39,'8. Primas y Siniestros Totales'!$B$10:$D$21,3,FALSE)</f>
        <v>514.39845188999993</v>
      </c>
    </row>
    <row r="40" spans="1:14" ht="15.75" x14ac:dyDescent="0.3">
      <c r="A40" s="173">
        <v>11</v>
      </c>
      <c r="B40" s="180" t="str">
        <f>'Balance diciembre 2024'!M9</f>
        <v>SEGUROS EQUIDAD</v>
      </c>
      <c r="C40" s="221">
        <f>('Balance diciembre 2024'!M25)/1000</f>
        <v>1343.2511166099998</v>
      </c>
      <c r="D40" s="165">
        <f>('Balance Diciembre 2025'!L25)/1000</f>
        <v>1356.3306566499998</v>
      </c>
      <c r="E40" s="182">
        <f t="shared" si="6"/>
        <v>9.7372262552137823E-3</v>
      </c>
      <c r="F40" s="198">
        <f t="shared" si="7"/>
        <v>13.079540039999983</v>
      </c>
      <c r="G40" s="182">
        <f t="shared" si="8"/>
        <v>1.8529474875195668</v>
      </c>
      <c r="H40" s="182">
        <f t="shared" si="9"/>
        <v>2.2703055191399968</v>
      </c>
      <c r="I40" s="182">
        <f t="shared" si="10"/>
        <v>0.22524007530247014</v>
      </c>
      <c r="J40" s="182">
        <f t="shared" si="11"/>
        <v>0.41735803162042995</v>
      </c>
      <c r="L40" s="108">
        <v>11</v>
      </c>
      <c r="M40" s="206">
        <f>VLOOKUP(B40,'8. Primas y Siniestros Totales'!$B$10:$D$21,2,FALSE)</f>
        <v>724.92670497000006</v>
      </c>
      <c r="N40" s="206">
        <f>VLOOKUP(B40,'8. Primas y Siniestros Totales'!$B$10:$D$21,3,FALSE)</f>
        <v>597.42208491999997</v>
      </c>
    </row>
    <row r="41" spans="1:14" x14ac:dyDescent="0.3">
      <c r="A41" s="173">
        <v>12</v>
      </c>
      <c r="B41" s="180" t="str">
        <f>'Balance diciembre 2024'!P9</f>
        <v>ASEGURADORA RURAL</v>
      </c>
      <c r="C41" s="221">
        <f>('Balance diciembre 2024'!O25)/1000</f>
        <v>1639.0992653200001</v>
      </c>
      <c r="D41" s="222">
        <f>('Balance Diciembre 2025'!O25)/1000</f>
        <v>1107.9931197000001</v>
      </c>
      <c r="E41" s="182">
        <f t="shared" si="6"/>
        <v>-0.324023173493591</v>
      </c>
      <c r="F41" s="198">
        <f t="shared" si="7"/>
        <v>-531.10614562000001</v>
      </c>
      <c r="G41" s="182">
        <f t="shared" si="8"/>
        <v>3.4958233910388068</v>
      </c>
      <c r="H41" s="182">
        <f t="shared" si="9"/>
        <v>2.0341794323292453</v>
      </c>
      <c r="I41" s="182">
        <f t="shared" si="10"/>
        <v>-0.41811149912674062</v>
      </c>
      <c r="J41" s="182">
        <f t="shared" si="11"/>
        <v>-1.4616439587095615</v>
      </c>
      <c r="L41" s="108">
        <v>12</v>
      </c>
      <c r="M41" s="206">
        <f>VLOOKUP(B41,'8. Primas y Siniestros Totales'!$B$10:$D$21,2,FALSE)</f>
        <v>468.87359055999997</v>
      </c>
      <c r="N41" s="206">
        <f>VLOOKUP(B41,'8. Primas y Siniestros Totales'!$B$10:$D$21,3,FALSE)</f>
        <v>544.68799659000001</v>
      </c>
    </row>
    <row r="42" spans="1:14" x14ac:dyDescent="0.3">
      <c r="A42" s="665" t="s">
        <v>29</v>
      </c>
      <c r="B42" s="665"/>
      <c r="C42" s="189">
        <f>SUM(C30:C41)</f>
        <v>41798.891088540004</v>
      </c>
      <c r="D42" s="189">
        <f>SUM(D30:D41)</f>
        <v>46738.539993679995</v>
      </c>
      <c r="E42" s="188">
        <f>IFERROR(D42/C42-1,0)</f>
        <v>0.11817655388695925</v>
      </c>
      <c r="F42" s="200">
        <f>D42-C42</f>
        <v>4939.6489051399913</v>
      </c>
      <c r="G42" s="212">
        <f>C42/M42</f>
        <v>2.2665373994615998</v>
      </c>
      <c r="H42" s="201">
        <f>D42/N42</f>
        <v>2.3158831118879797</v>
      </c>
      <c r="I42" s="186">
        <f>IFERROR(H42/G42-1,0)</f>
        <v>2.1771408862744313E-2</v>
      </c>
      <c r="J42" s="212">
        <f>H42-G42</f>
        <v>4.9345712426379862E-2</v>
      </c>
      <c r="L42" s="108"/>
      <c r="M42" s="209">
        <f>SUM(M30:M41)</f>
        <v>18441.738970850001</v>
      </c>
      <c r="N42" s="209">
        <f>SUM(N30:N41)</f>
        <v>20181.73531892</v>
      </c>
    </row>
    <row r="43" spans="1:14" x14ac:dyDescent="0.3">
      <c r="A43" t="s">
        <v>57</v>
      </c>
      <c r="C43" s="30"/>
    </row>
  </sheetData>
  <sortState xmlns:xlrd2="http://schemas.microsoft.com/office/spreadsheetml/2017/richdata2" ref="B10:J21">
    <sortCondition descending="1" ref="D10:D21"/>
  </sortState>
  <mergeCells count="12">
    <mergeCell ref="A42:B42"/>
    <mergeCell ref="A28:A29"/>
    <mergeCell ref="C28:D28"/>
    <mergeCell ref="E28:F28"/>
    <mergeCell ref="G28:H28"/>
    <mergeCell ref="I28:J28"/>
    <mergeCell ref="G8:H8"/>
    <mergeCell ref="I8:J8"/>
    <mergeCell ref="E8:F8"/>
    <mergeCell ref="A22:B22"/>
    <mergeCell ref="A8:A9"/>
    <mergeCell ref="C8:D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5"/>
  <dimension ref="A1:O23"/>
  <sheetViews>
    <sheetView showGridLines="0" topLeftCell="A8" zoomScaleNormal="100" workbookViewId="0">
      <selection activeCell="E22" sqref="E22"/>
    </sheetView>
  </sheetViews>
  <sheetFormatPr baseColWidth="10" defaultRowHeight="15" x14ac:dyDescent="0.3"/>
  <cols>
    <col min="1" max="1" width="5.5703125" customWidth="1"/>
    <col min="2" max="2" width="22.7109375" bestFit="1" customWidth="1"/>
    <col min="3" max="3" width="11.5703125" customWidth="1"/>
    <col min="4" max="4" width="11.140625" customWidth="1"/>
    <col min="5" max="6" width="11.85546875" customWidth="1"/>
    <col min="7" max="7" width="14.85546875" customWidth="1"/>
    <col min="8" max="8" width="15" customWidth="1"/>
    <col min="9" max="9" width="14.5703125" customWidth="1"/>
    <col min="10" max="10" width="16.42578125" customWidth="1"/>
    <col min="11" max="11" width="17.85546875" customWidth="1"/>
    <col min="12" max="13" width="16.140625" hidden="1" customWidth="1"/>
    <col min="14" max="14" width="11.42578125" hidden="1" customWidth="1"/>
  </cols>
  <sheetData>
    <row r="1" spans="1:15" s="502" customFormat="1" x14ac:dyDescent="0.25">
      <c r="A1" s="494" t="s">
        <v>0</v>
      </c>
      <c r="B1" s="505"/>
      <c r="C1" s="505"/>
      <c r="D1" s="505"/>
      <c r="E1" s="505"/>
      <c r="F1" s="505"/>
      <c r="G1" s="505"/>
      <c r="H1" s="505"/>
      <c r="I1" s="505"/>
      <c r="J1" s="505"/>
      <c r="K1" s="505"/>
      <c r="L1" s="505"/>
      <c r="M1" s="505"/>
    </row>
    <row r="2" spans="1:15" s="502" customFormat="1" x14ac:dyDescent="0.25">
      <c r="A2" s="494" t="s">
        <v>42</v>
      </c>
      <c r="B2" s="505"/>
      <c r="C2" s="505"/>
      <c r="D2" s="505"/>
      <c r="E2" s="505"/>
      <c r="F2" s="505"/>
      <c r="G2" s="505"/>
      <c r="H2" s="505"/>
      <c r="I2" s="505"/>
      <c r="J2" s="505"/>
      <c r="K2" s="505"/>
      <c r="L2" s="505"/>
      <c r="M2" s="505"/>
    </row>
    <row r="3" spans="1:15" s="502" customFormat="1" x14ac:dyDescent="0.25">
      <c r="A3" s="494" t="str">
        <f>'1. Ramos Totales'!A3</f>
        <v>Al 31 de diciembre de 2025</v>
      </c>
      <c r="B3" s="505"/>
      <c r="C3" s="505"/>
      <c r="D3" s="505"/>
      <c r="E3" s="505"/>
      <c r="F3" s="505"/>
      <c r="G3" s="505"/>
      <c r="H3" s="505"/>
      <c r="I3" s="505"/>
      <c r="J3" s="505"/>
      <c r="K3" s="505"/>
      <c r="L3" s="505"/>
      <c r="M3" s="505"/>
    </row>
    <row r="4" spans="1:15" s="502" customFormat="1" x14ac:dyDescent="0.25">
      <c r="A4" s="494" t="s">
        <v>2</v>
      </c>
      <c r="B4" s="505"/>
      <c r="C4" s="505"/>
      <c r="D4" s="505"/>
      <c r="E4" s="505"/>
      <c r="F4" s="505"/>
      <c r="G4" s="505"/>
      <c r="H4" s="505"/>
      <c r="I4" s="505"/>
      <c r="J4" s="505"/>
      <c r="K4" s="505"/>
      <c r="L4" s="505"/>
      <c r="M4" s="505"/>
    </row>
    <row r="5" spans="1:15" s="502" customFormat="1" ht="7.5" customHeight="1" x14ac:dyDescent="0.25">
      <c r="A5" s="503"/>
      <c r="B5" s="501"/>
      <c r="C5" s="501"/>
      <c r="D5" s="501"/>
      <c r="E5" s="501"/>
      <c r="F5" s="501"/>
      <c r="G5" s="501"/>
      <c r="H5" s="501"/>
      <c r="I5" s="501"/>
      <c r="J5" s="501"/>
      <c r="K5" s="501"/>
      <c r="L5" s="501"/>
      <c r="M5" s="501"/>
      <c r="N5" s="501"/>
      <c r="O5" s="501"/>
    </row>
    <row r="6" spans="1:15" s="502" customFormat="1" x14ac:dyDescent="0.25">
      <c r="A6" s="502" t="s">
        <v>58</v>
      </c>
      <c r="C6" s="501"/>
      <c r="D6" s="501"/>
      <c r="E6" s="501"/>
      <c r="F6" s="501"/>
      <c r="G6" s="501"/>
      <c r="H6" s="501"/>
      <c r="I6" s="501"/>
      <c r="J6" s="501"/>
      <c r="K6" s="501"/>
      <c r="L6" s="501"/>
      <c r="M6" s="501"/>
    </row>
    <row r="7" spans="1:15" ht="7.5" customHeight="1" x14ac:dyDescent="0.3">
      <c r="A7" s="111"/>
      <c r="B7" s="110"/>
      <c r="C7" s="110"/>
      <c r="D7" s="110"/>
      <c r="E7" s="110"/>
      <c r="F7" s="110"/>
      <c r="G7" s="110"/>
      <c r="H7" s="110"/>
      <c r="I7" s="110"/>
      <c r="J7" s="110"/>
      <c r="K7" s="110"/>
      <c r="L7" s="110"/>
      <c r="M7" s="110"/>
      <c r="N7" s="108"/>
    </row>
    <row r="8" spans="1:15" ht="15" customHeight="1" x14ac:dyDescent="0.3">
      <c r="A8" s="667" t="s">
        <v>25</v>
      </c>
      <c r="B8" s="169" t="s">
        <v>26</v>
      </c>
      <c r="C8" s="671" t="s">
        <v>44</v>
      </c>
      <c r="D8" s="665"/>
      <c r="E8" s="665" t="s">
        <v>45</v>
      </c>
      <c r="F8" s="665"/>
      <c r="G8" s="672" t="s">
        <v>59</v>
      </c>
      <c r="H8" s="672"/>
      <c r="I8" s="672" t="s">
        <v>45</v>
      </c>
      <c r="J8" s="672"/>
      <c r="K8" s="217"/>
      <c r="L8" s="108"/>
      <c r="M8" s="149" t="s">
        <v>5</v>
      </c>
      <c r="N8" s="149" t="s">
        <v>5</v>
      </c>
    </row>
    <row r="9" spans="1:15"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218"/>
      <c r="L9" s="108"/>
      <c r="M9" s="208">
        <v>2023</v>
      </c>
      <c r="N9" s="210" t="s">
        <v>360</v>
      </c>
    </row>
    <row r="10" spans="1:15" s="350" customFormat="1" ht="18" customHeight="1" x14ac:dyDescent="0.3">
      <c r="A10" s="28">
        <v>1</v>
      </c>
      <c r="B10" s="195" t="str">
        <f>'Balance diciembre 2024'!I9</f>
        <v>FICOHSA SEGUROS</v>
      </c>
      <c r="C10" s="221">
        <f>('Balance diciembre 2024'!I39)/1000</f>
        <v>1444.9398068099999</v>
      </c>
      <c r="D10" s="183">
        <f>('Balance Diciembre 2025'!H39)/1000</f>
        <v>1521.4582088</v>
      </c>
      <c r="E10" s="182">
        <f t="shared" ref="E10:E21" si="0">IFERROR(D10/C10-1,0)</f>
        <v>5.2956117361684374E-2</v>
      </c>
      <c r="F10" s="198">
        <f t="shared" ref="F10:F21" si="1">D10-C10</f>
        <v>76.518401990000029</v>
      </c>
      <c r="G10" s="182">
        <f t="shared" ref="G10:G21" si="2">C10/M10</f>
        <v>0.32771069634050004</v>
      </c>
      <c r="H10" s="182">
        <f t="shared" ref="H10:H21" si="3">D10/N10</f>
        <v>0.31365077540863351</v>
      </c>
      <c r="I10" s="182">
        <f t="shared" ref="I10:I21" si="4">IFERROR(H10/G10-1,0)</f>
        <v>-4.2903454445862521E-2</v>
      </c>
      <c r="J10" s="182">
        <f t="shared" ref="J10:J21" si="5">H10-G10</f>
        <v>-1.4059920931866532E-2</v>
      </c>
      <c r="K10" s="219"/>
      <c r="L10" s="113">
        <v>1</v>
      </c>
      <c r="M10" s="211">
        <f>VLOOKUP(B10,'8. Primas y Siniestros Totales'!$B$10:$D$21,2,FALSE)</f>
        <v>4409.1933005100009</v>
      </c>
      <c r="N10" s="211">
        <f>VLOOKUP(B10,'8. Primas y Siniestros Totales'!$B$10:$D$21,3,FALSE)</f>
        <v>4850.8032757700003</v>
      </c>
    </row>
    <row r="11" spans="1:15" ht="15.75" x14ac:dyDescent="0.3">
      <c r="A11" s="173">
        <v>2</v>
      </c>
      <c r="B11" s="180" t="str">
        <f>'Balance diciembre 2024'!K9</f>
        <v>SEGUROS ATLÁNTIDA</v>
      </c>
      <c r="C11" s="221">
        <f>('Balance diciembre 2024'!K39)/1000</f>
        <v>1367.5580825300001</v>
      </c>
      <c r="D11" s="183">
        <f>('Balance Diciembre 2025'!J39)/1000</f>
        <v>1476.22055454</v>
      </c>
      <c r="E11" s="182">
        <f t="shared" si="0"/>
        <v>7.9457299399651848E-2</v>
      </c>
      <c r="F11" s="198">
        <f t="shared" si="1"/>
        <v>108.66247200999987</v>
      </c>
      <c r="G11" s="182">
        <f t="shared" si="2"/>
        <v>0.55051640300076499</v>
      </c>
      <c r="H11" s="182">
        <f t="shared" si="3"/>
        <v>0.53914524292539412</v>
      </c>
      <c r="I11" s="182">
        <f t="shared" si="4"/>
        <v>-2.0655442804953239E-2</v>
      </c>
      <c r="J11" s="182">
        <f t="shared" si="5"/>
        <v>-1.1371160075370867E-2</v>
      </c>
      <c r="K11" s="220"/>
      <c r="L11" s="108">
        <v>2</v>
      </c>
      <c r="M11" s="206">
        <f>VLOOKUP(B11,'8. Primas y Siniestros Totales'!$B$10:$D$21,2,FALSE)</f>
        <v>2484.13684874</v>
      </c>
      <c r="N11" s="206">
        <f>VLOOKUP(B11,'8. Primas y Siniestros Totales'!$B$10:$D$21,3,FALSE)</f>
        <v>2738.0758226300004</v>
      </c>
    </row>
    <row r="12" spans="1:15" ht="15.6" customHeight="1" x14ac:dyDescent="0.3">
      <c r="A12" s="202">
        <v>3</v>
      </c>
      <c r="B12" s="180" t="str">
        <f>'Balance diciembre 2024'!F9</f>
        <v>SEGUROS DAVIVIENDA</v>
      </c>
      <c r="C12" s="221">
        <f>('Balance diciembre 2024'!F39)/1000</f>
        <v>1218.0772305200001</v>
      </c>
      <c r="D12" s="221">
        <f>('Balance Diciembre 2025'!E39)/1000</f>
        <v>1364.4463742200001</v>
      </c>
      <c r="E12" s="182">
        <f t="shared" si="0"/>
        <v>0.12016409143245754</v>
      </c>
      <c r="F12" s="198">
        <f t="shared" si="1"/>
        <v>146.3691437</v>
      </c>
      <c r="G12" s="182">
        <f t="shared" si="2"/>
        <v>0.80449996063541329</v>
      </c>
      <c r="H12" s="182">
        <f t="shared" si="3"/>
        <v>0.83974029325963562</v>
      </c>
      <c r="I12" s="182">
        <f t="shared" si="4"/>
        <v>4.38040203213792E-2</v>
      </c>
      <c r="J12" s="182">
        <f t="shared" si="5"/>
        <v>3.5240332624222326E-2</v>
      </c>
      <c r="K12" s="219"/>
      <c r="L12" s="108">
        <v>3</v>
      </c>
      <c r="M12" s="206">
        <f>VLOOKUP(B12,'8. Primas y Siniestros Totales'!$B$10:$D$21,2,FALSE)</f>
        <v>1514.0799131400001</v>
      </c>
      <c r="N12" s="206">
        <f>VLOOKUP(B12,'8. Primas y Siniestros Totales'!$B$10:$D$21,3,FALSE)</f>
        <v>1624.8432821099998</v>
      </c>
    </row>
    <row r="13" spans="1:15" x14ac:dyDescent="0.3">
      <c r="A13" s="173">
        <v>4</v>
      </c>
      <c r="B13" s="180" t="str">
        <f>'Balance diciembre 2024'!H9</f>
        <v>MAPFRE SEGUROS</v>
      </c>
      <c r="C13" s="221">
        <f>('Balance diciembre 2024'!H39)/1000</f>
        <v>729.37285957000006</v>
      </c>
      <c r="D13" s="221">
        <f>('Balance Diciembre 2025'!G39)/1000</f>
        <v>900.72080679999988</v>
      </c>
      <c r="E13" s="182">
        <f t="shared" si="0"/>
        <v>0.23492503865720682</v>
      </c>
      <c r="F13" s="198">
        <f t="shared" si="1"/>
        <v>171.34794722999982</v>
      </c>
      <c r="G13" s="182">
        <f t="shared" si="2"/>
        <v>0.2389549690688674</v>
      </c>
      <c r="H13" s="182">
        <f t="shared" si="3"/>
        <v>0.28800150503409799</v>
      </c>
      <c r="I13" s="182">
        <f t="shared" si="4"/>
        <v>0.20525430442543025</v>
      </c>
      <c r="J13" s="182">
        <f t="shared" si="5"/>
        <v>4.9046535965230592E-2</v>
      </c>
      <c r="K13" s="220"/>
      <c r="L13" s="108">
        <v>4</v>
      </c>
      <c r="M13" s="206">
        <f>VLOOKUP(B13,'8. Primas y Siniestros Totales'!$B$10:$D$21,2,FALSE)</f>
        <v>3052.3443911300001</v>
      </c>
      <c r="N13" s="206">
        <f>VLOOKUP(B13,'8. Primas y Siniestros Totales'!$B$10:$D$21,3,FALSE)</f>
        <v>3127.48645773</v>
      </c>
    </row>
    <row r="14" spans="1:15" ht="16.5" customHeight="1" x14ac:dyDescent="0.3">
      <c r="A14" s="173">
        <v>5</v>
      </c>
      <c r="B14" s="180" t="str">
        <f>'Balance diciembre 2024'!G9</f>
        <v>PALIC</v>
      </c>
      <c r="C14" s="221">
        <f>('Balance diciembre 2024'!G39)/1000</f>
        <v>654.10547310000004</v>
      </c>
      <c r="D14" s="221">
        <f>('Balance Diciembre 2025'!F39)/1000</f>
        <v>842.41888490000008</v>
      </c>
      <c r="E14" s="182">
        <f t="shared" si="0"/>
        <v>0.28789456676998415</v>
      </c>
      <c r="F14" s="198">
        <f t="shared" si="1"/>
        <v>188.31341180000004</v>
      </c>
      <c r="G14" s="182">
        <f t="shared" si="2"/>
        <v>0.47337162594596666</v>
      </c>
      <c r="H14" s="182">
        <f t="shared" si="3"/>
        <v>0.58094589807251484</v>
      </c>
      <c r="I14" s="182">
        <f t="shared" si="4"/>
        <v>0.2272512044032553</v>
      </c>
      <c r="J14" s="182">
        <f t="shared" si="5"/>
        <v>0.10757427212654819</v>
      </c>
      <c r="K14" s="220"/>
      <c r="L14" s="108">
        <v>5</v>
      </c>
      <c r="M14" s="206">
        <f>VLOOKUP(B14,'8. Primas y Siniestros Totales'!$B$10:$D$21,2,FALSE)</f>
        <v>1381.80118378</v>
      </c>
      <c r="N14" s="206">
        <f>VLOOKUP(B14,'8. Primas y Siniestros Totales'!$B$10:$D$21,3,FALSE)</f>
        <v>1450.0814752200001</v>
      </c>
    </row>
    <row r="15" spans="1:15" ht="16.5" customHeight="1" x14ac:dyDescent="0.3">
      <c r="A15" s="173">
        <v>6</v>
      </c>
      <c r="B15" s="180" t="str">
        <f>'Balance diciembre 2024'!J9</f>
        <v>SEGUROS CONTINENTAL</v>
      </c>
      <c r="C15" s="221">
        <f>('Balance diciembre 2024'!J39)/1000</f>
        <v>741.35874327999989</v>
      </c>
      <c r="D15" s="221">
        <f>('Balance Diciembre 2025'!I39)/1000</f>
        <v>781.52968927999996</v>
      </c>
      <c r="E15" s="182">
        <f t="shared" si="0"/>
        <v>5.4185569893290042E-2</v>
      </c>
      <c r="F15" s="198">
        <f t="shared" si="1"/>
        <v>40.170946000000072</v>
      </c>
      <c r="G15" s="182">
        <f t="shared" si="2"/>
        <v>1.3658195669865612</v>
      </c>
      <c r="H15" s="182">
        <f t="shared" si="3"/>
        <v>1.2725837140871461</v>
      </c>
      <c r="I15" s="182">
        <f t="shared" si="4"/>
        <v>-6.8263667583210452E-2</v>
      </c>
      <c r="J15" s="182">
        <f t="shared" si="5"/>
        <v>-9.323585289941505E-2</v>
      </c>
      <c r="K15" s="220"/>
      <c r="L15" s="108">
        <v>6</v>
      </c>
      <c r="M15" s="206">
        <f>VLOOKUP(B15,'8. Primas y Siniestros Totales'!$B$10:$D$21,2,FALSE)</f>
        <v>542.79405654999994</v>
      </c>
      <c r="N15" s="206">
        <f>VLOOKUP(B15,'8. Primas y Siniestros Totales'!$B$10:$D$21,3,FALSE)</f>
        <v>614.12831284000004</v>
      </c>
    </row>
    <row r="16" spans="1:15" x14ac:dyDescent="0.3">
      <c r="A16" s="173">
        <v>7</v>
      </c>
      <c r="B16" s="203" t="str">
        <f>'Balance diciembre 2024'!N9</f>
        <v>SEGUROS DEL PAÍS</v>
      </c>
      <c r="C16" s="222">
        <f>('Balance diciembre 2024'!N39)/1000</f>
        <v>713.75883675</v>
      </c>
      <c r="D16" s="222">
        <f>('Balance Diciembre 2025'!M39)/1000</f>
        <v>756.62426524</v>
      </c>
      <c r="E16" s="158">
        <f t="shared" si="0"/>
        <v>6.0055898831574028E-2</v>
      </c>
      <c r="F16" s="205">
        <f t="shared" si="1"/>
        <v>42.865428489999999</v>
      </c>
      <c r="G16" s="182">
        <f t="shared" si="2"/>
        <v>0.57075883230206992</v>
      </c>
      <c r="H16" s="182">
        <f t="shared" si="3"/>
        <v>0.54984997960198012</v>
      </c>
      <c r="I16" s="158">
        <f t="shared" si="4"/>
        <v>-3.6633428195507856E-2</v>
      </c>
      <c r="J16" s="158">
        <f t="shared" si="5"/>
        <v>-2.0908852700089797E-2</v>
      </c>
      <c r="K16" s="220"/>
      <c r="L16" s="108">
        <v>7</v>
      </c>
      <c r="M16" s="206">
        <f>VLOOKUP(B16,'8. Primas y Siniestros Totales'!$B$10:$D$21,2,FALSE)</f>
        <v>1250.5436558399999</v>
      </c>
      <c r="N16" s="206">
        <f>VLOOKUP(B16,'8. Primas y Siniestros Totales'!$B$10:$D$21,3,FALSE)</f>
        <v>1376.0558212399999</v>
      </c>
    </row>
    <row r="17" spans="1:14" x14ac:dyDescent="0.3">
      <c r="A17" s="173">
        <v>8</v>
      </c>
      <c r="B17" s="180" t="str">
        <f>'Balance diciembre 2024'!M9</f>
        <v>SEGUROS EQUIDAD</v>
      </c>
      <c r="C17" s="221">
        <f>('Balance diciembre 2024'!M39)/1000</f>
        <v>639.48253774000011</v>
      </c>
      <c r="D17" s="221">
        <f>('Balance Diciembre 2025'!L39)/1000</f>
        <v>725.85647930000016</v>
      </c>
      <c r="E17" s="182">
        <f t="shared" si="0"/>
        <v>0.13506849126053511</v>
      </c>
      <c r="F17" s="198">
        <f t="shared" si="1"/>
        <v>86.373941560000048</v>
      </c>
      <c r="G17" s="182">
        <f t="shared" si="2"/>
        <v>0.88213406038954534</v>
      </c>
      <c r="H17" s="182">
        <f t="shared" si="3"/>
        <v>1.2149809952158006</v>
      </c>
      <c r="I17" s="182">
        <f t="shared" si="4"/>
        <v>0.37732012601267417</v>
      </c>
      <c r="J17" s="182">
        <f t="shared" si="5"/>
        <v>0.33284693482625527</v>
      </c>
      <c r="K17" s="220"/>
      <c r="L17" s="108">
        <v>8</v>
      </c>
      <c r="M17" s="206">
        <f>VLOOKUP(B17,'8. Primas y Siniestros Totales'!$B$10:$D$21,2,FALSE)</f>
        <v>724.92670497000006</v>
      </c>
      <c r="N17" s="206">
        <f>VLOOKUP(B17,'8. Primas y Siniestros Totales'!$B$10:$D$21,3,FALSE)</f>
        <v>597.42208491999997</v>
      </c>
    </row>
    <row r="18" spans="1:14" ht="15.75" x14ac:dyDescent="0.3">
      <c r="A18" s="173">
        <v>9</v>
      </c>
      <c r="B18" s="180" t="str">
        <f>'Balance diciembre 2024'!L9</f>
        <v>CREFISA</v>
      </c>
      <c r="C18" s="221">
        <f>('Balance diciembre 2024'!L39)/1000</f>
        <v>527.83349317</v>
      </c>
      <c r="D18" s="183">
        <f>('Balance Diciembre 2025'!K39)/1000</f>
        <v>636.08741343999998</v>
      </c>
      <c r="E18" s="182">
        <f t="shared" si="0"/>
        <v>0.20509104039582904</v>
      </c>
      <c r="F18" s="198">
        <f t="shared" si="1"/>
        <v>108.25392026999998</v>
      </c>
      <c r="G18" s="182">
        <f t="shared" si="2"/>
        <v>0.39159537814361639</v>
      </c>
      <c r="H18" s="182">
        <f t="shared" si="3"/>
        <v>0.38238378178076826</v>
      </c>
      <c r="I18" s="182">
        <f t="shared" si="4"/>
        <v>-2.3523250980428623E-2</v>
      </c>
      <c r="J18" s="182">
        <f t="shared" si="5"/>
        <v>-9.211596362848129E-3</v>
      </c>
      <c r="K18" s="220"/>
      <c r="L18" s="108">
        <v>9</v>
      </c>
      <c r="M18" s="206">
        <f>VLOOKUP(B18,'8. Primas y Siniestros Totales'!$B$10:$D$21,2,FALSE)</f>
        <v>1347.90531919</v>
      </c>
      <c r="N18" s="206">
        <f>VLOOKUP(B18,'8. Primas y Siniestros Totales'!$B$10:$D$21,3,FALSE)</f>
        <v>1663.4790588599999</v>
      </c>
    </row>
    <row r="19" spans="1:14" s="542" customFormat="1" ht="15.75" x14ac:dyDescent="0.3">
      <c r="A19" s="28">
        <v>10</v>
      </c>
      <c r="B19" s="180" t="str">
        <f>'Balance diciembre 2024'!P9</f>
        <v>ASEGURADORA RURAL</v>
      </c>
      <c r="C19" s="221">
        <f>('Balance diciembre 2024'!P39)/1000</f>
        <v>452.75098584000006</v>
      </c>
      <c r="D19" s="183">
        <f>('Balance Diciembre 2025'!O39)/1000</f>
        <v>524.47984785000006</v>
      </c>
      <c r="E19" s="182">
        <f t="shared" si="0"/>
        <v>0.15842894715495692</v>
      </c>
      <c r="F19" s="198">
        <f t="shared" si="1"/>
        <v>71.72886201</v>
      </c>
      <c r="G19" s="182">
        <f t="shared" si="2"/>
        <v>0.96561417609223021</v>
      </c>
      <c r="H19" s="182">
        <f t="shared" si="3"/>
        <v>0.96289958863328662</v>
      </c>
      <c r="I19" s="182">
        <f t="shared" si="4"/>
        <v>-2.8112547704398638E-3</v>
      </c>
      <c r="J19" s="182">
        <f t="shared" si="5"/>
        <v>-2.7145874589435959E-3</v>
      </c>
      <c r="K19" s="556"/>
      <c r="L19" s="558">
        <v>10</v>
      </c>
      <c r="M19" s="560">
        <f>VLOOKUP(B19,'8. Primas y Siniestros Totales'!$B$10:$D$21,2,FALSE)</f>
        <v>468.87359055999997</v>
      </c>
      <c r="N19" s="560">
        <f>VLOOKUP(B19,'8. Primas y Siniestros Totales'!$B$10:$D$21,3,FALSE)</f>
        <v>544.68799659000001</v>
      </c>
    </row>
    <row r="20" spans="1:14" ht="15.6" customHeight="1" x14ac:dyDescent="0.3">
      <c r="A20" s="173">
        <v>11</v>
      </c>
      <c r="B20" s="180" t="str">
        <f>'Balance diciembre 2024'!O9</f>
        <v>SEGUROS LAFISE</v>
      </c>
      <c r="C20" s="221">
        <f>('Balance diciembre 2024'!O39)/1000</f>
        <v>324.62190854999994</v>
      </c>
      <c r="D20" s="221">
        <f>('Balance Diciembre 2025'!N39)/1000</f>
        <v>333.82222698999999</v>
      </c>
      <c r="E20" s="182">
        <f t="shared" si="0"/>
        <v>2.834164360962399E-2</v>
      </c>
      <c r="F20" s="198">
        <f t="shared" si="1"/>
        <v>9.2003184400000464</v>
      </c>
      <c r="G20" s="182">
        <f t="shared" si="2"/>
        <v>0.80406861096181259</v>
      </c>
      <c r="H20" s="182">
        <f t="shared" si="3"/>
        <v>0.64895651564166301</v>
      </c>
      <c r="I20" s="182">
        <f t="shared" si="4"/>
        <v>-0.19290902941057142</v>
      </c>
      <c r="J20" s="182">
        <f t="shared" si="5"/>
        <v>-0.15511209532014958</v>
      </c>
      <c r="K20" s="220"/>
      <c r="L20" s="108">
        <v>11</v>
      </c>
      <c r="M20" s="206">
        <f>VLOOKUP(B20,'8. Primas y Siniestros Totales'!$B$10:$D$21,2,FALSE)</f>
        <v>403.72414011000006</v>
      </c>
      <c r="N20" s="206">
        <f>VLOOKUP(B20,'8. Primas y Siniestros Totales'!$B$10:$D$21,3,FALSE)</f>
        <v>514.39845188999993</v>
      </c>
    </row>
    <row r="21" spans="1:14" ht="17.25" customHeight="1" x14ac:dyDescent="0.3">
      <c r="A21" s="173">
        <v>12</v>
      </c>
      <c r="B21" s="180" t="str">
        <f>'Balance diciembre 2024'!Q9</f>
        <v>ASSA CIA. DE SEGUROS</v>
      </c>
      <c r="C21" s="221">
        <f>('Balance diciembre 2024'!Q39)/1000</f>
        <v>252.40318927999999</v>
      </c>
      <c r="D21" s="221">
        <f>('Balance Diciembre 2025'!P39)/1000</f>
        <v>269.76335795</v>
      </c>
      <c r="E21" s="182">
        <f t="shared" si="0"/>
        <v>6.8779513917875734E-2</v>
      </c>
      <c r="F21" s="198">
        <f t="shared" si="1"/>
        <v>17.360168670000007</v>
      </c>
      <c r="G21" s="182">
        <f t="shared" si="2"/>
        <v>0.2930096822517857</v>
      </c>
      <c r="H21" s="182">
        <f t="shared" si="3"/>
        <v>0.24971769936747079</v>
      </c>
      <c r="I21" s="182">
        <f t="shared" si="4"/>
        <v>-0.14774932538616159</v>
      </c>
      <c r="J21" s="182">
        <f t="shared" si="5"/>
        <v>-4.3291982884314906E-2</v>
      </c>
      <c r="K21" s="220"/>
      <c r="L21" s="108">
        <v>12</v>
      </c>
      <c r="M21" s="206">
        <f>VLOOKUP(B21,'8. Primas y Siniestros Totales'!$B$10:$D$21,2,FALSE)</f>
        <v>861.41586632999997</v>
      </c>
      <c r="N21" s="206">
        <f>VLOOKUP(B21,'8. Primas y Siniestros Totales'!$B$10:$D$21,3,FALSE)</f>
        <v>1080.2732791199999</v>
      </c>
    </row>
    <row r="22" spans="1:14" x14ac:dyDescent="0.3">
      <c r="A22" s="665" t="s">
        <v>29</v>
      </c>
      <c r="B22" s="665"/>
      <c r="C22" s="189">
        <f>SUM(C10:C21)</f>
        <v>9066.26314714</v>
      </c>
      <c r="D22" s="189">
        <f>SUM(D10:D21)</f>
        <v>10133.42810931</v>
      </c>
      <c r="E22" s="188">
        <f>IFERROR(D22/C22-1,0)</f>
        <v>0.11770725654556391</v>
      </c>
      <c r="F22" s="200">
        <f>D22-C22</f>
        <v>1067.1649621699999</v>
      </c>
      <c r="G22" s="212">
        <f>C22/M22</f>
        <v>0.49161649893595283</v>
      </c>
      <c r="H22" s="201">
        <f>D22/N22</f>
        <v>0.50210885977729081</v>
      </c>
      <c r="I22" s="186">
        <f>IFERROR(H22/G22-1,0)</f>
        <v>2.134257264361028E-2</v>
      </c>
      <c r="J22" s="212">
        <f>H22-G22</f>
        <v>1.0492360841337978E-2</v>
      </c>
      <c r="K22" s="220"/>
      <c r="L22" s="108"/>
      <c r="M22" s="209">
        <f>SUM(M10:M21)</f>
        <v>18441.738970850001</v>
      </c>
      <c r="N22" s="209">
        <f>SUM(N10:N21)</f>
        <v>20181.73531892</v>
      </c>
    </row>
    <row r="23" spans="1:14" x14ac:dyDescent="0.3">
      <c r="E23" s="25"/>
    </row>
  </sheetData>
  <sortState xmlns:xlrd2="http://schemas.microsoft.com/office/spreadsheetml/2017/richdata2" ref="B10:J21">
    <sortCondition descending="1" ref="D10:D21"/>
  </sortState>
  <mergeCells count="6">
    <mergeCell ref="G8:H8"/>
    <mergeCell ref="I8:J8"/>
    <mergeCell ref="A8:A9"/>
    <mergeCell ref="C8:D8"/>
    <mergeCell ref="A22:B22"/>
    <mergeCell ref="E8:F8"/>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6"/>
  <dimension ref="A1:M22"/>
  <sheetViews>
    <sheetView showGridLines="0" topLeftCell="A8" zoomScaleNormal="100" workbookViewId="0">
      <selection activeCell="K16" sqref="K16"/>
    </sheetView>
  </sheetViews>
  <sheetFormatPr baseColWidth="10" defaultRowHeight="15" x14ac:dyDescent="0.3"/>
  <cols>
    <col min="1" max="1" width="4.140625" customWidth="1"/>
    <col min="2" max="2" width="22.7109375" bestFit="1" customWidth="1"/>
    <col min="3" max="3" width="10" customWidth="1"/>
    <col min="4" max="4" width="10.42578125" customWidth="1"/>
    <col min="5" max="5" width="11.42578125" customWidth="1"/>
    <col min="6" max="6" width="9.7109375" customWidth="1"/>
    <col min="7" max="7" width="13.140625" customWidth="1"/>
    <col min="8" max="11" width="11.140625" customWidth="1"/>
    <col min="12" max="12" width="11.140625" hidden="1" customWidth="1"/>
    <col min="13" max="13" width="9.28515625" hidden="1" customWidth="1"/>
  </cols>
  <sheetData>
    <row r="1" spans="1:13" s="502" customFormat="1" x14ac:dyDescent="0.25">
      <c r="A1" s="494" t="s">
        <v>0</v>
      </c>
      <c r="B1" s="505"/>
      <c r="C1" s="505"/>
      <c r="D1" s="505"/>
      <c r="E1" s="505"/>
      <c r="F1" s="505"/>
      <c r="G1" s="509"/>
      <c r="H1" s="505"/>
      <c r="I1" s="505"/>
      <c r="J1" s="505"/>
      <c r="K1" s="505"/>
      <c r="L1" s="505"/>
    </row>
    <row r="2" spans="1:13" s="502" customFormat="1" x14ac:dyDescent="0.25">
      <c r="A2" s="494" t="s">
        <v>42</v>
      </c>
      <c r="B2" s="505"/>
      <c r="C2" s="505"/>
      <c r="D2" s="505"/>
      <c r="E2" s="505"/>
      <c r="F2" s="505"/>
      <c r="G2" s="505"/>
      <c r="H2" s="505"/>
      <c r="I2" s="505"/>
      <c r="J2" s="505"/>
      <c r="K2" s="505"/>
      <c r="L2" s="505"/>
    </row>
    <row r="3" spans="1:13" s="502" customFormat="1" x14ac:dyDescent="0.25">
      <c r="A3" s="494" t="str">
        <f>'1. Ramos Totales'!A3</f>
        <v>Al 31 de diciembre de 2025</v>
      </c>
      <c r="B3" s="505"/>
      <c r="C3" s="505"/>
      <c r="D3" s="505"/>
      <c r="E3" s="505"/>
      <c r="F3" s="505"/>
      <c r="G3" s="505"/>
      <c r="H3" s="505"/>
      <c r="I3" s="505"/>
      <c r="J3" s="505"/>
      <c r="K3" s="505"/>
      <c r="L3" s="505"/>
    </row>
    <row r="4" spans="1:13" s="502" customFormat="1" x14ac:dyDescent="0.25">
      <c r="A4" s="494" t="s">
        <v>2</v>
      </c>
      <c r="B4" s="505"/>
      <c r="C4" s="505"/>
      <c r="D4" s="505"/>
      <c r="E4" s="505"/>
      <c r="F4" s="505"/>
      <c r="G4" s="505"/>
      <c r="H4" s="505"/>
      <c r="I4" s="505"/>
      <c r="J4" s="505"/>
      <c r="K4" s="505"/>
      <c r="L4" s="505"/>
    </row>
    <row r="5" spans="1:13" s="502" customFormat="1" ht="7.5" customHeight="1" x14ac:dyDescent="0.25">
      <c r="A5" s="503"/>
      <c r="B5" s="501"/>
      <c r="C5" s="501"/>
      <c r="D5" s="501"/>
      <c r="E5" s="501"/>
      <c r="F5" s="501"/>
      <c r="G5" s="501"/>
      <c r="H5" s="501"/>
      <c r="I5" s="501"/>
      <c r="J5" s="501"/>
      <c r="K5" s="501"/>
      <c r="L5" s="501"/>
    </row>
    <row r="6" spans="1:13" s="502" customFormat="1" x14ac:dyDescent="0.25">
      <c r="A6" s="502" t="s">
        <v>60</v>
      </c>
      <c r="C6" s="501"/>
      <c r="D6" s="501"/>
      <c r="E6" s="512"/>
      <c r="F6" s="513"/>
      <c r="G6" s="501"/>
      <c r="H6" s="501"/>
      <c r="I6" s="501"/>
      <c r="J6" s="501"/>
      <c r="K6" s="501"/>
      <c r="L6" s="501"/>
    </row>
    <row r="7" spans="1:13" ht="7.5" customHeight="1" x14ac:dyDescent="0.3">
      <c r="A7" s="111"/>
      <c r="B7" s="110"/>
      <c r="C7" s="110"/>
      <c r="D7" s="110"/>
      <c r="E7" s="110"/>
      <c r="F7" s="110"/>
      <c r="G7" s="110"/>
      <c r="H7" s="110"/>
      <c r="I7" s="110"/>
      <c r="J7" s="110"/>
      <c r="K7" s="110"/>
      <c r="L7" s="110"/>
      <c r="M7" s="108"/>
    </row>
    <row r="8" spans="1:13" x14ac:dyDescent="0.3">
      <c r="A8" s="667" t="s">
        <v>25</v>
      </c>
      <c r="B8" s="169" t="s">
        <v>26</v>
      </c>
      <c r="C8" s="671" t="s">
        <v>44</v>
      </c>
      <c r="D8" s="665"/>
      <c r="E8" s="665" t="s">
        <v>45</v>
      </c>
      <c r="F8" s="665"/>
      <c r="G8" s="672" t="s">
        <v>61</v>
      </c>
      <c r="H8" s="672"/>
      <c r="I8" s="672" t="s">
        <v>45</v>
      </c>
      <c r="J8" s="672"/>
      <c r="K8" s="108"/>
      <c r="L8" s="149" t="s">
        <v>5</v>
      </c>
      <c r="M8" s="149" t="s">
        <v>5</v>
      </c>
    </row>
    <row r="9" spans="1:13" ht="18" x14ac:dyDescent="0.35">
      <c r="A9" s="667"/>
      <c r="B9" s="170"/>
      <c r="C9" s="148">
        <f>'1. Ramos Totales'!$B$9</f>
        <v>45657</v>
      </c>
      <c r="D9" s="148">
        <f>'1. Ramos Totales'!$C$9</f>
        <v>46022</v>
      </c>
      <c r="E9" s="149" t="s">
        <v>9</v>
      </c>
      <c r="F9" s="172" t="s">
        <v>10</v>
      </c>
      <c r="G9" s="146">
        <f>'1. Ramos Totales'!$B$9</f>
        <v>45657</v>
      </c>
      <c r="H9" s="146">
        <f>'1. Ramos Totales'!$C$9</f>
        <v>46022</v>
      </c>
      <c r="I9" s="147" t="s">
        <v>9</v>
      </c>
      <c r="J9" s="147" t="s">
        <v>10</v>
      </c>
      <c r="K9" s="128"/>
      <c r="L9" s="208">
        <v>2023</v>
      </c>
      <c r="M9" s="210" t="s">
        <v>360</v>
      </c>
    </row>
    <row r="10" spans="1:13" ht="15.75" x14ac:dyDescent="0.3">
      <c r="A10" s="173">
        <v>1</v>
      </c>
      <c r="B10" s="195" t="str">
        <f>'ER diciembre 2024'!H9</f>
        <v>FICOHSA SEGUROS</v>
      </c>
      <c r="C10" s="221">
        <f>('ER diciembre 2024'!H25)/1000</f>
        <v>3242.7795726600002</v>
      </c>
      <c r="D10" s="183">
        <f>('ER Diciembre 2025'!F25)/1000</f>
        <v>3473.34432651</v>
      </c>
      <c r="E10" s="182">
        <f t="shared" ref="E10:E21" si="0">IFERROR(D10/C10-1,0)</f>
        <v>7.1100964059938043E-2</v>
      </c>
      <c r="F10" s="198">
        <f t="shared" ref="F10:F21" si="1">D10-C10</f>
        <v>230.56475384999976</v>
      </c>
      <c r="G10" s="182">
        <f t="shared" ref="G10:G21" si="2">C10/L10</f>
        <v>0.73545869995876922</v>
      </c>
      <c r="H10" s="182">
        <f t="shared" ref="H10:H21" si="3">D10/M10</f>
        <v>0.71603487691606149</v>
      </c>
      <c r="I10" s="182">
        <f t="shared" ref="I10:I21" si="4">IFERROR(H10/G10-1,0)</f>
        <v>-2.6410487827252083E-2</v>
      </c>
      <c r="J10" s="182">
        <f t="shared" ref="J10:J21" si="5">H10-G10</f>
        <v>-1.9423823042707733E-2</v>
      </c>
      <c r="K10" s="113"/>
      <c r="L10" s="211">
        <f>VLOOKUP(B10,'8. Primas y Siniestros Totales'!$B$10:$D$21,2,FALSE)</f>
        <v>4409.1933005100009</v>
      </c>
      <c r="M10" s="211">
        <f>VLOOKUP(B10,'8. Primas y Siniestros Totales'!$B$10:$D$21,3,FALSE)</f>
        <v>4850.8032757700003</v>
      </c>
    </row>
    <row r="11" spans="1:13" s="350" customFormat="1" ht="15.75" x14ac:dyDescent="0.3">
      <c r="A11" s="28">
        <v>2</v>
      </c>
      <c r="B11" s="180" t="str">
        <f>'ER diciembre 2024'!G9</f>
        <v>MAPFRE SEGUROS</v>
      </c>
      <c r="C11" s="221">
        <f>('ER diciembre 2024'!G25)/1000</f>
        <v>2146.63138063</v>
      </c>
      <c r="D11" s="183">
        <f>('ER Diciembre 2025'!E25)/1000</f>
        <v>2223.6662179699997</v>
      </c>
      <c r="E11" s="182">
        <f t="shared" si="0"/>
        <v>3.5886383677756317E-2</v>
      </c>
      <c r="F11" s="198">
        <f t="shared" si="1"/>
        <v>77.03483733999974</v>
      </c>
      <c r="G11" s="182">
        <f t="shared" si="2"/>
        <v>0.70327299464242354</v>
      </c>
      <c r="H11" s="182">
        <f t="shared" si="3"/>
        <v>0.71100746494806144</v>
      </c>
      <c r="I11" s="182">
        <f t="shared" si="4"/>
        <v>1.0997820710534345E-2</v>
      </c>
      <c r="J11" s="182">
        <f t="shared" si="5"/>
        <v>7.7344703056378972E-3</v>
      </c>
      <c r="K11" s="108"/>
      <c r="L11" s="206">
        <f>VLOOKUP(B11,'8. Primas y Siniestros Totales'!$B$10:$D$21,2,FALSE)</f>
        <v>3052.3443911300001</v>
      </c>
      <c r="M11" s="206">
        <f>VLOOKUP(B11,'8. Primas y Siniestros Totales'!$B$10:$D$21,3,FALSE)</f>
        <v>3127.48645773</v>
      </c>
    </row>
    <row r="12" spans="1:13" s="350" customFormat="1" x14ac:dyDescent="0.3">
      <c r="A12" s="351">
        <v>3</v>
      </c>
      <c r="B12" s="180" t="str">
        <f>'ER diciembre 2024'!J9</f>
        <v>SEGUROS ATLÁNTIDA</v>
      </c>
      <c r="C12" s="221">
        <f>('ER diciembre 2024'!J25)/1000</f>
        <v>901.57876380999994</v>
      </c>
      <c r="D12" s="221">
        <f>('ER Diciembre 2025'!H25)/1000</f>
        <v>1152.76501269</v>
      </c>
      <c r="E12" s="182">
        <f t="shared" si="0"/>
        <v>0.27860710451797588</v>
      </c>
      <c r="F12" s="198">
        <f t="shared" si="1"/>
        <v>251.18624888000011</v>
      </c>
      <c r="G12" s="182">
        <f t="shared" si="2"/>
        <v>0.36293441895815737</v>
      </c>
      <c r="H12" s="182">
        <f t="shared" si="3"/>
        <v>0.42101281606684515</v>
      </c>
      <c r="I12" s="182">
        <f t="shared" si="4"/>
        <v>0.16002449499115601</v>
      </c>
      <c r="J12" s="182">
        <f t="shared" si="5"/>
        <v>5.8078397108687785E-2</v>
      </c>
      <c r="K12" s="108"/>
      <c r="L12" s="206">
        <f>VLOOKUP(B12,'8. Primas y Siniestros Totales'!$B$10:$D$21,2,FALSE)</f>
        <v>2484.13684874</v>
      </c>
      <c r="M12" s="206">
        <f>VLOOKUP(B12,'8. Primas y Siniestros Totales'!$B$10:$D$21,3,FALSE)</f>
        <v>2738.0758226300004</v>
      </c>
    </row>
    <row r="13" spans="1:13" x14ac:dyDescent="0.3">
      <c r="A13" s="173">
        <v>4</v>
      </c>
      <c r="B13" s="180" t="str">
        <f>'ER diciembre 2024'!P9</f>
        <v>ASSA CIA. DE SEGUROS</v>
      </c>
      <c r="C13" s="221">
        <f>('ER diciembre 2024'!P25)/1000</f>
        <v>807.65942741999993</v>
      </c>
      <c r="D13" s="221">
        <f>('ER Diciembre 2025'!N25)/1000</f>
        <v>962.51350365999997</v>
      </c>
      <c r="E13" s="182">
        <f t="shared" si="0"/>
        <v>0.19173189958875159</v>
      </c>
      <c r="F13" s="198">
        <f t="shared" si="1"/>
        <v>154.85407624000004</v>
      </c>
      <c r="G13" s="182">
        <f t="shared" si="2"/>
        <v>0.93759525333678206</v>
      </c>
      <c r="H13" s="182">
        <f t="shared" si="3"/>
        <v>0.89099075415812556</v>
      </c>
      <c r="I13" s="182">
        <f t="shared" si="4"/>
        <v>-4.970641544184129E-2</v>
      </c>
      <c r="J13" s="182">
        <f t="shared" si="5"/>
        <v>-4.66044991786565E-2</v>
      </c>
      <c r="K13" s="108"/>
      <c r="L13" s="206">
        <f>VLOOKUP(B13,'8. Primas y Siniestros Totales'!$B$10:$D$21,2,FALSE)</f>
        <v>861.41586632999997</v>
      </c>
      <c r="M13" s="206">
        <f>VLOOKUP(B13,'8. Primas y Siniestros Totales'!$B$10:$D$21,3,FALSE)</f>
        <v>1080.2732791199999</v>
      </c>
    </row>
    <row r="14" spans="1:13" x14ac:dyDescent="0.3">
      <c r="A14" s="173">
        <v>5</v>
      </c>
      <c r="B14" s="203" t="str">
        <f>'ER diciembre 2024'!K9</f>
        <v>CREFISA</v>
      </c>
      <c r="C14" s="222">
        <f>('ER diciembre 2024'!K25)/1000</f>
        <v>707.58809377</v>
      </c>
      <c r="D14" s="222">
        <f>('ER Diciembre 2025'!I25)/1000</f>
        <v>928.49481668999999</v>
      </c>
      <c r="E14" s="158">
        <f t="shared" si="0"/>
        <v>0.31219677784997502</v>
      </c>
      <c r="F14" s="205">
        <f t="shared" si="1"/>
        <v>220.90672291999999</v>
      </c>
      <c r="G14" s="182">
        <f t="shared" si="2"/>
        <v>0.5249538552123324</v>
      </c>
      <c r="H14" s="182">
        <f t="shared" si="3"/>
        <v>0.5581644155630715</v>
      </c>
      <c r="I14" s="158">
        <f t="shared" si="4"/>
        <v>6.3263770750490389E-2</v>
      </c>
      <c r="J14" s="158">
        <f t="shared" si="5"/>
        <v>3.3210560350739105E-2</v>
      </c>
      <c r="K14" s="108"/>
      <c r="L14" s="206">
        <f>VLOOKUP(B14,'8. Primas y Siniestros Totales'!$B$10:$D$21,2,FALSE)</f>
        <v>1347.90531919</v>
      </c>
      <c r="M14" s="206">
        <f>VLOOKUP(B14,'8. Primas y Siniestros Totales'!$B$10:$D$21,3,FALSE)</f>
        <v>1663.4790588599999</v>
      </c>
    </row>
    <row r="15" spans="1:13" x14ac:dyDescent="0.3">
      <c r="A15" s="173">
        <v>6</v>
      </c>
      <c r="B15" s="180" t="str">
        <f>'ER diciembre 2024'!M9</f>
        <v>SEGUROS DEL PAÍS</v>
      </c>
      <c r="C15" s="221">
        <f>('ER diciembre 2024'!M25)/1000</f>
        <v>740.48841835000007</v>
      </c>
      <c r="D15" s="221">
        <f>('ER Diciembre 2025'!K25)/1000</f>
        <v>804.39997319999998</v>
      </c>
      <c r="E15" s="182">
        <f t="shared" si="0"/>
        <v>8.6309999273737947E-2</v>
      </c>
      <c r="F15" s="198">
        <f t="shared" si="1"/>
        <v>63.911554849999902</v>
      </c>
      <c r="G15" s="182">
        <f t="shared" si="2"/>
        <v>0.59213320134162628</v>
      </c>
      <c r="H15" s="182">
        <f t="shared" si="3"/>
        <v>0.58456928911149408</v>
      </c>
      <c r="I15" s="182">
        <f t="shared" si="4"/>
        <v>-1.2774004587133847E-2</v>
      </c>
      <c r="J15" s="182">
        <f t="shared" si="5"/>
        <v>-7.563912230132197E-3</v>
      </c>
      <c r="K15" s="108"/>
      <c r="L15" s="206">
        <f>VLOOKUP(B15,'8. Primas y Siniestros Totales'!$B$10:$D$21,2,FALSE)</f>
        <v>1250.5436558399999</v>
      </c>
      <c r="M15" s="206">
        <f>VLOOKUP(B15,'8. Primas y Siniestros Totales'!$B$10:$D$21,3,FALSE)</f>
        <v>1376.0558212399999</v>
      </c>
    </row>
    <row r="16" spans="1:13" ht="15.75" x14ac:dyDescent="0.3">
      <c r="A16" s="173">
        <v>7</v>
      </c>
      <c r="B16" s="180" t="str">
        <f>'ER diciembre 2024'!E9</f>
        <v>SEGUROS DAVIVIENDA</v>
      </c>
      <c r="C16" s="221">
        <f>('ER diciembre 2024'!E25)/1000</f>
        <v>455.38416606999999</v>
      </c>
      <c r="D16" s="183">
        <f>('ER Diciembre 2025'!C25)/1000</f>
        <v>519.51773536999997</v>
      </c>
      <c r="E16" s="182">
        <f t="shared" si="0"/>
        <v>0.14083399046013745</v>
      </c>
      <c r="F16" s="198">
        <f t="shared" si="1"/>
        <v>64.133569299999976</v>
      </c>
      <c r="G16" s="182">
        <f t="shared" si="2"/>
        <v>0.30076626875367091</v>
      </c>
      <c r="H16" s="182">
        <f t="shared" si="3"/>
        <v>0.31973405748729267</v>
      </c>
      <c r="I16" s="182">
        <f t="shared" si="4"/>
        <v>6.3064880288010272E-2</v>
      </c>
      <c r="J16" s="182">
        <f t="shared" si="5"/>
        <v>1.896778873362176E-2</v>
      </c>
      <c r="K16" s="113"/>
      <c r="L16" s="211">
        <f>VLOOKUP(B16,'8. Primas y Siniestros Totales'!$B$10:$D$21,2,FALSE)</f>
        <v>1514.0799131400001</v>
      </c>
      <c r="M16" s="211">
        <f>VLOOKUP(B16,'8. Primas y Siniestros Totales'!$B$10:$D$21,3,FALSE)</f>
        <v>1624.8432821099998</v>
      </c>
    </row>
    <row r="17" spans="1:13" x14ac:dyDescent="0.3">
      <c r="A17" s="173">
        <v>8</v>
      </c>
      <c r="B17" s="180" t="str">
        <f>'ER diciembre 2024'!F9</f>
        <v>PALIC</v>
      </c>
      <c r="C17" s="221">
        <f>('ER diciembre 2024'!F25)/1000</f>
        <v>336.00529132000003</v>
      </c>
      <c r="D17" s="221">
        <f>('ER Diciembre 2025'!D25)/1000</f>
        <v>356.06934493</v>
      </c>
      <c r="E17" s="182">
        <f t="shared" si="0"/>
        <v>5.9713504901003578E-2</v>
      </c>
      <c r="F17" s="198">
        <f t="shared" si="1"/>
        <v>20.064053609999974</v>
      </c>
      <c r="G17" s="182">
        <f t="shared" si="2"/>
        <v>0.24316471520225319</v>
      </c>
      <c r="H17" s="182">
        <f t="shared" si="3"/>
        <v>0.2455512679906339</v>
      </c>
      <c r="I17" s="182">
        <f t="shared" si="4"/>
        <v>9.8145521910761868E-3</v>
      </c>
      <c r="J17" s="182">
        <f t="shared" si="5"/>
        <v>2.3865527883807081E-3</v>
      </c>
      <c r="K17" s="108"/>
      <c r="L17" s="206">
        <f>VLOOKUP(B17,'8. Primas y Siniestros Totales'!$B$10:$D$21,2,FALSE)</f>
        <v>1381.80118378</v>
      </c>
      <c r="M17" s="206">
        <f>VLOOKUP(B17,'8. Primas y Siniestros Totales'!$B$10:$D$21,3,FALSE)</f>
        <v>1450.0814752200001</v>
      </c>
    </row>
    <row r="18" spans="1:13" ht="15.75" x14ac:dyDescent="0.3">
      <c r="A18" s="173">
        <v>9</v>
      </c>
      <c r="B18" s="180" t="str">
        <f>'ER diciembre 2024'!N9</f>
        <v>SEGUROS LAFISE</v>
      </c>
      <c r="C18" s="221">
        <f>('ER diciembre 2024'!N25)/1000</f>
        <v>163.15207924000003</v>
      </c>
      <c r="D18" s="183">
        <f>('ER Diciembre 2025'!L25)/1000</f>
        <v>249.22640594000001</v>
      </c>
      <c r="E18" s="182">
        <f t="shared" si="0"/>
        <v>0.52757112934725692</v>
      </c>
      <c r="F18" s="198">
        <f t="shared" si="1"/>
        <v>86.074326699999972</v>
      </c>
      <c r="G18" s="182">
        <f t="shared" si="2"/>
        <v>0.40411772056916651</v>
      </c>
      <c r="H18" s="182">
        <f t="shared" si="3"/>
        <v>0.48450069206914159</v>
      </c>
      <c r="I18" s="182">
        <f t="shared" si="4"/>
        <v>0.1989097914012834</v>
      </c>
      <c r="J18" s="182">
        <f t="shared" si="5"/>
        <v>8.0382971499975087E-2</v>
      </c>
      <c r="K18" s="108"/>
      <c r="L18" s="206">
        <f>VLOOKUP(B18,'8. Primas y Siniestros Totales'!$B$10:$D$21,2,FALSE)</f>
        <v>403.72414011000006</v>
      </c>
      <c r="M18" s="206">
        <f>VLOOKUP(B18,'8. Primas y Siniestros Totales'!$B$10:$D$21,3,FALSE)</f>
        <v>514.39845188999993</v>
      </c>
    </row>
    <row r="19" spans="1:13" s="542" customFormat="1" x14ac:dyDescent="0.3">
      <c r="A19" s="28">
        <v>10</v>
      </c>
      <c r="B19" s="180" t="str">
        <f>'ER diciembre 2024'!O9</f>
        <v>ASEGURADORA RURAL</v>
      </c>
      <c r="C19" s="221">
        <f>('ER diciembre 2024'!O25)/1000</f>
        <v>170.11028278999999</v>
      </c>
      <c r="D19" s="221">
        <f>('ER Diciembre 2025'!M25)/1000</f>
        <v>238.85512540000002</v>
      </c>
      <c r="E19" s="182">
        <f t="shared" si="0"/>
        <v>0.40411926594034941</v>
      </c>
      <c r="F19" s="198">
        <f t="shared" si="1"/>
        <v>68.744842610000035</v>
      </c>
      <c r="G19" s="182">
        <f t="shared" si="2"/>
        <v>0.36280627916541103</v>
      </c>
      <c r="H19" s="182">
        <f t="shared" si="3"/>
        <v>0.43851732899447776</v>
      </c>
      <c r="I19" s="182">
        <f t="shared" si="4"/>
        <v>0.20868175160372138</v>
      </c>
      <c r="J19" s="182">
        <f t="shared" si="5"/>
        <v>7.5711049829066734E-2</v>
      </c>
      <c r="K19" s="558"/>
      <c r="L19" s="560">
        <f>VLOOKUP(B19,'8. Primas y Siniestros Totales'!$B$10:$D$21,2,FALSE)</f>
        <v>468.87359055999997</v>
      </c>
      <c r="M19" s="560">
        <f>VLOOKUP(B19,'8. Primas y Siniestros Totales'!$B$10:$D$21,3,FALSE)</f>
        <v>544.68799659000001</v>
      </c>
    </row>
    <row r="20" spans="1:13" x14ac:dyDescent="0.3">
      <c r="A20" s="173">
        <v>11</v>
      </c>
      <c r="B20" s="180" t="str">
        <f>'ER diciembre 2024'!I9</f>
        <v>SEGUROS CONTINENTAL</v>
      </c>
      <c r="C20" s="221">
        <f>('ER diciembre 2024'!I25)/1000</f>
        <v>164.24060180000001</v>
      </c>
      <c r="D20" s="221">
        <f>('ER Diciembre 2025'!G25)/1000</f>
        <v>190.83455487000001</v>
      </c>
      <c r="E20" s="182">
        <f t="shared" si="0"/>
        <v>0.16192069913616214</v>
      </c>
      <c r="F20" s="198">
        <f t="shared" si="1"/>
        <v>26.593953069999998</v>
      </c>
      <c r="G20" s="182">
        <f t="shared" si="2"/>
        <v>0.30258364073459754</v>
      </c>
      <c r="H20" s="182">
        <f t="shared" si="3"/>
        <v>0.31074052584792405</v>
      </c>
      <c r="I20" s="182">
        <f t="shared" si="4"/>
        <v>2.6957455774950789E-2</v>
      </c>
      <c r="J20" s="182">
        <f t="shared" si="5"/>
        <v>8.1568851133265174E-3</v>
      </c>
      <c r="K20" s="108"/>
      <c r="L20" s="206">
        <f>VLOOKUP(B20,'8. Primas y Siniestros Totales'!$B$10:$D$21,2,FALSE)</f>
        <v>542.79405654999994</v>
      </c>
      <c r="M20" s="206">
        <f>VLOOKUP(B20,'8. Primas y Siniestros Totales'!$B$10:$D$21,3,FALSE)</f>
        <v>614.12831284000004</v>
      </c>
    </row>
    <row r="21" spans="1:13" x14ac:dyDescent="0.3">
      <c r="A21" s="173">
        <v>12</v>
      </c>
      <c r="B21" s="203" t="str">
        <f>'ER diciembre 2024'!L9</f>
        <v>SEGUROS EQUIDAD</v>
      </c>
      <c r="C21" s="222">
        <f>('ER diciembre 2024'!L25)/1000</f>
        <v>78.674694849999995</v>
      </c>
      <c r="D21" s="222">
        <f>('ER Diciembre 2025'!J25)/1000</f>
        <v>16.226410510000001</v>
      </c>
      <c r="E21" s="158">
        <f t="shared" si="0"/>
        <v>-0.7937531179378956</v>
      </c>
      <c r="F21" s="205">
        <f t="shared" si="1"/>
        <v>-62.448284339999994</v>
      </c>
      <c r="G21" s="182">
        <f t="shared" si="2"/>
        <v>0.10852779227281442</v>
      </c>
      <c r="H21" s="182">
        <f t="shared" si="3"/>
        <v>2.7160714207900196E-2</v>
      </c>
      <c r="I21" s="182">
        <f t="shared" si="4"/>
        <v>-0.74973494218306513</v>
      </c>
      <c r="J21" s="182">
        <f t="shared" si="5"/>
        <v>-8.1367078064914222E-2</v>
      </c>
      <c r="K21" s="108"/>
      <c r="L21" s="206">
        <f>VLOOKUP(B21,'8. Primas y Siniestros Totales'!$B$10:$D$21,2,FALSE)</f>
        <v>724.92670497000006</v>
      </c>
      <c r="M21" s="206">
        <f>VLOOKUP(B21,'8. Primas y Siniestros Totales'!$B$10:$D$21,3,FALSE)</f>
        <v>597.42208491999997</v>
      </c>
    </row>
    <row r="22" spans="1:13" x14ac:dyDescent="0.3">
      <c r="A22" s="665" t="s">
        <v>29</v>
      </c>
      <c r="B22" s="665"/>
      <c r="C22" s="189">
        <f>SUM(C10:C21)</f>
        <v>9914.2927727100014</v>
      </c>
      <c r="D22" s="189">
        <f>SUM(D10:D21)</f>
        <v>11115.913427739997</v>
      </c>
      <c r="E22" s="188">
        <f>IFERROR(D22/C22-1,0)</f>
        <v>0.12120084433430955</v>
      </c>
      <c r="F22" s="200">
        <f>D22-C22</f>
        <v>1201.6206550299958</v>
      </c>
      <c r="G22" s="186">
        <f>C22/L22</f>
        <v>0.53760075383243755</v>
      </c>
      <c r="H22" s="201">
        <f>D22/M22</f>
        <v>0.55079076462364651</v>
      </c>
      <c r="I22" s="186">
        <f>IFERROR(H22/G22-1,0)</f>
        <v>2.4534955907669964E-2</v>
      </c>
      <c r="J22" s="186">
        <f>H22-G22</f>
        <v>1.3190010791208961E-2</v>
      </c>
      <c r="K22" s="108"/>
      <c r="L22" s="209">
        <f>SUM(L10:L21)</f>
        <v>18441.738970850001</v>
      </c>
      <c r="M22" s="209">
        <f>SUM(M10:M21)</f>
        <v>20181.735318919997</v>
      </c>
    </row>
  </sheetData>
  <sortState xmlns:xlrd2="http://schemas.microsoft.com/office/spreadsheetml/2017/richdata2" ref="B10:J21">
    <sortCondition descending="1" ref="D10:D21"/>
  </sortState>
  <mergeCells count="6">
    <mergeCell ref="A22:B22"/>
    <mergeCell ref="G8:H8"/>
    <mergeCell ref="I8:J8"/>
    <mergeCell ref="E8:F8"/>
    <mergeCell ref="A8:A9"/>
    <mergeCell ref="C8:D8"/>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1E12-1856-4ACD-8626-0AEFF2D9C6D2}">
  <sheetPr>
    <tabColor theme="0" tint="-0.249977111117893"/>
  </sheetPr>
  <dimension ref="A1:N22"/>
  <sheetViews>
    <sheetView showGridLines="0" zoomScaleNormal="100" workbookViewId="0">
      <selection activeCell="K17" sqref="K17"/>
    </sheetView>
  </sheetViews>
  <sheetFormatPr baseColWidth="10" defaultRowHeight="15" x14ac:dyDescent="0.3"/>
  <cols>
    <col min="1" max="1" width="4.140625" customWidth="1"/>
    <col min="2" max="2" width="22.7109375" bestFit="1" customWidth="1"/>
    <col min="3" max="3" width="18.28515625" customWidth="1"/>
    <col min="4" max="4" width="10.42578125" customWidth="1"/>
    <col min="5" max="5" width="11.42578125" customWidth="1"/>
    <col min="6" max="6" width="9.7109375" customWidth="1"/>
    <col min="7" max="7" width="13.140625" customWidth="1"/>
    <col min="8" max="11" width="11.140625" customWidth="1"/>
    <col min="12" max="13" width="11.140625" hidden="1" customWidth="1"/>
    <col min="14" max="14" width="9.28515625" hidden="1" customWidth="1"/>
  </cols>
  <sheetData>
    <row r="1" spans="1:14" s="502" customFormat="1" x14ac:dyDescent="0.25">
      <c r="A1" s="494" t="s">
        <v>0</v>
      </c>
      <c r="B1" s="505"/>
      <c r="C1" s="505"/>
      <c r="D1" s="505"/>
      <c r="E1" s="505"/>
      <c r="F1" s="505"/>
      <c r="G1" s="509"/>
      <c r="H1" s="505"/>
      <c r="I1" s="505"/>
      <c r="J1" s="505"/>
      <c r="K1" s="505"/>
      <c r="L1" s="505"/>
      <c r="M1" s="505"/>
    </row>
    <row r="2" spans="1:14" s="502" customFormat="1" x14ac:dyDescent="0.25">
      <c r="A2" s="494" t="s">
        <v>42</v>
      </c>
      <c r="B2" s="505"/>
      <c r="C2" s="505"/>
      <c r="D2" s="505"/>
      <c r="E2" s="505"/>
      <c r="F2" s="505"/>
      <c r="G2" s="505"/>
      <c r="H2" s="505"/>
      <c r="I2" s="505"/>
      <c r="J2" s="505"/>
      <c r="K2" s="505"/>
      <c r="L2" s="505"/>
      <c r="M2" s="505"/>
    </row>
    <row r="3" spans="1:14" s="502" customFormat="1" x14ac:dyDescent="0.25">
      <c r="A3" s="494" t="str">
        <f>'1. Ramos Totales'!A3</f>
        <v>Al 31 de diciembre de 2025</v>
      </c>
      <c r="B3" s="505"/>
      <c r="C3" s="505"/>
      <c r="D3" s="505"/>
      <c r="E3" s="505"/>
      <c r="F3" s="505"/>
      <c r="G3" s="505"/>
      <c r="H3" s="505"/>
      <c r="I3" s="505"/>
      <c r="J3" s="505"/>
      <c r="K3" s="505"/>
      <c r="L3" s="505"/>
      <c r="M3" s="505"/>
    </row>
    <row r="4" spans="1:14" s="502" customFormat="1" x14ac:dyDescent="0.25">
      <c r="A4" s="494" t="s">
        <v>2</v>
      </c>
      <c r="B4" s="505"/>
      <c r="C4" s="505"/>
      <c r="D4" s="505"/>
      <c r="E4" s="505"/>
      <c r="F4" s="505"/>
      <c r="G4" s="505"/>
      <c r="H4" s="505"/>
      <c r="I4" s="505"/>
      <c r="J4" s="505"/>
      <c r="K4" s="505"/>
      <c r="L4" s="505"/>
      <c r="M4" s="505"/>
    </row>
    <row r="5" spans="1:14" s="502" customFormat="1" ht="7.5" customHeight="1" x14ac:dyDescent="0.25">
      <c r="A5" s="503"/>
      <c r="B5" s="501"/>
      <c r="C5" s="501"/>
      <c r="D5" s="501"/>
      <c r="E5" s="501"/>
      <c r="F5" s="501"/>
      <c r="G5" s="501"/>
      <c r="H5" s="501"/>
      <c r="I5" s="501"/>
      <c r="J5" s="501"/>
      <c r="K5" s="501"/>
      <c r="L5" s="501"/>
      <c r="M5" s="501"/>
    </row>
    <row r="6" spans="1:14" s="502" customFormat="1" x14ac:dyDescent="0.25">
      <c r="A6" s="502" t="s">
        <v>361</v>
      </c>
      <c r="C6" s="501"/>
      <c r="D6" s="501"/>
      <c r="E6" s="512"/>
      <c r="F6" s="513"/>
      <c r="G6" s="501"/>
      <c r="H6" s="501"/>
      <c r="I6" s="501"/>
      <c r="J6" s="501"/>
      <c r="K6" s="501"/>
      <c r="L6" s="501"/>
      <c r="M6" s="501"/>
    </row>
    <row r="7" spans="1:14" ht="7.5" customHeight="1" x14ac:dyDescent="0.3">
      <c r="A7" s="111"/>
      <c r="B7" s="110"/>
      <c r="C7" s="110"/>
      <c r="D7" s="110"/>
      <c r="E7" s="110"/>
      <c r="F7" s="110"/>
      <c r="G7" s="110"/>
      <c r="H7" s="110"/>
      <c r="I7" s="110"/>
      <c r="J7" s="110"/>
      <c r="K7" s="110"/>
      <c r="L7" s="110"/>
      <c r="M7" s="110"/>
      <c r="N7" s="108"/>
    </row>
    <row r="8" spans="1:14" x14ac:dyDescent="0.3">
      <c r="A8" s="667" t="s">
        <v>25</v>
      </c>
      <c r="B8" s="169" t="s">
        <v>26</v>
      </c>
      <c r="C8" s="671" t="s">
        <v>44</v>
      </c>
      <c r="D8" s="665"/>
      <c r="E8" s="665" t="s">
        <v>45</v>
      </c>
      <c r="F8" s="665"/>
      <c r="G8" s="672" t="s">
        <v>362</v>
      </c>
      <c r="H8" s="672"/>
      <c r="I8" s="672" t="s">
        <v>45</v>
      </c>
      <c r="J8" s="672"/>
      <c r="K8" s="108"/>
      <c r="L8" s="108"/>
      <c r="M8" s="149" t="s">
        <v>5</v>
      </c>
      <c r="N8" s="149" t="s">
        <v>5</v>
      </c>
    </row>
    <row r="9" spans="1:14" ht="18" x14ac:dyDescent="0.35">
      <c r="A9" s="667"/>
      <c r="B9" s="170"/>
      <c r="C9" s="148">
        <f>'1. Ramos Totales'!$B$9</f>
        <v>45657</v>
      </c>
      <c r="D9" s="148">
        <f>'1. Ramos Totales'!$C$9</f>
        <v>46022</v>
      </c>
      <c r="E9" s="149" t="s">
        <v>9</v>
      </c>
      <c r="F9" s="172" t="s">
        <v>10</v>
      </c>
      <c r="G9" s="146">
        <f>'1. Ramos Totales'!$B$9</f>
        <v>45657</v>
      </c>
      <c r="H9" s="146">
        <f>'1. Ramos Totales'!$C$9</f>
        <v>46022</v>
      </c>
      <c r="I9" s="147" t="s">
        <v>9</v>
      </c>
      <c r="J9" s="147" t="s">
        <v>10</v>
      </c>
      <c r="K9" s="128"/>
      <c r="L9" s="128"/>
      <c r="M9" s="208">
        <v>2023</v>
      </c>
      <c r="N9" s="210" t="s">
        <v>360</v>
      </c>
    </row>
    <row r="10" spans="1:14" x14ac:dyDescent="0.3">
      <c r="A10" s="173">
        <v>1</v>
      </c>
      <c r="B10" s="195" t="str">
        <f>'ER diciembre 2024'!J9</f>
        <v>SEGUROS ATLÁNTIDA</v>
      </c>
      <c r="C10" s="221">
        <f>('Primas Diciembre 2024'!L61-'ER diciembre 2024'!J25)/1000</f>
        <v>1582.5580849299999</v>
      </c>
      <c r="D10" s="221">
        <f>('Primas Diciembre 2025'!H61-'ER Diciembre 2025'!H25)/1000</f>
        <v>1585.3108099400004</v>
      </c>
      <c r="E10" s="182">
        <f t="shared" ref="E10:E21" si="0">IFERROR(D10/C10-1,0)</f>
        <v>1.7394148348888194E-3</v>
      </c>
      <c r="F10" s="198">
        <f t="shared" ref="F10:F21" si="1">D10-C10</f>
        <v>2.7527250100004039</v>
      </c>
      <c r="G10" s="182">
        <f t="shared" ref="G10:G21" si="2">C10/M10</f>
        <v>0.63706558104184263</v>
      </c>
      <c r="H10" s="182">
        <f t="shared" ref="H10:H21" si="3">D10/N10</f>
        <v>0.57898718393315485</v>
      </c>
      <c r="I10" s="182">
        <f t="shared" ref="I10:I21" si="4">IFERROR(H10/G10-1,0)</f>
        <v>-9.1165491963492551E-2</v>
      </c>
      <c r="J10" s="182">
        <f t="shared" ref="J10:J21" si="5">H10-G10</f>
        <v>-5.8078397108687785E-2</v>
      </c>
      <c r="K10" s="108"/>
      <c r="L10" s="458">
        <v>1</v>
      </c>
      <c r="M10" s="206">
        <f>VLOOKUP(B10,'8. Primas y Siniestros Totales'!$B$10:$D$21,2,FALSE)</f>
        <v>2484.13684874</v>
      </c>
      <c r="N10" s="206">
        <f>VLOOKUP(B10,'8. Primas y Siniestros Totales'!$B$10:$D$21,3,FALSE)</f>
        <v>2738.0758226300004</v>
      </c>
    </row>
    <row r="11" spans="1:14" s="350" customFormat="1" x14ac:dyDescent="0.3">
      <c r="A11" s="28">
        <v>2</v>
      </c>
      <c r="B11" s="180" t="str">
        <f>'ER diciembre 2024'!H9</f>
        <v>FICOHSA SEGUROS</v>
      </c>
      <c r="C11" s="221">
        <f>('Primas Diciembre 2024'!J61-'ER diciembre 2024'!H25)/1000</f>
        <v>1166.4137278500004</v>
      </c>
      <c r="D11" s="221">
        <f>('Primas Diciembre 2025'!F61-'ER Diciembre 2025'!F25)/1000</f>
        <v>1377.4589492600001</v>
      </c>
      <c r="E11" s="182">
        <f t="shared" si="0"/>
        <v>0.18093513165265129</v>
      </c>
      <c r="F11" s="198">
        <f t="shared" si="1"/>
        <v>211.04522140999961</v>
      </c>
      <c r="G11" s="182">
        <f t="shared" si="2"/>
        <v>0.26454130004123072</v>
      </c>
      <c r="H11" s="182">
        <f t="shared" si="3"/>
        <v>0.28396512308393845</v>
      </c>
      <c r="I11" s="182">
        <f t="shared" si="4"/>
        <v>7.3424539153925661E-2</v>
      </c>
      <c r="J11" s="182">
        <f t="shared" si="5"/>
        <v>1.9423823042707733E-2</v>
      </c>
      <c r="K11" s="113"/>
      <c r="L11" s="459">
        <v>2</v>
      </c>
      <c r="M11" s="211">
        <f>VLOOKUP(B11,'8. Primas y Siniestros Totales'!$B$10:$D$21,2,FALSE)</f>
        <v>4409.1933005100009</v>
      </c>
      <c r="N11" s="211">
        <f>VLOOKUP(B11,'8. Primas y Siniestros Totales'!$B$10:$D$21,3,FALSE)</f>
        <v>4850.8032757700003</v>
      </c>
    </row>
    <row r="12" spans="1:14" s="350" customFormat="1" x14ac:dyDescent="0.3">
      <c r="A12" s="351">
        <v>3</v>
      </c>
      <c r="B12" s="180" t="str">
        <f>'ER diciembre 2024'!E9</f>
        <v>SEGUROS DAVIVIENDA</v>
      </c>
      <c r="C12" s="221">
        <f>('Primas Diciembre 2024'!G61-'ER diciembre 2024'!E25)/1000</f>
        <v>1058.6957470700002</v>
      </c>
      <c r="D12" s="221">
        <f>('Primas Diciembre 2025'!C61-'ER Diciembre 2025'!C25)/1000</f>
        <v>1105.3255467399997</v>
      </c>
      <c r="E12" s="182">
        <f t="shared" si="0"/>
        <v>4.4044570689029561E-2</v>
      </c>
      <c r="F12" s="198">
        <f t="shared" si="1"/>
        <v>46.629799669999556</v>
      </c>
      <c r="G12" s="182">
        <f t="shared" si="2"/>
        <v>0.69923373124632904</v>
      </c>
      <c r="H12" s="182">
        <f t="shared" si="3"/>
        <v>0.68026594251270722</v>
      </c>
      <c r="I12" s="182">
        <f t="shared" si="4"/>
        <v>-2.7126535643257954E-2</v>
      </c>
      <c r="J12" s="182">
        <f t="shared" si="5"/>
        <v>-1.8967788733621815E-2</v>
      </c>
      <c r="K12" s="113"/>
      <c r="L12" s="460">
        <v>3</v>
      </c>
      <c r="M12" s="211">
        <f>VLOOKUP(B12,'8. Primas y Siniestros Totales'!$B$10:$D$21,2,FALSE)</f>
        <v>1514.0799131400001</v>
      </c>
      <c r="N12" s="211">
        <f>VLOOKUP(B12,'8. Primas y Siniestros Totales'!$B$10:$D$21,3,FALSE)</f>
        <v>1624.8432821099998</v>
      </c>
    </row>
    <row r="13" spans="1:14" x14ac:dyDescent="0.3">
      <c r="A13" s="173">
        <v>4</v>
      </c>
      <c r="B13" s="180" t="str">
        <f>'ER diciembre 2024'!F9</f>
        <v>PALIC</v>
      </c>
      <c r="C13" s="221">
        <f>('Primas Diciembre 2024'!H61-'ER diciembre 2024'!F25)/1000</f>
        <v>1045.79589246</v>
      </c>
      <c r="D13" s="222">
        <f>('Primas Diciembre 2025'!D61-'ER Diciembre 2025'!D25)/1000</f>
        <v>1094.0121302900002</v>
      </c>
      <c r="E13" s="158">
        <f t="shared" si="0"/>
        <v>4.6104826168883006E-2</v>
      </c>
      <c r="F13" s="198">
        <f t="shared" si="1"/>
        <v>48.216237830000182</v>
      </c>
      <c r="G13" s="182">
        <f t="shared" si="2"/>
        <v>0.75683528479774687</v>
      </c>
      <c r="H13" s="182">
        <f t="shared" si="3"/>
        <v>0.75444873200936613</v>
      </c>
      <c r="I13" s="182">
        <f t="shared" si="4"/>
        <v>-3.153331823077643E-3</v>
      </c>
      <c r="J13" s="182">
        <f t="shared" si="5"/>
        <v>-2.3865527883807358E-3</v>
      </c>
      <c r="K13" s="108"/>
      <c r="L13" s="458">
        <v>4</v>
      </c>
      <c r="M13" s="206">
        <f>VLOOKUP(B13,'8. Primas y Siniestros Totales'!$B$10:$D$21,2,FALSE)</f>
        <v>1381.80118378</v>
      </c>
      <c r="N13" s="206">
        <f>VLOOKUP(B13,'8. Primas y Siniestros Totales'!$B$10:$D$21,3,FALSE)</f>
        <v>1450.0814752200001</v>
      </c>
    </row>
    <row r="14" spans="1:14" x14ac:dyDescent="0.3">
      <c r="A14" s="173">
        <v>5</v>
      </c>
      <c r="B14" s="180" t="str">
        <f>'ER diciembre 2024'!G9</f>
        <v>MAPFRE SEGUROS</v>
      </c>
      <c r="C14" s="221">
        <f>('Primas Diciembre 2024'!I61-'ER diciembre 2024'!G25)/1000</f>
        <v>905.71301049999988</v>
      </c>
      <c r="D14" s="221">
        <f>('Primas Diciembre 2025'!E61-'ER Diciembre 2025'!E25)/1000</f>
        <v>903.82023976000028</v>
      </c>
      <c r="E14" s="182">
        <f t="shared" si="0"/>
        <v>-2.0898129076832861E-3</v>
      </c>
      <c r="F14" s="198">
        <f t="shared" si="1"/>
        <v>-1.8927707399996052</v>
      </c>
      <c r="G14" s="182">
        <f t="shared" si="2"/>
        <v>0.2967270053575764</v>
      </c>
      <c r="H14" s="182">
        <f t="shared" si="3"/>
        <v>0.28899253505193861</v>
      </c>
      <c r="I14" s="182">
        <f t="shared" si="4"/>
        <v>-2.6065946698438203E-2</v>
      </c>
      <c r="J14" s="182">
        <f t="shared" si="5"/>
        <v>-7.7344703056377861E-3</v>
      </c>
      <c r="K14" s="108"/>
      <c r="L14" s="458">
        <v>5</v>
      </c>
      <c r="M14" s="206">
        <f>VLOOKUP(B14,'8. Primas y Siniestros Totales'!$B$10:$D$21,2,FALSE)</f>
        <v>3052.3443911300001</v>
      </c>
      <c r="N14" s="206">
        <f>VLOOKUP(B14,'8. Primas y Siniestros Totales'!$B$10:$D$21,3,FALSE)</f>
        <v>3127.48645773</v>
      </c>
    </row>
    <row r="15" spans="1:14" x14ac:dyDescent="0.3">
      <c r="A15" s="173">
        <v>6</v>
      </c>
      <c r="B15" s="203" t="str">
        <f>'ER diciembre 2024'!K9</f>
        <v>CREFISA</v>
      </c>
      <c r="C15" s="221">
        <f>('Primas Diciembre 2024'!M61-'ER diciembre 2024'!K25)/1000</f>
        <v>640.31722541999989</v>
      </c>
      <c r="D15" s="221">
        <f>('Primas Diciembre 2025'!I61-'ER Diciembre 2025'!I25)/1000</f>
        <v>734.98424217000002</v>
      </c>
      <c r="E15" s="158">
        <f t="shared" si="0"/>
        <v>0.14784393265057916</v>
      </c>
      <c r="F15" s="205">
        <f t="shared" si="1"/>
        <v>94.66701675000013</v>
      </c>
      <c r="G15" s="182">
        <f t="shared" si="2"/>
        <v>0.47504614478766749</v>
      </c>
      <c r="H15" s="182">
        <f t="shared" si="3"/>
        <v>0.44183558443692861</v>
      </c>
      <c r="I15" s="158">
        <f t="shared" si="4"/>
        <v>-6.9910177600921442E-2</v>
      </c>
      <c r="J15" s="158">
        <f t="shared" si="5"/>
        <v>-3.3210560350738882E-2</v>
      </c>
      <c r="K15" s="108"/>
      <c r="L15" s="458">
        <v>6</v>
      </c>
      <c r="M15" s="206">
        <f>VLOOKUP(B15,'8. Primas y Siniestros Totales'!$B$10:$D$21,2,FALSE)</f>
        <v>1347.90531919</v>
      </c>
      <c r="N15" s="206">
        <f>VLOOKUP(B15,'8. Primas y Siniestros Totales'!$B$10:$D$21,3,FALSE)</f>
        <v>1663.4790588599999</v>
      </c>
    </row>
    <row r="16" spans="1:14" x14ac:dyDescent="0.3">
      <c r="A16" s="173">
        <v>7</v>
      </c>
      <c r="B16" s="203" t="str">
        <f>'ER diciembre 2024'!L9</f>
        <v>SEGUROS EQUIDAD</v>
      </c>
      <c r="C16" s="221">
        <f>('Primas Diciembre 2024'!N61-'ER diciembre 2024'!L25)/1000</f>
        <v>646.25201012000014</v>
      </c>
      <c r="D16" s="221">
        <f>('Primas Diciembre 2025'!J61-'ER Diciembre 2025'!J25)/1000</f>
        <v>581.19567440999992</v>
      </c>
      <c r="E16" s="158">
        <f t="shared" si="0"/>
        <v>-0.10066713091990254</v>
      </c>
      <c r="F16" s="205">
        <f t="shared" si="1"/>
        <v>-65.056335710000212</v>
      </c>
      <c r="G16" s="182">
        <f t="shared" si="2"/>
        <v>0.89147220772718572</v>
      </c>
      <c r="H16" s="182">
        <f t="shared" si="3"/>
        <v>0.97283928579209977</v>
      </c>
      <c r="I16" s="182">
        <f t="shared" si="4"/>
        <v>9.127270301825785E-2</v>
      </c>
      <c r="J16" s="182">
        <f t="shared" si="5"/>
        <v>8.1367078064914056E-2</v>
      </c>
      <c r="K16" s="108"/>
      <c r="L16" s="458">
        <v>7</v>
      </c>
      <c r="M16" s="206">
        <f>VLOOKUP(B16,'8. Primas y Siniestros Totales'!$B$10:$D$21,2,FALSE)</f>
        <v>724.92670497000006</v>
      </c>
      <c r="N16" s="206">
        <f>VLOOKUP(B16,'8. Primas y Siniestros Totales'!$B$10:$D$21,3,FALSE)</f>
        <v>597.42208491999997</v>
      </c>
    </row>
    <row r="17" spans="1:14" x14ac:dyDescent="0.3">
      <c r="A17" s="173">
        <v>8</v>
      </c>
      <c r="B17" s="180" t="str">
        <f>'ER diciembre 2024'!M9</f>
        <v>SEGUROS DEL PAÍS</v>
      </c>
      <c r="C17" s="221">
        <f>('Primas Diciembre 2024'!O61-'ER diciembre 2024'!M25)/1000</f>
        <v>510.05523748999985</v>
      </c>
      <c r="D17" s="222">
        <f>('Primas Diciembre 2025'!K61-'ER Diciembre 2025'!K25)/1000</f>
        <v>571.65584803999991</v>
      </c>
      <c r="E17" s="158">
        <f t="shared" si="0"/>
        <v>0.12077243016489514</v>
      </c>
      <c r="F17" s="198">
        <f t="shared" si="1"/>
        <v>61.600610550000056</v>
      </c>
      <c r="G17" s="182">
        <f t="shared" si="2"/>
        <v>0.40786679865837372</v>
      </c>
      <c r="H17" s="182">
        <f t="shared" si="3"/>
        <v>0.41543071088850586</v>
      </c>
      <c r="I17" s="182">
        <f t="shared" si="4"/>
        <v>1.8545055040058767E-2</v>
      </c>
      <c r="J17" s="182">
        <f t="shared" si="5"/>
        <v>7.5639122301321415E-3</v>
      </c>
      <c r="K17" s="108"/>
      <c r="L17" s="458">
        <v>8</v>
      </c>
      <c r="M17" s="206">
        <f>VLOOKUP(B17,'8. Primas y Siniestros Totales'!$B$10:$D$21,2,FALSE)</f>
        <v>1250.5436558399999</v>
      </c>
      <c r="N17" s="206">
        <f>VLOOKUP(B17,'8. Primas y Siniestros Totales'!$B$10:$D$21,3,FALSE)</f>
        <v>1376.0558212399999</v>
      </c>
    </row>
    <row r="18" spans="1:14" x14ac:dyDescent="0.3">
      <c r="A18" s="173">
        <v>9</v>
      </c>
      <c r="B18" s="180" t="str">
        <f>'ER diciembre 2024'!I9</f>
        <v>SEGUROS CONTINENTAL</v>
      </c>
      <c r="C18" s="221">
        <f>('Primas Diciembre 2024'!K61-'ER diciembre 2024'!I25)/1000</f>
        <v>378.55345474999996</v>
      </c>
      <c r="D18" s="221">
        <f>('Primas Diciembre 2025'!G61-'ER Diciembre 2025'!G25)/1000</f>
        <v>423.29375797000006</v>
      </c>
      <c r="E18" s="182">
        <f t="shared" si="0"/>
        <v>0.11818754434442291</v>
      </c>
      <c r="F18" s="198">
        <f t="shared" si="1"/>
        <v>44.740303220000101</v>
      </c>
      <c r="G18" s="182">
        <f t="shared" si="2"/>
        <v>0.69741635926540246</v>
      </c>
      <c r="H18" s="182">
        <f t="shared" si="3"/>
        <v>0.689259474152076</v>
      </c>
      <c r="I18" s="182">
        <f t="shared" si="4"/>
        <v>-1.1695861453433931E-2</v>
      </c>
      <c r="J18" s="182">
        <f t="shared" si="5"/>
        <v>-8.1568851133264619E-3</v>
      </c>
      <c r="K18" s="108"/>
      <c r="L18" s="458">
        <v>9</v>
      </c>
      <c r="M18" s="206">
        <f>VLOOKUP(B18,'8. Primas y Siniestros Totales'!$B$10:$D$21,2,FALSE)</f>
        <v>542.79405654999994</v>
      </c>
      <c r="N18" s="206">
        <f>VLOOKUP(B18,'8. Primas y Siniestros Totales'!$B$10:$D$21,3,FALSE)</f>
        <v>614.12831284000004</v>
      </c>
    </row>
    <row r="19" spans="1:14" x14ac:dyDescent="0.3">
      <c r="A19" s="173">
        <v>10</v>
      </c>
      <c r="B19" s="180" t="str">
        <f>'ER diciembre 2024'!O9</f>
        <v>ASEGURADORA RURAL</v>
      </c>
      <c r="C19" s="221">
        <f>('Primas Diciembre 2024'!Q61-'ER diciembre 2024'!O25)/1000</f>
        <v>298.76330776999998</v>
      </c>
      <c r="D19" s="221">
        <f>('Primas Diciembre 2025'!M61-'ER Diciembre 2025'!M25)/1000</f>
        <v>305.83287118999999</v>
      </c>
      <c r="E19" s="182">
        <f t="shared" si="0"/>
        <v>2.3662756557249143E-2</v>
      </c>
      <c r="F19" s="198">
        <f t="shared" si="1"/>
        <v>7.0695634200000086</v>
      </c>
      <c r="G19" s="182">
        <f t="shared" si="2"/>
        <v>0.63719372083458892</v>
      </c>
      <c r="H19" s="182">
        <f t="shared" si="3"/>
        <v>0.56148267100552218</v>
      </c>
      <c r="I19" s="182">
        <f t="shared" si="4"/>
        <v>-0.11881951650418221</v>
      </c>
      <c r="J19" s="182">
        <f t="shared" si="5"/>
        <v>-7.5711049829066734E-2</v>
      </c>
      <c r="K19" s="108"/>
      <c r="L19" s="458">
        <v>10</v>
      </c>
      <c r="M19" s="206">
        <f>VLOOKUP(B19,'8. Primas y Siniestros Totales'!$B$10:$D$21,2,FALSE)</f>
        <v>468.87359055999997</v>
      </c>
      <c r="N19" s="206">
        <f>VLOOKUP(B19,'8. Primas y Siniestros Totales'!$B$10:$D$21,3,FALSE)</f>
        <v>544.68799659000001</v>
      </c>
    </row>
    <row r="20" spans="1:14" s="542" customFormat="1" x14ac:dyDescent="0.3">
      <c r="A20" s="28">
        <v>11</v>
      </c>
      <c r="B20" s="180" t="str">
        <f>'ER diciembre 2024'!N9</f>
        <v>SEGUROS LAFISE</v>
      </c>
      <c r="C20" s="221">
        <f>('Primas Diciembre 2024'!P61-'ER diciembre 2024'!N25)/1000</f>
        <v>240.57206087000003</v>
      </c>
      <c r="D20" s="221">
        <f>('Primas Diciembre 2025'!L61-'ER Diciembre 2025'!L25)/1000</f>
        <v>265.17204594999993</v>
      </c>
      <c r="E20" s="182">
        <f t="shared" si="0"/>
        <v>0.10225620128553992</v>
      </c>
      <c r="F20" s="198">
        <f t="shared" si="1"/>
        <v>24.599985079999897</v>
      </c>
      <c r="G20" s="182">
        <f t="shared" si="2"/>
        <v>0.59588227943083349</v>
      </c>
      <c r="H20" s="182">
        <f t="shared" si="3"/>
        <v>0.51549930793085841</v>
      </c>
      <c r="I20" s="182">
        <f t="shared" si="4"/>
        <v>-0.13489740217942736</v>
      </c>
      <c r="J20" s="182">
        <f t="shared" si="5"/>
        <v>-8.0382971499975087E-2</v>
      </c>
      <c r="K20" s="558"/>
      <c r="L20" s="561">
        <v>11</v>
      </c>
      <c r="M20" s="560">
        <f>VLOOKUP(B20,'8. Primas y Siniestros Totales'!$B$10:$D$21,2,FALSE)</f>
        <v>403.72414011000006</v>
      </c>
      <c r="N20" s="560">
        <f>VLOOKUP(B20,'8. Primas y Siniestros Totales'!$B$10:$D$21,3,FALSE)</f>
        <v>514.39845188999993</v>
      </c>
    </row>
    <row r="21" spans="1:14" x14ac:dyDescent="0.3">
      <c r="A21" s="173">
        <v>12</v>
      </c>
      <c r="B21" s="180" t="str">
        <f>'ER diciembre 2024'!P9</f>
        <v>ASSA CIA. DE SEGUROS</v>
      </c>
      <c r="C21" s="221">
        <f>('Primas Diciembre 2024'!R61-'ER diciembre 2024'!P25)/1000</f>
        <v>53.756438910000028</v>
      </c>
      <c r="D21" s="221">
        <f>('Primas Diciembre 2025'!N61-'ER Diciembre 2025'!N25)/1000</f>
        <v>117.75977545999991</v>
      </c>
      <c r="E21" s="182">
        <f t="shared" si="0"/>
        <v>1.1906171213676449</v>
      </c>
      <c r="F21" s="198">
        <f t="shared" si="1"/>
        <v>64.003336549999887</v>
      </c>
      <c r="G21" s="182">
        <f t="shared" si="2"/>
        <v>6.2404746663217908E-2</v>
      </c>
      <c r="H21" s="182">
        <f t="shared" si="3"/>
        <v>0.10900924584187444</v>
      </c>
      <c r="I21" s="182">
        <f t="shared" si="4"/>
        <v>0.74681016542169165</v>
      </c>
      <c r="J21" s="182">
        <f t="shared" si="5"/>
        <v>4.6604499178656528E-2</v>
      </c>
      <c r="K21" s="108"/>
      <c r="L21" s="458">
        <v>12</v>
      </c>
      <c r="M21" s="206">
        <f>VLOOKUP(B21,'8. Primas y Siniestros Totales'!$B$10:$D$21,2,FALSE)</f>
        <v>861.41586632999997</v>
      </c>
      <c r="N21" s="206">
        <f>VLOOKUP(B21,'8. Primas y Siniestros Totales'!$B$10:$D$21,3,FALSE)</f>
        <v>1080.2732791199999</v>
      </c>
    </row>
    <row r="22" spans="1:14" x14ac:dyDescent="0.3">
      <c r="A22" s="665" t="s">
        <v>29</v>
      </c>
      <c r="B22" s="665"/>
      <c r="C22" s="189">
        <f>SUM(C10:C21)</f>
        <v>8527.44619814</v>
      </c>
      <c r="D22" s="189">
        <f>SUM(D10:D21)</f>
        <v>9065.8218911799977</v>
      </c>
      <c r="E22" s="188">
        <f>IFERROR(D22/C22-1,0)</f>
        <v>6.3134457905747565E-2</v>
      </c>
      <c r="F22" s="200">
        <f>D22-C22</f>
        <v>538.37569303999771</v>
      </c>
      <c r="G22" s="186">
        <f>C22/M22</f>
        <v>0.46239924616756245</v>
      </c>
      <c r="H22" s="201">
        <f>D22/N22</f>
        <v>0.44920923537635343</v>
      </c>
      <c r="I22" s="186">
        <f>IFERROR(H22/G22-1,0)</f>
        <v>-2.8525156346014602E-2</v>
      </c>
      <c r="J22" s="212">
        <f>H22-G22</f>
        <v>-1.3190010791209017E-2</v>
      </c>
      <c r="K22" s="108"/>
      <c r="L22" s="108"/>
      <c r="M22" s="209">
        <f>SUM(M10:M21)</f>
        <v>18441.738970850001</v>
      </c>
      <c r="N22" s="209">
        <f>SUM(N10:N21)</f>
        <v>20181.735318919997</v>
      </c>
    </row>
  </sheetData>
  <sortState xmlns:xlrd2="http://schemas.microsoft.com/office/spreadsheetml/2017/richdata2" ref="B10:J21">
    <sortCondition descending="1" ref="D10:D21"/>
  </sortState>
  <mergeCells count="6">
    <mergeCell ref="I8:J8"/>
    <mergeCell ref="A22:B22"/>
    <mergeCell ref="A8:A9"/>
    <mergeCell ref="C8:D8"/>
    <mergeCell ref="E8:F8"/>
    <mergeCell ref="G8:H8"/>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7"/>
  <dimension ref="A1:O28"/>
  <sheetViews>
    <sheetView showGridLines="0" topLeftCell="A7" zoomScaleNormal="100" workbookViewId="0">
      <selection activeCell="H27" sqref="H27"/>
    </sheetView>
  </sheetViews>
  <sheetFormatPr baseColWidth="10" defaultRowHeight="15" x14ac:dyDescent="0.3"/>
  <cols>
    <col min="1" max="1" width="6.140625" customWidth="1"/>
    <col min="2" max="2" width="22.7109375" bestFit="1" customWidth="1"/>
    <col min="3" max="3" width="12" bestFit="1" customWidth="1"/>
    <col min="4" max="4" width="12.42578125" customWidth="1"/>
    <col min="6" max="6" width="12" bestFit="1" customWidth="1"/>
    <col min="7" max="7" width="14.85546875" customWidth="1"/>
    <col min="8" max="12" width="11" customWidth="1"/>
    <col min="13" max="13" width="11" hidden="1" customWidth="1"/>
    <col min="14" max="14" width="11.42578125" hidden="1" customWidth="1"/>
  </cols>
  <sheetData>
    <row r="1" spans="1:15" s="502" customFormat="1" x14ac:dyDescent="0.25">
      <c r="A1" s="494" t="s">
        <v>0</v>
      </c>
      <c r="B1" s="505"/>
      <c r="C1" s="505"/>
      <c r="D1" s="505"/>
      <c r="E1" s="505"/>
      <c r="F1" s="505"/>
      <c r="G1" s="509"/>
      <c r="H1" s="505"/>
      <c r="I1" s="505"/>
      <c r="J1" s="505"/>
      <c r="K1" s="505"/>
      <c r="L1" s="505"/>
      <c r="M1" s="505"/>
    </row>
    <row r="2" spans="1:15" s="502" customFormat="1" x14ac:dyDescent="0.25">
      <c r="A2" s="494" t="s">
        <v>42</v>
      </c>
      <c r="B2" s="505"/>
      <c r="C2" s="505"/>
      <c r="D2" s="505"/>
      <c r="E2" s="505"/>
      <c r="F2" s="505"/>
      <c r="G2" s="505"/>
      <c r="H2" s="505"/>
      <c r="I2" s="505"/>
      <c r="J2" s="505"/>
      <c r="K2" s="505"/>
      <c r="L2" s="505"/>
      <c r="M2" s="505"/>
    </row>
    <row r="3" spans="1:15" s="502" customFormat="1" x14ac:dyDescent="0.25">
      <c r="A3" s="494" t="str">
        <f>'1. Ramos Totales'!A3</f>
        <v>Al 31 de diciembre de 2025</v>
      </c>
      <c r="B3" s="505"/>
      <c r="C3" s="505"/>
      <c r="D3" s="505"/>
      <c r="E3" s="505"/>
      <c r="F3" s="505"/>
      <c r="G3" s="505"/>
      <c r="H3" s="505"/>
      <c r="I3" s="505"/>
      <c r="J3" s="505"/>
      <c r="K3" s="505"/>
      <c r="L3" s="505"/>
      <c r="M3" s="505"/>
    </row>
    <row r="4" spans="1:15" s="502" customFormat="1" x14ac:dyDescent="0.25">
      <c r="A4" s="494" t="s">
        <v>2</v>
      </c>
      <c r="B4" s="505"/>
      <c r="C4" s="505"/>
      <c r="D4" s="505"/>
      <c r="E4" s="505"/>
      <c r="F4" s="505"/>
      <c r="G4" s="505"/>
      <c r="H4" s="505"/>
      <c r="I4" s="505"/>
      <c r="J4" s="505"/>
      <c r="K4" s="505"/>
      <c r="L4" s="505"/>
      <c r="M4" s="505"/>
    </row>
    <row r="5" spans="1:15" s="502" customFormat="1" ht="7.5" customHeight="1" x14ac:dyDescent="0.25">
      <c r="A5" s="503"/>
      <c r="B5" s="501"/>
      <c r="C5" s="501"/>
      <c r="D5" s="501"/>
      <c r="E5" s="501"/>
      <c r="F5" s="501"/>
      <c r="G5" s="501"/>
      <c r="H5" s="501"/>
      <c r="I5" s="501"/>
      <c r="J5" s="501"/>
      <c r="K5" s="501"/>
      <c r="L5" s="501"/>
      <c r="M5" s="501"/>
    </row>
    <row r="6" spans="1:15" s="502" customFormat="1" x14ac:dyDescent="0.25">
      <c r="A6" s="502" t="s">
        <v>62</v>
      </c>
      <c r="C6" s="501"/>
      <c r="D6" s="501"/>
      <c r="E6" s="501"/>
      <c r="F6" s="501"/>
      <c r="G6" s="501"/>
      <c r="H6" s="501"/>
      <c r="I6" s="501"/>
      <c r="J6" s="501"/>
      <c r="K6" s="501"/>
      <c r="L6" s="501"/>
      <c r="M6" s="501"/>
    </row>
    <row r="7" spans="1:15" ht="16.350000000000001" customHeight="1" x14ac:dyDescent="0.3">
      <c r="A7" s="111"/>
      <c r="B7" s="110"/>
      <c r="C7" s="110"/>
      <c r="D7" s="110"/>
      <c r="E7" s="110"/>
      <c r="F7" s="110"/>
      <c r="G7" s="110"/>
      <c r="H7" s="110"/>
      <c r="I7" s="110"/>
      <c r="J7" s="110"/>
      <c r="K7" s="110"/>
      <c r="L7" s="110"/>
      <c r="M7" s="110"/>
      <c r="N7" s="108"/>
    </row>
    <row r="8" spans="1:15" x14ac:dyDescent="0.3">
      <c r="A8" s="667" t="s">
        <v>25</v>
      </c>
      <c r="B8" s="169" t="s">
        <v>26</v>
      </c>
      <c r="C8" s="671" t="s">
        <v>44</v>
      </c>
      <c r="D8" s="665"/>
      <c r="E8" s="665" t="s">
        <v>45</v>
      </c>
      <c r="F8" s="665"/>
      <c r="G8" s="672" t="s">
        <v>63</v>
      </c>
      <c r="H8" s="672"/>
      <c r="I8" s="672" t="s">
        <v>45</v>
      </c>
      <c r="J8" s="672"/>
      <c r="K8" s="108"/>
      <c r="L8" s="108"/>
      <c r="M8" s="149" t="s">
        <v>5</v>
      </c>
      <c r="N8" s="149" t="s">
        <v>5</v>
      </c>
    </row>
    <row r="9" spans="1:15"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108"/>
      <c r="L9" s="108"/>
      <c r="M9" s="208">
        <v>2023</v>
      </c>
      <c r="N9" s="210" t="s">
        <v>360</v>
      </c>
    </row>
    <row r="10" spans="1:15" ht="15.75" x14ac:dyDescent="0.3">
      <c r="A10" s="173">
        <v>1</v>
      </c>
      <c r="B10" s="195" t="str">
        <f>'ER diciembre 2024'!H9</f>
        <v>FICOHSA SEGUROS</v>
      </c>
      <c r="C10" s="221">
        <f>('ER diciembre 2024'!H27+'ER diciembre 2024'!H30)/1000</f>
        <v>714.15310846999989</v>
      </c>
      <c r="D10" s="183">
        <f>('ER Diciembre 2025'!F27+'ER Diciembre 2025'!F30)/1000</f>
        <v>774.47990585999992</v>
      </c>
      <c r="E10" s="182">
        <f t="shared" ref="E10:E21" si="0">IFERROR(D10/C10-1,0)</f>
        <v>8.447319863837599E-2</v>
      </c>
      <c r="F10" s="198">
        <f t="shared" ref="F10:F21" si="1">D10-C10</f>
        <v>60.326797390000024</v>
      </c>
      <c r="G10" s="182">
        <f t="shared" ref="G10:G21" si="2">C10/M10</f>
        <v>0.16196910858668762</v>
      </c>
      <c r="H10" s="182">
        <f t="shared" ref="H10:H21" si="3">D10/N10</f>
        <v>0.15966013499837542</v>
      </c>
      <c r="I10" s="182">
        <f t="shared" ref="I10:I21" si="4">IFERROR(H10/G10-1,0)</f>
        <v>-1.425564176070282E-2</v>
      </c>
      <c r="J10" s="182">
        <f t="shared" ref="J10:J21" si="5">H10-G10</f>
        <v>-2.3089735883121965E-3</v>
      </c>
      <c r="K10" s="108"/>
      <c r="L10" s="108"/>
      <c r="M10" s="206">
        <f>VLOOKUP(B10,'8. Primas y Siniestros Totales'!$B$10:$D$21,2,FALSE)</f>
        <v>4409.1933005100009</v>
      </c>
      <c r="N10" s="206">
        <f>VLOOKUP(B10,'8. Primas y Siniestros Totales'!$B$10:$D$21,3,FALSE)</f>
        <v>4850.8032757700003</v>
      </c>
      <c r="O10" s="533"/>
    </row>
    <row r="11" spans="1:15" ht="15.75" x14ac:dyDescent="0.3">
      <c r="A11" s="173">
        <v>2</v>
      </c>
      <c r="B11" s="180" t="str">
        <f>'ER diciembre 2024'!G9</f>
        <v>MAPFRE SEGUROS</v>
      </c>
      <c r="C11" s="221">
        <f>('ER diciembre 2024'!G27+'ER diciembre 2024'!G30)/1000</f>
        <v>768.05078035999998</v>
      </c>
      <c r="D11" s="183">
        <f>('ER Diciembre 2025'!E27+'ER Diciembre 2025'!E30)/1000</f>
        <v>768.16434743999991</v>
      </c>
      <c r="E11" s="182">
        <f t="shared" si="0"/>
        <v>1.4786402527544595E-4</v>
      </c>
      <c r="F11" s="198">
        <f t="shared" si="1"/>
        <v>0.11356707999993887</v>
      </c>
      <c r="G11" s="182">
        <f t="shared" si="2"/>
        <v>0.25162651455449364</v>
      </c>
      <c r="H11" s="182">
        <f t="shared" si="3"/>
        <v>0.24561716183978327</v>
      </c>
      <c r="I11" s="182">
        <f t="shared" si="4"/>
        <v>-2.3882032962026956E-2</v>
      </c>
      <c r="J11" s="182">
        <f t="shared" si="5"/>
        <v>-6.0093527147103698E-3</v>
      </c>
      <c r="K11" s="108"/>
      <c r="L11" s="108"/>
      <c r="M11" s="206">
        <f>VLOOKUP(B11,'8. Primas y Siniestros Totales'!$B$10:$D$21,2,FALSE)</f>
        <v>3052.3443911300001</v>
      </c>
      <c r="N11" s="206">
        <f>VLOOKUP(B11,'8. Primas y Siniestros Totales'!$B$10:$D$21,3,FALSE)</f>
        <v>3127.48645773</v>
      </c>
    </row>
    <row r="12" spans="1:15" x14ac:dyDescent="0.3">
      <c r="A12" s="202">
        <v>3</v>
      </c>
      <c r="B12" s="180" t="str">
        <f>'ER diciembre 2024'!J9</f>
        <v>SEGUROS ATLÁNTIDA</v>
      </c>
      <c r="C12" s="221">
        <f>('ER diciembre 2024'!J27+'ER diciembre 2024'!J30)/1000</f>
        <v>403.05354590999997</v>
      </c>
      <c r="D12" s="221">
        <f>('ER Diciembre 2025'!H27+'ER Diciembre 2025'!H30)/1000</f>
        <v>514.02341634000004</v>
      </c>
      <c r="E12" s="182">
        <f t="shared" si="0"/>
        <v>0.27532289829991763</v>
      </c>
      <c r="F12" s="198">
        <f t="shared" si="1"/>
        <v>110.96987043000007</v>
      </c>
      <c r="G12" s="182">
        <f t="shared" si="2"/>
        <v>0.16225094286348843</v>
      </c>
      <c r="H12" s="182">
        <f t="shared" si="3"/>
        <v>0.18773162236474</v>
      </c>
      <c r="I12" s="182">
        <f t="shared" si="4"/>
        <v>0.15704487783895349</v>
      </c>
      <c r="J12" s="182">
        <f t="shared" si="5"/>
        <v>2.5480679501251574E-2</v>
      </c>
      <c r="K12" s="108"/>
      <c r="L12" s="108"/>
      <c r="M12" s="206">
        <f>VLOOKUP(B12,'8. Primas y Siniestros Totales'!$B$10:$D$21,2,FALSE)</f>
        <v>2484.13684874</v>
      </c>
      <c r="N12" s="206">
        <f>VLOOKUP(B12,'8. Primas y Siniestros Totales'!$B$10:$D$21,3,FALSE)</f>
        <v>2738.0758226300004</v>
      </c>
    </row>
    <row r="13" spans="1:15" x14ac:dyDescent="0.3">
      <c r="A13" s="173">
        <v>4</v>
      </c>
      <c r="B13" s="180" t="str">
        <f>'ER diciembre 2024'!F9</f>
        <v>PALIC</v>
      </c>
      <c r="C13" s="221">
        <f>('ER diciembre 2024'!F27+'ER diciembre 2024'!F30)/1000</f>
        <v>448.53459030000005</v>
      </c>
      <c r="D13" s="221">
        <f>('ER Diciembre 2025'!D27+'ER Diciembre 2025'!D30)/1000</f>
        <v>479.99115373999996</v>
      </c>
      <c r="E13" s="182">
        <f t="shared" si="0"/>
        <v>7.0131856316723251E-2</v>
      </c>
      <c r="F13" s="198">
        <f t="shared" si="1"/>
        <v>31.456563439999911</v>
      </c>
      <c r="G13" s="182">
        <f t="shared" si="2"/>
        <v>0.32460139386551023</v>
      </c>
      <c r="H13" s="182">
        <f t="shared" si="3"/>
        <v>0.33100978251389479</v>
      </c>
      <c r="I13" s="182">
        <f t="shared" si="4"/>
        <v>1.9742332502243443E-2</v>
      </c>
      <c r="J13" s="182">
        <f t="shared" si="5"/>
        <v>6.4083886483845554E-3</v>
      </c>
      <c r="K13" s="108"/>
      <c r="L13" s="108"/>
      <c r="M13" s="206">
        <f>VLOOKUP(B13,'8. Primas y Siniestros Totales'!$B$10:$D$21,2,FALSE)</f>
        <v>1381.80118378</v>
      </c>
      <c r="N13" s="206">
        <f>VLOOKUP(B13,'8. Primas y Siniestros Totales'!$B$10:$D$21,3,FALSE)</f>
        <v>1450.0814752200001</v>
      </c>
    </row>
    <row r="14" spans="1:15" s="350" customFormat="1" x14ac:dyDescent="0.3">
      <c r="A14" s="28">
        <v>5</v>
      </c>
      <c r="B14" s="180" t="str">
        <f>'ER diciembre 2024'!E9</f>
        <v>SEGUROS DAVIVIENDA</v>
      </c>
      <c r="C14" s="221">
        <f>('ER diciembre 2024'!E27+'ER diciembre 2024'!E30)/1000</f>
        <v>394.39573333999999</v>
      </c>
      <c r="D14" s="221">
        <f>('ER Diciembre 2025'!C27+'ER Diciembre 2025'!C30)/1000</f>
        <v>422.44860258000006</v>
      </c>
      <c r="E14" s="182">
        <f t="shared" si="0"/>
        <v>7.1128734082466005E-2</v>
      </c>
      <c r="F14" s="198">
        <f t="shared" si="1"/>
        <v>28.052869240000064</v>
      </c>
      <c r="G14" s="182">
        <f t="shared" si="2"/>
        <v>0.26048541422234162</v>
      </c>
      <c r="H14" s="182">
        <f t="shared" si="3"/>
        <v>0.25999344504869043</v>
      </c>
      <c r="I14" s="182">
        <f t="shared" si="4"/>
        <v>-1.8886630375060109E-3</v>
      </c>
      <c r="J14" s="182">
        <f t="shared" si="5"/>
        <v>-4.9196917365118553E-4</v>
      </c>
      <c r="K14" s="113"/>
      <c r="L14" s="113"/>
      <c r="M14" s="211">
        <f>VLOOKUP(B14,'8. Primas y Siniestros Totales'!$B$10:$D$21,2,FALSE)</f>
        <v>1514.0799131400001</v>
      </c>
      <c r="N14" s="211">
        <f>VLOOKUP(B14,'8. Primas y Siniestros Totales'!$B$10:$D$21,3,FALSE)</f>
        <v>1624.8432821099998</v>
      </c>
    </row>
    <row r="15" spans="1:15" x14ac:dyDescent="0.3">
      <c r="A15" s="173">
        <v>6</v>
      </c>
      <c r="B15" s="203" t="str">
        <f>'ER diciembre 2024'!K9</f>
        <v>CREFISA</v>
      </c>
      <c r="C15" s="222">
        <f>('ER diciembre 2024'!K27+'ER diciembre 2024'!K30)/1000</f>
        <v>333.74527805000002</v>
      </c>
      <c r="D15" s="222">
        <f>('ER Diciembre 2025'!I27+'ER Diciembre 2025'!I30)/1000</f>
        <v>377.88255131</v>
      </c>
      <c r="E15" s="158">
        <f t="shared" si="0"/>
        <v>0.13224838271236172</v>
      </c>
      <c r="F15" s="205">
        <f t="shared" si="1"/>
        <v>44.137273259999972</v>
      </c>
      <c r="G15" s="182">
        <f t="shared" si="2"/>
        <v>0.24760290897179513</v>
      </c>
      <c r="H15" s="182">
        <f t="shared" si="3"/>
        <v>0.22716399662341827</v>
      </c>
      <c r="I15" s="158">
        <f t="shared" si="4"/>
        <v>-8.2547141442126937E-2</v>
      </c>
      <c r="J15" s="158">
        <f t="shared" si="5"/>
        <v>-2.0438912348376859E-2</v>
      </c>
      <c r="K15" s="108"/>
      <c r="L15" s="108"/>
      <c r="M15" s="206">
        <f>VLOOKUP(B15,'8. Primas y Siniestros Totales'!$B$10:$D$21,2,FALSE)</f>
        <v>1347.90531919</v>
      </c>
      <c r="N15" s="206">
        <f>VLOOKUP(B15,'8. Primas y Siniestros Totales'!$B$10:$D$21,3,FALSE)</f>
        <v>1663.4790588599999</v>
      </c>
    </row>
    <row r="16" spans="1:15" x14ac:dyDescent="0.3">
      <c r="A16" s="173">
        <v>7</v>
      </c>
      <c r="B16" s="180" t="str">
        <f>'ER diciembre 2024'!M9</f>
        <v>SEGUROS DEL PAÍS</v>
      </c>
      <c r="C16" s="221">
        <f>('ER diciembre 2024'!M27+'ER diciembre 2024'!M30)/1000</f>
        <v>192.37974736999999</v>
      </c>
      <c r="D16" s="221">
        <f>('ER Diciembre 2025'!K27+'ER Diciembre 2025'!K30)/1000</f>
        <v>251.82234927000002</v>
      </c>
      <c r="E16" s="182">
        <f t="shared" si="0"/>
        <v>0.3089857571424881</v>
      </c>
      <c r="F16" s="198">
        <f t="shared" si="1"/>
        <v>59.442601900000028</v>
      </c>
      <c r="G16" s="182">
        <f t="shared" si="2"/>
        <v>0.15383689043688523</v>
      </c>
      <c r="H16" s="182">
        <f t="shared" si="3"/>
        <v>0.1830030042262939</v>
      </c>
      <c r="I16" s="182">
        <f t="shared" si="4"/>
        <v>0.18959115532418203</v>
      </c>
      <c r="J16" s="182">
        <f t="shared" si="5"/>
        <v>2.9166113789408671E-2</v>
      </c>
      <c r="K16" s="108"/>
      <c r="L16" s="108"/>
      <c r="M16" s="206">
        <f>VLOOKUP(B16,'8. Primas y Siniestros Totales'!$B$10:$D$21,2,FALSE)</f>
        <v>1250.5436558399999</v>
      </c>
      <c r="N16" s="206">
        <f>VLOOKUP(B16,'8. Primas y Siniestros Totales'!$B$10:$D$21,3,FALSE)</f>
        <v>1376.0558212399999</v>
      </c>
    </row>
    <row r="17" spans="1:14" x14ac:dyDescent="0.3">
      <c r="A17" s="173">
        <v>8</v>
      </c>
      <c r="B17" s="180" t="str">
        <f>'ER diciembre 2024'!P9</f>
        <v>ASSA CIA. DE SEGUROS</v>
      </c>
      <c r="C17" s="221">
        <f>('ER diciembre 2024'!P27+'ER diciembre 2024'!P30)/1000</f>
        <v>87.098362359999996</v>
      </c>
      <c r="D17" s="221">
        <f>('ER Diciembre 2025'!N27+'ER Diciembre 2025'!N30)/1000</f>
        <v>178.68514041</v>
      </c>
      <c r="E17" s="182">
        <f t="shared" si="0"/>
        <v>1.051532721952317</v>
      </c>
      <c r="F17" s="198">
        <f t="shared" si="1"/>
        <v>91.586778050000007</v>
      </c>
      <c r="G17" s="182">
        <f t="shared" si="2"/>
        <v>0.1011107013051388</v>
      </c>
      <c r="H17" s="182">
        <f t="shared" si="3"/>
        <v>0.16540735003235338</v>
      </c>
      <c r="I17" s="182">
        <f t="shared" si="4"/>
        <v>0.63590349881142405</v>
      </c>
      <c r="J17" s="182">
        <f t="shared" si="5"/>
        <v>6.4296648727214578E-2</v>
      </c>
      <c r="K17" s="108"/>
      <c r="L17" s="108"/>
      <c r="M17" s="206">
        <f>VLOOKUP(B17,'8. Primas y Siniestros Totales'!$B$10:$D$21,2,FALSE)</f>
        <v>861.41586632999997</v>
      </c>
      <c r="N17" s="206">
        <f>VLOOKUP(B17,'8. Primas y Siniestros Totales'!$B$10:$D$21,3,FALSE)</f>
        <v>1080.2732791199999</v>
      </c>
    </row>
    <row r="18" spans="1:14" s="4" customFormat="1" ht="15.75" x14ac:dyDescent="0.3">
      <c r="A18" s="173">
        <v>9</v>
      </c>
      <c r="B18" s="180" t="str">
        <f>'ER diciembre 2024'!L9</f>
        <v>SEGUROS EQUIDAD</v>
      </c>
      <c r="C18" s="221">
        <f>('ER diciembre 2024'!L27+'ER diciembre 2024'!L30)/1000</f>
        <v>138.11588707999999</v>
      </c>
      <c r="D18" s="183">
        <f>('ER Diciembre 2025'!J27+'ER Diciembre 2025'!J30)/1000</f>
        <v>149.45168271</v>
      </c>
      <c r="E18" s="182">
        <f t="shared" si="0"/>
        <v>8.2074523573338443E-2</v>
      </c>
      <c r="F18" s="198">
        <f t="shared" si="1"/>
        <v>11.335795630000007</v>
      </c>
      <c r="G18" s="182">
        <f t="shared" si="2"/>
        <v>0.19052393315502938</v>
      </c>
      <c r="H18" s="182">
        <f t="shared" si="3"/>
        <v>0.25016096070504806</v>
      </c>
      <c r="I18" s="182">
        <f t="shared" si="4"/>
        <v>0.31301593748588008</v>
      </c>
      <c r="J18" s="182">
        <f t="shared" si="5"/>
        <v>5.9637027550018679E-2</v>
      </c>
      <c r="K18" s="112"/>
      <c r="L18" s="112"/>
      <c r="M18" s="206">
        <f>VLOOKUP(B18,'8. Primas y Siniestros Totales'!$B$10:$D$21,2,FALSE)</f>
        <v>724.92670497000006</v>
      </c>
      <c r="N18" s="206">
        <f>VLOOKUP(B18,'8. Primas y Siniestros Totales'!$B$10:$D$21,3,FALSE)</f>
        <v>597.42208491999997</v>
      </c>
    </row>
    <row r="19" spans="1:14" x14ac:dyDescent="0.3">
      <c r="A19" s="173">
        <v>10</v>
      </c>
      <c r="B19" s="180" t="str">
        <f>'ER diciembre 2024'!I9</f>
        <v>SEGUROS CONTINENTAL</v>
      </c>
      <c r="C19" s="221">
        <f>('ER diciembre 2024'!I27+'ER diciembre 2024'!I30)/1000</f>
        <v>146.545885</v>
      </c>
      <c r="D19" s="221">
        <f>('ER Diciembre 2025'!G27+'ER Diciembre 2025'!G30)/1000</f>
        <v>144.94682114999998</v>
      </c>
      <c r="E19" s="182">
        <f t="shared" si="0"/>
        <v>-1.0911693972164516E-2</v>
      </c>
      <c r="F19" s="198">
        <f t="shared" si="1"/>
        <v>-1.5990638500000216</v>
      </c>
      <c r="G19" s="182">
        <f t="shared" si="2"/>
        <v>0.26998432136756606</v>
      </c>
      <c r="H19" s="182">
        <f t="shared" si="3"/>
        <v>0.23602041807794527</v>
      </c>
      <c r="I19" s="182">
        <f t="shared" si="4"/>
        <v>-0.12579953946059386</v>
      </c>
      <c r="J19" s="182">
        <f t="shared" si="5"/>
        <v>-3.3963903289620789E-2</v>
      </c>
      <c r="K19" s="112"/>
      <c r="L19" s="112"/>
      <c r="M19" s="206">
        <f>VLOOKUP(B19,'8. Primas y Siniestros Totales'!$B$10:$D$21,2,FALSE)</f>
        <v>542.79405654999994</v>
      </c>
      <c r="N19" s="206">
        <f>VLOOKUP(B19,'8. Primas y Siniestros Totales'!$B$10:$D$21,3,FALSE)</f>
        <v>614.12831284000004</v>
      </c>
    </row>
    <row r="20" spans="1:14" ht="15.75" x14ac:dyDescent="0.3">
      <c r="A20" s="173">
        <v>11</v>
      </c>
      <c r="B20" s="180" t="str">
        <f>'ER diciembre 2024'!N9</f>
        <v>SEGUROS LAFISE</v>
      </c>
      <c r="C20" s="221">
        <f>('ER diciembre 2024'!N27+'ER diciembre 2024'!N30)/1000</f>
        <v>137.81121547000001</v>
      </c>
      <c r="D20" s="183">
        <f>('ER Diciembre 2025'!L27+'ER Diciembre 2025'!L30)/1000</f>
        <v>130.32587280999999</v>
      </c>
      <c r="E20" s="182">
        <f t="shared" si="0"/>
        <v>-5.431591786250145E-2</v>
      </c>
      <c r="F20" s="198">
        <f t="shared" si="1"/>
        <v>-7.4853426600000148</v>
      </c>
      <c r="G20" s="182">
        <f t="shared" si="2"/>
        <v>0.34134995106423782</v>
      </c>
      <c r="H20" s="182">
        <f t="shared" si="3"/>
        <v>0.25335588070134618</v>
      </c>
      <c r="I20" s="182">
        <f t="shared" si="4"/>
        <v>-0.2577825779337295</v>
      </c>
      <c r="J20" s="182">
        <f t="shared" si="5"/>
        <v>-8.7994070362891641E-2</v>
      </c>
      <c r="K20" s="108"/>
      <c r="L20" s="108"/>
      <c r="M20" s="206">
        <f>VLOOKUP(B20,'8. Primas y Siniestros Totales'!$B$10:$D$21,2,FALSE)</f>
        <v>403.72414011000006</v>
      </c>
      <c r="N20" s="206">
        <f>VLOOKUP(B20,'8. Primas y Siniestros Totales'!$B$10:$D$21,3,FALSE)</f>
        <v>514.39845188999993</v>
      </c>
    </row>
    <row r="21" spans="1:14" s="541" customFormat="1" x14ac:dyDescent="0.3">
      <c r="A21" s="28">
        <v>12</v>
      </c>
      <c r="B21" s="180" t="str">
        <f>'ER diciembre 2024'!O9</f>
        <v>ASEGURADORA RURAL</v>
      </c>
      <c r="C21" s="221">
        <f>('ER diciembre 2024'!O27+'ER diciembre 2024'!O30)/1000</f>
        <v>104.79824546</v>
      </c>
      <c r="D21" s="221">
        <f>('ER Diciembre 2025'!M27+'ER Diciembre 2025'!M30)/1000</f>
        <v>123.80818429999999</v>
      </c>
      <c r="E21" s="182">
        <f t="shared" si="0"/>
        <v>0.18139558307067083</v>
      </c>
      <c r="F21" s="198">
        <f t="shared" si="1"/>
        <v>19.00993883999999</v>
      </c>
      <c r="G21" s="182">
        <f t="shared" si="2"/>
        <v>0.22351065952516977</v>
      </c>
      <c r="H21" s="182">
        <f t="shared" si="3"/>
        <v>0.22730110645928819</v>
      </c>
      <c r="I21" s="182">
        <f t="shared" si="4"/>
        <v>1.6958685291211362E-2</v>
      </c>
      <c r="J21" s="182">
        <f t="shared" si="5"/>
        <v>3.7904469341184244E-3</v>
      </c>
      <c r="K21" s="558"/>
      <c r="L21" s="558"/>
      <c r="M21" s="560">
        <f>VLOOKUP(B21,'8. Primas y Siniestros Totales'!$B$10:$D$21,2,FALSE)</f>
        <v>468.87359055999997</v>
      </c>
      <c r="N21" s="560">
        <f>VLOOKUP(B21,'8. Primas y Siniestros Totales'!$B$10:$D$21,3,FALSE)</f>
        <v>544.68799659000001</v>
      </c>
    </row>
    <row r="22" spans="1:14" x14ac:dyDescent="0.3">
      <c r="A22" s="665" t="s">
        <v>29</v>
      </c>
      <c r="B22" s="665"/>
      <c r="C22" s="189">
        <f>SUM(C10:C21)</f>
        <v>3868.6823791699999</v>
      </c>
      <c r="D22" s="189">
        <f>SUM(D10:D21)</f>
        <v>4316.0300279200001</v>
      </c>
      <c r="E22" s="188">
        <f>IFERROR(D22/C22-1,0)</f>
        <v>0.1156330773388472</v>
      </c>
      <c r="F22" s="200">
        <f>D22-C22</f>
        <v>447.34764875000019</v>
      </c>
      <c r="G22" s="186">
        <f>C22/M22</f>
        <v>0.20977861064431322</v>
      </c>
      <c r="H22" s="201">
        <f>D22/N22</f>
        <v>0.21385822178897587</v>
      </c>
      <c r="I22" s="186">
        <f>IFERROR(H22/G22-1,0)</f>
        <v>1.9447221678762006E-2</v>
      </c>
      <c r="J22" s="212">
        <f>H22-G22</f>
        <v>4.0796111446626537E-3</v>
      </c>
      <c r="K22" s="108"/>
      <c r="L22" s="108"/>
      <c r="M22" s="209">
        <f>SUM(M10:M21)</f>
        <v>18441.738970850001</v>
      </c>
      <c r="N22" s="209">
        <f>SUM(N10:N21)</f>
        <v>20181.735318919997</v>
      </c>
    </row>
    <row r="23" spans="1:14" x14ac:dyDescent="0.3">
      <c r="A23" s="108"/>
      <c r="B23" s="108"/>
      <c r="C23" s="129"/>
      <c r="D23" s="108"/>
      <c r="E23" s="108"/>
      <c r="F23" s="108"/>
      <c r="G23" s="108"/>
      <c r="H23" s="108"/>
      <c r="I23" s="108"/>
      <c r="J23" s="108"/>
      <c r="K23" s="108"/>
      <c r="L23" s="108"/>
      <c r="M23" s="108"/>
      <c r="N23" s="108"/>
    </row>
    <row r="24" spans="1:14" x14ac:dyDescent="0.3">
      <c r="A24" s="130" t="s">
        <v>353</v>
      </c>
      <c r="B24" s="108"/>
      <c r="C24" s="108"/>
      <c r="D24" s="108"/>
      <c r="E24" s="108"/>
      <c r="F24" s="108"/>
      <c r="G24" s="108"/>
      <c r="H24" s="108"/>
      <c r="I24" s="108"/>
      <c r="J24" s="108"/>
      <c r="K24" s="108"/>
      <c r="L24" s="108"/>
      <c r="M24" s="108"/>
      <c r="N24" s="108"/>
    </row>
    <row r="25" spans="1:14" x14ac:dyDescent="0.3">
      <c r="A25" s="108"/>
      <c r="B25" s="108"/>
      <c r="C25" s="108"/>
      <c r="D25" s="108"/>
      <c r="E25" s="108"/>
      <c r="F25" s="108"/>
      <c r="G25" s="108"/>
      <c r="H25" s="108"/>
      <c r="I25" s="108"/>
      <c r="J25" s="108"/>
      <c r="K25" s="108"/>
      <c r="L25" s="108"/>
      <c r="M25" s="108"/>
      <c r="N25" s="108"/>
    </row>
    <row r="26" spans="1:14" ht="14.45" customHeight="1" x14ac:dyDescent="0.3">
      <c r="B26" s="34"/>
      <c r="C26" s="673"/>
      <c r="D26" s="673"/>
      <c r="E26" s="4"/>
    </row>
    <row r="28" spans="1:14" x14ac:dyDescent="0.3">
      <c r="B28" s="368"/>
    </row>
  </sheetData>
  <sortState xmlns:xlrd2="http://schemas.microsoft.com/office/spreadsheetml/2017/richdata2" ref="B10:J21">
    <sortCondition descending="1" ref="D10:D21"/>
  </sortState>
  <mergeCells count="7">
    <mergeCell ref="A22:B22"/>
    <mergeCell ref="C26:D26"/>
    <mergeCell ref="G8:H8"/>
    <mergeCell ref="I8:J8"/>
    <mergeCell ref="C8:D8"/>
    <mergeCell ref="E8:F8"/>
    <mergeCell ref="A8:A9"/>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9D11-A40D-4348-BA22-16A1D1BEEDFD}">
  <sheetPr>
    <tabColor theme="0" tint="-0.249977111117893"/>
  </sheetPr>
  <dimension ref="A1:N28"/>
  <sheetViews>
    <sheetView showGridLines="0" topLeftCell="A7" zoomScaleNormal="100" workbookViewId="0">
      <selection activeCell="D22" sqref="D22"/>
    </sheetView>
  </sheetViews>
  <sheetFormatPr baseColWidth="10" defaultRowHeight="15" x14ac:dyDescent="0.3"/>
  <cols>
    <col min="1" max="1" width="6.140625" customWidth="1"/>
    <col min="2" max="2" width="22.7109375" bestFit="1" customWidth="1"/>
    <col min="3" max="3" width="12" bestFit="1" customWidth="1"/>
    <col min="4" max="4" width="12.42578125" customWidth="1"/>
    <col min="6" max="6" width="12" bestFit="1" customWidth="1"/>
    <col min="7" max="7" width="17.28515625" customWidth="1"/>
    <col min="8" max="8" width="14.28515625" customWidth="1"/>
    <col min="9" max="12" width="11" customWidth="1"/>
    <col min="13" max="13" width="11" hidden="1" customWidth="1"/>
    <col min="14" max="14" width="11.42578125" hidden="1" customWidth="1"/>
  </cols>
  <sheetData>
    <row r="1" spans="1:14" s="502" customFormat="1" x14ac:dyDescent="0.25">
      <c r="A1" s="494" t="s">
        <v>0</v>
      </c>
      <c r="B1" s="505"/>
      <c r="C1" s="505"/>
      <c r="D1" s="505"/>
      <c r="E1" s="505"/>
      <c r="F1" s="505"/>
      <c r="G1" s="509"/>
      <c r="H1" s="505"/>
      <c r="I1" s="505"/>
      <c r="J1" s="505"/>
      <c r="K1" s="505"/>
      <c r="L1" s="505"/>
      <c r="M1" s="505"/>
    </row>
    <row r="2" spans="1:14" s="502" customFormat="1" x14ac:dyDescent="0.25">
      <c r="A2" s="494" t="s">
        <v>42</v>
      </c>
      <c r="B2" s="505"/>
      <c r="C2" s="505"/>
      <c r="D2" s="505"/>
      <c r="E2" s="505"/>
      <c r="F2" s="505"/>
      <c r="G2" s="505"/>
      <c r="H2" s="505"/>
      <c r="I2" s="505"/>
      <c r="J2" s="505"/>
      <c r="K2" s="505"/>
      <c r="L2" s="505"/>
      <c r="M2" s="505"/>
    </row>
    <row r="3" spans="1:14" s="502" customFormat="1" x14ac:dyDescent="0.25">
      <c r="A3" s="494" t="str">
        <f>'1. Ramos Totales'!A3</f>
        <v>Al 31 de diciembre de 2025</v>
      </c>
      <c r="B3" s="505"/>
      <c r="C3" s="505"/>
      <c r="D3" s="505"/>
      <c r="E3" s="505"/>
      <c r="F3" s="505"/>
      <c r="G3" s="505"/>
      <c r="H3" s="505"/>
      <c r="I3" s="505"/>
      <c r="J3" s="505"/>
      <c r="K3" s="505"/>
      <c r="L3" s="505"/>
      <c r="M3" s="505"/>
    </row>
    <row r="4" spans="1:14" s="502" customFormat="1" x14ac:dyDescent="0.25">
      <c r="A4" s="494" t="s">
        <v>2</v>
      </c>
      <c r="B4" s="505"/>
      <c r="C4" s="505"/>
      <c r="D4" s="505"/>
      <c r="E4" s="505"/>
      <c r="F4" s="505"/>
      <c r="G4" s="505"/>
      <c r="H4" s="505"/>
      <c r="I4" s="505"/>
      <c r="J4" s="505"/>
      <c r="K4" s="505"/>
      <c r="L4" s="505"/>
      <c r="M4" s="505"/>
    </row>
    <row r="5" spans="1:14" s="502" customFormat="1" ht="7.5" customHeight="1" x14ac:dyDescent="0.25">
      <c r="A5" s="503"/>
      <c r="B5" s="501"/>
      <c r="C5" s="501"/>
      <c r="D5" s="501"/>
      <c r="E5" s="501"/>
      <c r="F5" s="501"/>
      <c r="G5" s="501"/>
      <c r="H5" s="501"/>
      <c r="I5" s="501"/>
      <c r="J5" s="501"/>
      <c r="K5" s="501"/>
      <c r="L5" s="501"/>
      <c r="M5" s="501"/>
    </row>
    <row r="6" spans="1:14" s="502" customFormat="1" x14ac:dyDescent="0.25">
      <c r="A6" s="502" t="s">
        <v>358</v>
      </c>
      <c r="C6" s="501"/>
      <c r="D6" s="501"/>
      <c r="E6" s="501"/>
      <c r="F6" s="501"/>
      <c r="G6" s="501"/>
      <c r="H6" s="501"/>
      <c r="I6" s="501"/>
      <c r="J6" s="501"/>
      <c r="K6" s="501"/>
      <c r="L6" s="501"/>
      <c r="M6" s="501"/>
    </row>
    <row r="7" spans="1:14" ht="16.350000000000001" customHeight="1" x14ac:dyDescent="0.3">
      <c r="A7" s="111"/>
      <c r="B7" s="110"/>
      <c r="C7" s="110"/>
      <c r="D7" s="110"/>
      <c r="E7" s="110"/>
      <c r="F7" s="110"/>
      <c r="G7" s="110"/>
      <c r="H7" s="110"/>
      <c r="I7" s="110"/>
      <c r="J7" s="110"/>
      <c r="K7" s="110"/>
      <c r="L7" s="110"/>
      <c r="M7" s="110"/>
      <c r="N7" s="108"/>
    </row>
    <row r="8" spans="1:14" x14ac:dyDescent="0.3">
      <c r="A8" s="667" t="s">
        <v>25</v>
      </c>
      <c r="B8" s="169" t="s">
        <v>26</v>
      </c>
      <c r="C8" s="671" t="s">
        <v>44</v>
      </c>
      <c r="D8" s="665"/>
      <c r="E8" s="665" t="s">
        <v>45</v>
      </c>
      <c r="F8" s="665"/>
      <c r="G8" s="666" t="s">
        <v>359</v>
      </c>
      <c r="H8" s="666"/>
      <c r="I8" s="672" t="s">
        <v>45</v>
      </c>
      <c r="J8" s="672"/>
      <c r="K8" s="108"/>
      <c r="L8" s="108"/>
      <c r="M8" s="149" t="s">
        <v>5</v>
      </c>
      <c r="N8" s="149" t="s">
        <v>5</v>
      </c>
    </row>
    <row r="9" spans="1:14" x14ac:dyDescent="0.3">
      <c r="A9" s="667"/>
      <c r="B9" s="170"/>
      <c r="C9" s="148">
        <f>'1. Ramos Totales'!$B$9</f>
        <v>45657</v>
      </c>
      <c r="D9" s="148">
        <f>'1. Ramos Totales'!$C$9</f>
        <v>46022</v>
      </c>
      <c r="E9" s="149" t="s">
        <v>9</v>
      </c>
      <c r="F9" s="172" t="s">
        <v>10</v>
      </c>
      <c r="G9" s="146">
        <f>'1. Ramos Totales'!$B$9</f>
        <v>45657</v>
      </c>
      <c r="H9" s="146">
        <f>'1. Ramos Totales'!$C$9</f>
        <v>46022</v>
      </c>
      <c r="I9" s="147" t="s">
        <v>9</v>
      </c>
      <c r="J9" s="147" t="s">
        <v>10</v>
      </c>
      <c r="K9" s="108"/>
      <c r="L9" s="108"/>
      <c r="M9" s="208">
        <v>2023</v>
      </c>
      <c r="N9" s="210" t="s">
        <v>360</v>
      </c>
    </row>
    <row r="10" spans="1:14" ht="15.75" x14ac:dyDescent="0.3">
      <c r="A10" s="173">
        <v>1</v>
      </c>
      <c r="B10" s="195" t="str">
        <f>'ER diciembre 2024'!G9</f>
        <v>MAPFRE SEGUROS</v>
      </c>
      <c r="C10" s="221">
        <f>('ER diciembre 2024'!G27)/1000</f>
        <v>622.189392</v>
      </c>
      <c r="D10" s="183">
        <f>('ER Diciembre 2025'!E27)/1000</f>
        <v>607.77146381</v>
      </c>
      <c r="E10" s="182">
        <f t="shared" ref="E10:E21" si="0">IFERROR(D10/C10-1,0)</f>
        <v>-2.317289297339864E-2</v>
      </c>
      <c r="F10" s="198">
        <f t="shared" ref="F10:F21" si="1">D10-C10</f>
        <v>-14.417928189999998</v>
      </c>
      <c r="G10" s="182">
        <f t="shared" ref="G10:G21" si="2">C10/M10</f>
        <v>0.2038398398975094</v>
      </c>
      <c r="H10" s="182">
        <f t="shared" ref="H10:H21" si="3">D10/N10</f>
        <v>0.19433224476729924</v>
      </c>
      <c r="I10" s="182">
        <f t="shared" ref="I10:I21" si="4">IFERROR(H10/G10-1,0)</f>
        <v>-4.6642477422424222E-2</v>
      </c>
      <c r="J10" s="182">
        <f t="shared" ref="J10:J21" si="5">H10-G10</f>
        <v>-9.5075951302101558E-3</v>
      </c>
      <c r="K10" s="108"/>
      <c r="L10" s="108"/>
      <c r="M10" s="206">
        <f>VLOOKUP(B10,'8. Primas y Siniestros Totales'!$B$10:$D$21,2,FALSE)</f>
        <v>3052.3443911300001</v>
      </c>
      <c r="N10" s="206">
        <f>VLOOKUP(B10,'8. Primas y Siniestros Totales'!$B$10:$D$21,3,FALSE)</f>
        <v>3127.48645773</v>
      </c>
    </row>
    <row r="11" spans="1:14" ht="15.75" x14ac:dyDescent="0.3">
      <c r="A11" s="173">
        <v>2</v>
      </c>
      <c r="B11" s="180" t="str">
        <f>'ER diciembre 2024'!H9</f>
        <v>FICOHSA SEGUROS</v>
      </c>
      <c r="C11" s="221">
        <f>('ER diciembre 2024'!H27)/1000</f>
        <v>408.38599182999997</v>
      </c>
      <c r="D11" s="183">
        <f>('ER Diciembre 2025'!F27)/1000</f>
        <v>460.20735801999996</v>
      </c>
      <c r="E11" s="182">
        <f t="shared" si="0"/>
        <v>0.1268931041385275</v>
      </c>
      <c r="F11" s="198">
        <f t="shared" si="1"/>
        <v>51.821366189999992</v>
      </c>
      <c r="G11" s="182">
        <f t="shared" si="2"/>
        <v>9.262147608333772E-2</v>
      </c>
      <c r="H11" s="182">
        <f t="shared" si="3"/>
        <v>9.4872401921297908E-2</v>
      </c>
      <c r="I11" s="182">
        <f t="shared" si="4"/>
        <v>2.4302418112348789E-2</v>
      </c>
      <c r="J11" s="182">
        <f t="shared" si="5"/>
        <v>2.2509258379601882E-3</v>
      </c>
      <c r="K11" s="108"/>
      <c r="L11" s="108"/>
      <c r="M11" s="206">
        <f>VLOOKUP(B11,'8. Primas y Siniestros Totales'!$B$10:$D$21,2,FALSE)</f>
        <v>4409.1933005100009</v>
      </c>
      <c r="N11" s="206">
        <f>VLOOKUP(B11,'8. Primas y Siniestros Totales'!$B$10:$D$21,3,FALSE)</f>
        <v>4850.8032757700003</v>
      </c>
    </row>
    <row r="12" spans="1:14" x14ac:dyDescent="0.3">
      <c r="A12" s="202">
        <v>3</v>
      </c>
      <c r="B12" s="180" t="str">
        <f>'ER diciembre 2024'!F9</f>
        <v>PALIC</v>
      </c>
      <c r="C12" s="221">
        <f>('ER diciembre 2024'!F27)/1000</f>
        <v>317.20789316000003</v>
      </c>
      <c r="D12" s="221">
        <f>('ER Diciembre 2025'!D27)/1000</f>
        <v>321.41283605000001</v>
      </c>
      <c r="E12" s="182">
        <f t="shared" si="0"/>
        <v>1.3256110521433273E-2</v>
      </c>
      <c r="F12" s="198">
        <f t="shared" si="1"/>
        <v>4.2049428899999839</v>
      </c>
      <c r="G12" s="182">
        <f t="shared" si="2"/>
        <v>0.22956116761476411</v>
      </c>
      <c r="H12" s="182">
        <f t="shared" si="3"/>
        <v>0.22165157030313531</v>
      </c>
      <c r="I12" s="182">
        <f t="shared" si="4"/>
        <v>-3.445529308729689E-2</v>
      </c>
      <c r="J12" s="182">
        <f t="shared" si="5"/>
        <v>-7.9095973116287965E-3</v>
      </c>
      <c r="K12" s="108"/>
      <c r="L12" s="108"/>
      <c r="M12" s="206">
        <f>VLOOKUP(B12,'8. Primas y Siniestros Totales'!$B$10:$D$21,2,FALSE)</f>
        <v>1381.80118378</v>
      </c>
      <c r="N12" s="206">
        <f>VLOOKUP(B12,'8. Primas y Siniestros Totales'!$B$10:$D$21,3,FALSE)</f>
        <v>1450.0814752200001</v>
      </c>
    </row>
    <row r="13" spans="1:14" x14ac:dyDescent="0.3">
      <c r="A13" s="173">
        <v>4</v>
      </c>
      <c r="B13" s="180" t="str">
        <f>'ER diciembre 2024'!E9</f>
        <v>SEGUROS DAVIVIENDA</v>
      </c>
      <c r="C13" s="221">
        <f>('ER diciembre 2024'!E27)/1000</f>
        <v>278.91200477000001</v>
      </c>
      <c r="D13" s="221">
        <f>('ER Diciembre 2025'!C27)/1000</f>
        <v>300.64945729000004</v>
      </c>
      <c r="E13" s="182">
        <f t="shared" si="0"/>
        <v>7.7936597020717979E-2</v>
      </c>
      <c r="F13" s="198">
        <f t="shared" si="1"/>
        <v>21.737452520000033</v>
      </c>
      <c r="G13" s="182">
        <f t="shared" si="2"/>
        <v>0.18421220858255338</v>
      </c>
      <c r="H13" s="182">
        <f t="shared" si="3"/>
        <v>0.18503289554151997</v>
      </c>
      <c r="I13" s="182">
        <f t="shared" si="4"/>
        <v>4.455117091757721E-3</v>
      </c>
      <c r="J13" s="182">
        <f t="shared" si="5"/>
        <v>8.2068695896658772E-4</v>
      </c>
      <c r="K13" s="108"/>
      <c r="L13" s="108"/>
      <c r="M13" s="206">
        <f>VLOOKUP(B13,'8. Primas y Siniestros Totales'!$B$10:$D$21,2,FALSE)</f>
        <v>1514.0799131400001</v>
      </c>
      <c r="N13" s="206">
        <f>VLOOKUP(B13,'8. Primas y Siniestros Totales'!$B$10:$D$21,3,FALSE)</f>
        <v>1624.8432821099998</v>
      </c>
    </row>
    <row r="14" spans="1:14" s="350" customFormat="1" x14ac:dyDescent="0.3">
      <c r="A14" s="28">
        <v>5</v>
      </c>
      <c r="B14" s="203" t="str">
        <f>'ER diciembre 2024'!K9</f>
        <v>CREFISA</v>
      </c>
      <c r="C14" s="222">
        <f>('ER diciembre 2024'!K27)/1000</f>
        <v>209.57246147000001</v>
      </c>
      <c r="D14" s="222">
        <f>('ER Diciembre 2025'!I27)/1000</f>
        <v>235.80837425999999</v>
      </c>
      <c r="E14" s="158">
        <f t="shared" si="0"/>
        <v>0.12518778758417937</v>
      </c>
      <c r="F14" s="205">
        <f t="shared" si="1"/>
        <v>26.235912789999986</v>
      </c>
      <c r="G14" s="182">
        <f t="shared" si="2"/>
        <v>0.15548010567681333</v>
      </c>
      <c r="H14" s="182">
        <f t="shared" si="3"/>
        <v>0.14175614234759409</v>
      </c>
      <c r="I14" s="158">
        <f t="shared" si="4"/>
        <v>-8.8268291750112193E-2</v>
      </c>
      <c r="J14" s="158">
        <f t="shared" si="5"/>
        <v>-1.3723963329219241E-2</v>
      </c>
      <c r="K14" s="113"/>
      <c r="L14" s="113"/>
      <c r="M14" s="211">
        <f>VLOOKUP(B14,'8. Primas y Siniestros Totales'!$B$10:$D$21,2,FALSE)</f>
        <v>1347.90531919</v>
      </c>
      <c r="N14" s="211">
        <f>VLOOKUP(B14,'8. Primas y Siniestros Totales'!$B$10:$D$21,3,FALSE)</f>
        <v>1663.4790588599999</v>
      </c>
    </row>
    <row r="15" spans="1:14" x14ac:dyDescent="0.3">
      <c r="A15" s="173">
        <v>6</v>
      </c>
      <c r="B15" s="180" t="str">
        <f>'ER diciembre 2024'!J9</f>
        <v>SEGUROS ATLÁNTIDA</v>
      </c>
      <c r="C15" s="221">
        <f>('ER diciembre 2024'!J27)/1000</f>
        <v>157.87027007</v>
      </c>
      <c r="D15" s="221">
        <f>('ER Diciembre 2025'!H27)/1000</f>
        <v>215.14835345</v>
      </c>
      <c r="E15" s="182">
        <f t="shared" si="0"/>
        <v>0.36281741555647407</v>
      </c>
      <c r="F15" s="198">
        <f t="shared" si="1"/>
        <v>57.278083379999998</v>
      </c>
      <c r="G15" s="182">
        <f t="shared" si="2"/>
        <v>6.3551357949572992E-2</v>
      </c>
      <c r="H15" s="182">
        <f t="shared" si="3"/>
        <v>7.8576477565673777E-2</v>
      </c>
      <c r="I15" s="182">
        <f t="shared" si="4"/>
        <v>0.23642483970244954</v>
      </c>
      <c r="J15" s="182">
        <f t="shared" si="5"/>
        <v>1.5025119616100785E-2</v>
      </c>
      <c r="K15" s="108"/>
      <c r="L15" s="108"/>
      <c r="M15" s="206">
        <f>VLOOKUP(B15,'8. Primas y Siniestros Totales'!$B$10:$D$21,2,FALSE)</f>
        <v>2484.13684874</v>
      </c>
      <c r="N15" s="206">
        <f>VLOOKUP(B15,'8. Primas y Siniestros Totales'!$B$10:$D$21,3,FALSE)</f>
        <v>2738.0758226300004</v>
      </c>
    </row>
    <row r="16" spans="1:14" x14ac:dyDescent="0.3">
      <c r="A16" s="173">
        <v>7</v>
      </c>
      <c r="B16" s="180" t="str">
        <f>'ER diciembre 2024'!M9</f>
        <v>SEGUROS DEL PAÍS</v>
      </c>
      <c r="C16" s="221">
        <f>('ER diciembre 2024'!M27)/1000</f>
        <v>106.76876294</v>
      </c>
      <c r="D16" s="221">
        <f>('ER Diciembre 2025'!K27)/1000</f>
        <v>138.52497544000002</v>
      </c>
      <c r="E16" s="182">
        <f t="shared" si="0"/>
        <v>0.2974298064860581</v>
      </c>
      <c r="F16" s="198">
        <f t="shared" si="1"/>
        <v>31.756212500000018</v>
      </c>
      <c r="G16" s="182">
        <f t="shared" si="2"/>
        <v>8.5377877406672853E-2</v>
      </c>
      <c r="H16" s="182">
        <f t="shared" si="3"/>
        <v>0.10066813664228501</v>
      </c>
      <c r="I16" s="182">
        <f t="shared" si="4"/>
        <v>0.17908924067977727</v>
      </c>
      <c r="J16" s="182">
        <f t="shared" si="5"/>
        <v>1.5290259235612155E-2</v>
      </c>
      <c r="K16" s="108"/>
      <c r="L16" s="108"/>
      <c r="M16" s="206">
        <f>VLOOKUP(B16,'8. Primas y Siniestros Totales'!$B$10:$D$21,2,FALSE)</f>
        <v>1250.5436558399999</v>
      </c>
      <c r="N16" s="206">
        <f>VLOOKUP(B16,'8. Primas y Siniestros Totales'!$B$10:$D$21,3,FALSE)</f>
        <v>1376.0558212399999</v>
      </c>
    </row>
    <row r="17" spans="1:14" s="363" customFormat="1" x14ac:dyDescent="0.3">
      <c r="A17" s="28">
        <v>8</v>
      </c>
      <c r="B17" s="180" t="str">
        <f>'ER diciembre 2024'!P9</f>
        <v>ASSA CIA. DE SEGUROS</v>
      </c>
      <c r="C17" s="221">
        <f>('ER diciembre 2024'!P27)/1000</f>
        <v>45.920195009999993</v>
      </c>
      <c r="D17" s="221">
        <f>('ER Diciembre 2025'!N27)/1000</f>
        <v>134.77112828</v>
      </c>
      <c r="E17" s="182">
        <f t="shared" si="0"/>
        <v>1.9348988664061864</v>
      </c>
      <c r="F17" s="198">
        <f t="shared" si="1"/>
        <v>88.850933270000013</v>
      </c>
      <c r="G17" s="182">
        <f t="shared" si="2"/>
        <v>5.3307811946440763E-2</v>
      </c>
      <c r="H17" s="182">
        <f t="shared" si="3"/>
        <v>0.12475651382378516</v>
      </c>
      <c r="I17" s="182">
        <f t="shared" si="4"/>
        <v>1.3403045307717769</v>
      </c>
      <c r="J17" s="182">
        <f t="shared" si="5"/>
        <v>7.1448701877344395E-2</v>
      </c>
      <c r="K17" s="119"/>
      <c r="L17" s="119"/>
      <c r="M17" s="457">
        <f>VLOOKUP(B17,'8. Primas y Siniestros Totales'!$B$10:$D$21,2,FALSE)</f>
        <v>861.41586632999997</v>
      </c>
      <c r="N17" s="457">
        <f>VLOOKUP(B17,'8. Primas y Siniestros Totales'!$B$10:$D$21,3,FALSE)</f>
        <v>1080.2732791199999</v>
      </c>
    </row>
    <row r="18" spans="1:14" s="4" customFormat="1" ht="15.75" x14ac:dyDescent="0.3">
      <c r="A18" s="173">
        <v>9</v>
      </c>
      <c r="B18" s="180" t="str">
        <f>'ER diciembre 2024'!N9</f>
        <v>SEGUROS LAFISE</v>
      </c>
      <c r="C18" s="221">
        <f>('ER diciembre 2024'!N27)/1000</f>
        <v>86.421941989999993</v>
      </c>
      <c r="D18" s="183">
        <f>('ER Diciembre 2025'!L27)/1000</f>
        <v>84.53144537</v>
      </c>
      <c r="E18" s="182">
        <f t="shared" si="0"/>
        <v>-2.1875192531761734E-2</v>
      </c>
      <c r="F18" s="198">
        <f t="shared" si="1"/>
        <v>-1.8904966199999933</v>
      </c>
      <c r="G18" s="182">
        <f t="shared" si="2"/>
        <v>0.21406186404026564</v>
      </c>
      <c r="H18" s="182">
        <f t="shared" si="3"/>
        <v>0.16433067607302285</v>
      </c>
      <c r="I18" s="182">
        <f t="shared" si="4"/>
        <v>-0.23232156830087314</v>
      </c>
      <c r="J18" s="182">
        <f t="shared" si="5"/>
        <v>-4.9731187967242796E-2</v>
      </c>
      <c r="K18" s="112"/>
      <c r="L18" s="112"/>
      <c r="M18" s="206">
        <f>VLOOKUP(B18,'8. Primas y Siniestros Totales'!$B$10:$D$21,2,FALSE)</f>
        <v>403.72414011000006</v>
      </c>
      <c r="N18" s="206">
        <f>VLOOKUP(B18,'8. Primas y Siniestros Totales'!$B$10:$D$21,3,FALSE)</f>
        <v>514.39845188999993</v>
      </c>
    </row>
    <row r="19" spans="1:14" x14ac:dyDescent="0.3">
      <c r="A19" s="173">
        <v>10</v>
      </c>
      <c r="B19" s="180" t="str">
        <f>'ER diciembre 2024'!I9</f>
        <v>SEGUROS CONTINENTAL</v>
      </c>
      <c r="C19" s="221">
        <f>('ER diciembre 2024'!I27)/1000</f>
        <v>60.643423219999995</v>
      </c>
      <c r="D19" s="221">
        <f>('ER Diciembre 2025'!G27)/1000</f>
        <v>71.354792079999996</v>
      </c>
      <c r="E19" s="182">
        <f t="shared" si="0"/>
        <v>0.17662869757766941</v>
      </c>
      <c r="F19" s="198">
        <f t="shared" si="1"/>
        <v>10.71136886</v>
      </c>
      <c r="G19" s="182">
        <f t="shared" si="2"/>
        <v>0.11172455278056968</v>
      </c>
      <c r="H19" s="182">
        <f t="shared" si="3"/>
        <v>0.11618873546152592</v>
      </c>
      <c r="I19" s="182">
        <f t="shared" si="4"/>
        <v>3.9957042296011824E-2</v>
      </c>
      <c r="J19" s="182">
        <f t="shared" si="5"/>
        <v>4.4641826809562329E-3</v>
      </c>
      <c r="K19" s="112"/>
      <c r="L19" s="112"/>
      <c r="M19" s="206">
        <f>VLOOKUP(B19,'8. Primas y Siniestros Totales'!$B$10:$D$21,2,FALSE)</f>
        <v>542.79405654999994</v>
      </c>
      <c r="N19" s="206">
        <f>VLOOKUP(B19,'8. Primas y Siniestros Totales'!$B$10:$D$21,3,FALSE)</f>
        <v>614.12831284000004</v>
      </c>
    </row>
    <row r="20" spans="1:14" s="542" customFormat="1" x14ac:dyDescent="0.3">
      <c r="A20" s="28">
        <v>11</v>
      </c>
      <c r="B20" s="180" t="str">
        <f>'ER diciembre 2024'!O9</f>
        <v>ASEGURADORA RURAL</v>
      </c>
      <c r="C20" s="221">
        <f>('ER diciembre 2024'!O27)/1000</f>
        <v>38.662387860000003</v>
      </c>
      <c r="D20" s="221">
        <f>('ER Diciembre 2025'!M27)/1000</f>
        <v>40.594442610000002</v>
      </c>
      <c r="E20" s="182">
        <f t="shared" si="0"/>
        <v>4.9972463082108121E-2</v>
      </c>
      <c r="F20" s="198">
        <f t="shared" si="1"/>
        <v>1.9320547499999989</v>
      </c>
      <c r="G20" s="182">
        <f t="shared" si="2"/>
        <v>8.2458019897907908E-2</v>
      </c>
      <c r="H20" s="182">
        <f t="shared" si="3"/>
        <v>7.4527881767433982E-2</v>
      </c>
      <c r="I20" s="182">
        <f t="shared" si="4"/>
        <v>-9.6171823435638015E-2</v>
      </c>
      <c r="J20" s="182">
        <f t="shared" si="5"/>
        <v>-7.9301381304739266E-3</v>
      </c>
      <c r="K20" s="558"/>
      <c r="L20" s="558"/>
      <c r="M20" s="560">
        <f>VLOOKUP(B20,'8. Primas y Siniestros Totales'!$B$10:$D$21,2,FALSE)</f>
        <v>468.87359055999997</v>
      </c>
      <c r="N20" s="560">
        <f>VLOOKUP(B20,'8. Primas y Siniestros Totales'!$B$10:$D$21,3,FALSE)</f>
        <v>544.68799659000001</v>
      </c>
    </row>
    <row r="21" spans="1:14" s="4" customFormat="1" ht="15.75" x14ac:dyDescent="0.3">
      <c r="A21" s="173">
        <v>12</v>
      </c>
      <c r="B21" s="180" t="str">
        <f>'ER diciembre 2024'!L9</f>
        <v>SEGUROS EQUIDAD</v>
      </c>
      <c r="C21" s="221">
        <f>('ER diciembre 2024'!L27)/1000</f>
        <v>12.407399760000001</v>
      </c>
      <c r="D21" s="183">
        <f>('ER Diciembre 2025'!J27)/1000</f>
        <v>9.8548842299999997</v>
      </c>
      <c r="E21" s="182">
        <f t="shared" si="0"/>
        <v>-0.20572525906910899</v>
      </c>
      <c r="F21" s="198">
        <f t="shared" si="1"/>
        <v>-2.5525155300000009</v>
      </c>
      <c r="G21" s="182">
        <f t="shared" si="2"/>
        <v>1.7115385148507477E-2</v>
      </c>
      <c r="H21" s="182">
        <f t="shared" si="3"/>
        <v>1.6495681158689764E-2</v>
      </c>
      <c r="I21" s="182">
        <f t="shared" si="4"/>
        <v>-3.6207422996364924E-2</v>
      </c>
      <c r="J21" s="182">
        <f t="shared" si="5"/>
        <v>-6.1970398981771313E-4</v>
      </c>
      <c r="K21" s="108"/>
      <c r="L21" s="108"/>
      <c r="M21" s="206">
        <f>VLOOKUP(B21,'8. Primas y Siniestros Totales'!$B$10:$D$21,2,FALSE)</f>
        <v>724.92670497000006</v>
      </c>
      <c r="N21" s="206">
        <f>VLOOKUP(B21,'8. Primas y Siniestros Totales'!$B$10:$D$21,3,FALSE)</f>
        <v>597.42208491999997</v>
      </c>
    </row>
    <row r="22" spans="1:14" x14ac:dyDescent="0.3">
      <c r="A22" s="665" t="s">
        <v>29</v>
      </c>
      <c r="B22" s="665"/>
      <c r="C22" s="189">
        <f>SUM(C10:C21)</f>
        <v>2344.9621240800002</v>
      </c>
      <c r="D22" s="189">
        <f>SUM(D10:D21)</f>
        <v>2620.6295108900003</v>
      </c>
      <c r="E22" s="188">
        <f>IFERROR(D22/C22-1,0)</f>
        <v>0.11755728759079753</v>
      </c>
      <c r="F22" s="200">
        <f>D22-C22</f>
        <v>275.66738681000015</v>
      </c>
      <c r="G22" s="186">
        <f>C22/M22</f>
        <v>0.12715515211372272</v>
      </c>
      <c r="H22" s="201">
        <f>D22/N22</f>
        <v>0.12985154494783258</v>
      </c>
      <c r="I22" s="186">
        <f>IFERROR(H22/G22-1,0)</f>
        <v>2.120553347062426E-2</v>
      </c>
      <c r="J22" s="212">
        <f>H22-G22</f>
        <v>2.6963928341098564E-3</v>
      </c>
      <c r="K22" s="108"/>
      <c r="L22" s="108"/>
      <c r="M22" s="209">
        <f>SUM(M10:M21)</f>
        <v>18441.738970850001</v>
      </c>
      <c r="N22" s="209">
        <f>SUM(N10:N21)</f>
        <v>20181.73531892</v>
      </c>
    </row>
    <row r="23" spans="1:14" x14ac:dyDescent="0.3">
      <c r="A23" s="108"/>
      <c r="B23" s="108"/>
      <c r="C23" s="129"/>
      <c r="D23" s="108"/>
      <c r="E23" s="108"/>
      <c r="F23" s="108"/>
      <c r="G23" s="108"/>
      <c r="H23" s="108"/>
      <c r="I23" s="108"/>
      <c r="J23" s="108"/>
      <c r="K23" s="108"/>
      <c r="L23" s="108"/>
      <c r="M23" s="108"/>
      <c r="N23" s="108"/>
    </row>
    <row r="24" spans="1:14" x14ac:dyDescent="0.3">
      <c r="A24" s="130"/>
      <c r="B24" s="108"/>
      <c r="C24" s="108"/>
      <c r="D24" s="108"/>
      <c r="E24" s="108"/>
      <c r="F24" s="108"/>
      <c r="G24" s="108"/>
      <c r="H24" s="108"/>
      <c r="I24" s="108"/>
      <c r="J24" s="108"/>
      <c r="K24" s="108"/>
      <c r="L24" s="108"/>
      <c r="M24" s="108"/>
      <c r="N24" s="108"/>
    </row>
    <row r="25" spans="1:14" x14ac:dyDescent="0.3">
      <c r="A25" s="108"/>
      <c r="B25" s="108"/>
      <c r="C25" s="108"/>
      <c r="D25" s="108"/>
      <c r="E25" s="108"/>
      <c r="F25" s="108"/>
      <c r="G25" s="108"/>
      <c r="H25" s="108"/>
      <c r="I25" s="108"/>
      <c r="J25" s="108"/>
      <c r="K25" s="108"/>
      <c r="L25" s="108"/>
      <c r="M25" s="108"/>
      <c r="N25" s="108"/>
    </row>
    <row r="26" spans="1:14" ht="14.45" customHeight="1" x14ac:dyDescent="0.3">
      <c r="B26" s="34"/>
      <c r="C26" s="673"/>
      <c r="D26" s="673"/>
      <c r="E26" s="4"/>
    </row>
    <row r="28" spans="1:14" x14ac:dyDescent="0.3">
      <c r="B28" s="368"/>
    </row>
  </sheetData>
  <sortState xmlns:xlrd2="http://schemas.microsoft.com/office/spreadsheetml/2017/richdata2" ref="B10:J21">
    <sortCondition descending="1" ref="D10:D21"/>
  </sortState>
  <mergeCells count="7">
    <mergeCell ref="I8:J8"/>
    <mergeCell ref="A22:B22"/>
    <mergeCell ref="C26:D26"/>
    <mergeCell ref="A8:A9"/>
    <mergeCell ref="C8:D8"/>
    <mergeCell ref="E8:F8"/>
    <mergeCell ref="G8:H8"/>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8"/>
  <dimension ref="A1:L23"/>
  <sheetViews>
    <sheetView showGridLines="0" topLeftCell="A7" zoomScaleNormal="100" workbookViewId="0">
      <selection activeCell="P21" sqref="P21"/>
    </sheetView>
  </sheetViews>
  <sheetFormatPr baseColWidth="10" defaultRowHeight="15" x14ac:dyDescent="0.3"/>
  <cols>
    <col min="1" max="1" width="6" customWidth="1"/>
    <col min="2" max="2" width="28.42578125" customWidth="1"/>
    <col min="3" max="3" width="14.7109375" customWidth="1"/>
    <col min="4" max="5" width="18.140625" customWidth="1"/>
    <col min="6" max="7" width="13.140625" customWidth="1"/>
    <col min="8" max="8" width="17" customWidth="1"/>
    <col min="9" max="9" width="14.5703125" hidden="1" customWidth="1"/>
    <col min="10" max="12" width="11.42578125" hidden="1" customWidth="1"/>
  </cols>
  <sheetData>
    <row r="1" spans="1:12" s="502" customFormat="1" x14ac:dyDescent="0.25">
      <c r="A1" s="494" t="s">
        <v>0</v>
      </c>
      <c r="B1" s="505"/>
      <c r="C1" s="505"/>
      <c r="D1" s="505"/>
      <c r="E1" s="505"/>
      <c r="F1" s="509"/>
      <c r="G1" s="505"/>
      <c r="H1" s="505"/>
    </row>
    <row r="2" spans="1:12" s="502" customFormat="1" x14ac:dyDescent="0.25">
      <c r="A2" s="494" t="s">
        <v>42</v>
      </c>
      <c r="B2" s="505"/>
      <c r="C2" s="505"/>
      <c r="D2" s="505"/>
      <c r="E2" s="505"/>
      <c r="F2" s="505"/>
      <c r="G2" s="505"/>
      <c r="H2" s="505"/>
    </row>
    <row r="3" spans="1:12" s="502" customFormat="1" x14ac:dyDescent="0.25">
      <c r="A3" s="494" t="str">
        <f>'1. Ramos Totales'!A3</f>
        <v>Al 31 de diciembre de 2025</v>
      </c>
      <c r="B3" s="505"/>
      <c r="C3" s="505"/>
      <c r="D3" s="505"/>
      <c r="E3" s="505"/>
      <c r="F3" s="505"/>
      <c r="G3" s="505"/>
      <c r="H3" s="505"/>
    </row>
    <row r="4" spans="1:12" s="502" customFormat="1" x14ac:dyDescent="0.25">
      <c r="A4" s="494" t="s">
        <v>2</v>
      </c>
      <c r="B4" s="505"/>
      <c r="C4" s="505"/>
      <c r="D4" s="505"/>
      <c r="E4" s="505"/>
      <c r="F4" s="505"/>
      <c r="G4" s="505"/>
      <c r="H4" s="505"/>
    </row>
    <row r="5" spans="1:12" s="502" customFormat="1" ht="7.5" customHeight="1" x14ac:dyDescent="0.25">
      <c r="A5" s="503"/>
      <c r="B5" s="501"/>
      <c r="C5" s="501"/>
      <c r="D5" s="501"/>
      <c r="E5" s="501"/>
      <c r="F5" s="501"/>
      <c r="G5" s="501"/>
      <c r="H5" s="501"/>
    </row>
    <row r="6" spans="1:12" s="502" customFormat="1" x14ac:dyDescent="0.25">
      <c r="A6" s="502" t="s">
        <v>64</v>
      </c>
      <c r="C6" s="501"/>
      <c r="D6" s="501"/>
      <c r="E6" s="501"/>
      <c r="F6" s="501"/>
      <c r="G6" s="501"/>
      <c r="H6" s="501"/>
    </row>
    <row r="7" spans="1:12" ht="12.75" customHeight="1" x14ac:dyDescent="0.3">
      <c r="A7" s="111"/>
      <c r="B7" s="110"/>
      <c r="C7" s="110"/>
      <c r="D7" s="110"/>
      <c r="E7" s="110"/>
      <c r="F7" s="110"/>
      <c r="G7" s="110"/>
      <c r="H7" s="110"/>
      <c r="I7" s="108"/>
      <c r="J7" s="108"/>
      <c r="K7" s="108"/>
      <c r="L7" s="108"/>
    </row>
    <row r="8" spans="1:12" x14ac:dyDescent="0.3">
      <c r="A8" s="667" t="s">
        <v>25</v>
      </c>
      <c r="B8" s="169" t="s">
        <v>26</v>
      </c>
      <c r="C8" s="671" t="s">
        <v>44</v>
      </c>
      <c r="D8" s="665"/>
      <c r="E8" s="665" t="s">
        <v>45</v>
      </c>
      <c r="F8" s="665"/>
      <c r="G8" s="223"/>
      <c r="H8" s="108"/>
      <c r="I8" s="149" t="s">
        <v>5</v>
      </c>
      <c r="J8" s="149" t="s">
        <v>6</v>
      </c>
      <c r="K8" s="149" t="s">
        <v>5</v>
      </c>
      <c r="L8" s="149" t="s">
        <v>6</v>
      </c>
    </row>
    <row r="9" spans="1:12" x14ac:dyDescent="0.3">
      <c r="A9" s="667"/>
      <c r="B9" s="170"/>
      <c r="C9" s="148">
        <f>'1. Ramos Totales'!$B$9</f>
        <v>45657</v>
      </c>
      <c r="D9" s="148">
        <f>'1. Ramos Totales'!$C$9</f>
        <v>46022</v>
      </c>
      <c r="E9" s="149" t="s">
        <v>9</v>
      </c>
      <c r="F9" s="172" t="s">
        <v>10</v>
      </c>
      <c r="G9" s="217"/>
      <c r="H9" s="108"/>
      <c r="I9" s="208">
        <v>2023</v>
      </c>
      <c r="J9" s="210" t="s">
        <v>360</v>
      </c>
      <c r="K9" s="208">
        <v>2023</v>
      </c>
      <c r="L9" s="210" t="s">
        <v>360</v>
      </c>
    </row>
    <row r="10" spans="1:12" s="350" customFormat="1" x14ac:dyDescent="0.3">
      <c r="A10" s="28">
        <v>1</v>
      </c>
      <c r="B10" s="195" t="str">
        <f>'ER diciembre 2024'!J9</f>
        <v>SEGUROS ATLÁNTIDA</v>
      </c>
      <c r="C10" s="225">
        <f>((J10-('ER diciembre 2024'!J15/1000))/(I10-('ER diciembre 2024'!J25/1000)))</f>
        <v>0.48791061572577527</v>
      </c>
      <c r="D10" s="225">
        <f>((L10-('ER Diciembre 2025'!H15/1000))/(K10-('ER Diciembre 2025'!H25/1000)))</f>
        <v>0.50650466732791022</v>
      </c>
      <c r="E10" s="182">
        <f t="shared" ref="E10:E21" si="0">IFERROR(D10/C10-1,0)</f>
        <v>3.8109545074103357E-2</v>
      </c>
      <c r="F10" s="182">
        <f t="shared" ref="F10:F21" si="1">D10-C10</f>
        <v>1.8594051602134953E-2</v>
      </c>
      <c r="G10" s="355"/>
      <c r="H10" s="113"/>
      <c r="I10" s="211">
        <f>VLOOKUP(B10,'8. Primas y Siniestros Totales'!$B$10:$D$21,2,FALSE)</f>
        <v>2484.13684874</v>
      </c>
      <c r="J10" s="211">
        <f>VLOOKUP(B10,'8. Primas y Siniestros Totales'!$B$10:$H$21,6,FALSE)</f>
        <v>1289.51650193</v>
      </c>
      <c r="K10" s="211">
        <f>VLOOKUP(B10,'8. Primas y Siniestros Totales'!$B$10:$D$21,3,FALSE)</f>
        <v>2738.0758226300004</v>
      </c>
      <c r="L10" s="211">
        <f>VLOOKUP(B10,'8. Primas y Siniestros Totales'!$B$10:$H$21,7,FALSE)</f>
        <v>1105.7572927899998</v>
      </c>
    </row>
    <row r="11" spans="1:12" s="329" customFormat="1" x14ac:dyDescent="0.3">
      <c r="A11" s="28">
        <v>2</v>
      </c>
      <c r="B11" s="180" t="str">
        <f>'ER diciembre 2024'!M9</f>
        <v>SEGUROS DEL PAÍS</v>
      </c>
      <c r="C11" s="225">
        <f>((J11-('ER diciembre 2024'!M15/1000))/(I11-('ER diciembre 2024'!M25/1000)))</f>
        <v>0.51221318686120187</v>
      </c>
      <c r="D11" s="225">
        <f>((L11-('ER Diciembre 2025'!K15/1000))/(K11-('ER Diciembre 2025'!K25/1000)))</f>
        <v>0.53005819397967169</v>
      </c>
      <c r="E11" s="182">
        <f t="shared" si="0"/>
        <v>3.4839023235271327E-2</v>
      </c>
      <c r="F11" s="182">
        <f t="shared" si="1"/>
        <v>1.7845007118469813E-2</v>
      </c>
      <c r="G11" s="333"/>
      <c r="H11" s="334"/>
      <c r="I11" s="331">
        <f>VLOOKUP(B11,'8. Primas y Siniestros Totales'!$B$10:$D$21,2,FALSE)</f>
        <v>1250.5436558399999</v>
      </c>
      <c r="J11" s="331">
        <f>VLOOKUP(B11,'8. Primas y Siniestros Totales'!$B$10:$H$21,6,FALSE)</f>
        <v>413.73909735000001</v>
      </c>
      <c r="K11" s="331">
        <f>VLOOKUP(B11,'8. Primas y Siniestros Totales'!$B$10:$D$21,3,FALSE)</f>
        <v>1376.0558212399999</v>
      </c>
      <c r="L11" s="331">
        <f>VLOOKUP(B11,'8. Primas y Siniestros Totales'!$B$10:$H$21,7,FALSE)</f>
        <v>617.92510048999998</v>
      </c>
    </row>
    <row r="12" spans="1:12" x14ac:dyDescent="0.3">
      <c r="A12" s="202">
        <v>3</v>
      </c>
      <c r="B12" s="180" t="str">
        <f>'ER diciembre 2024'!K9</f>
        <v>CREFISA</v>
      </c>
      <c r="C12" s="225">
        <f>((J12-('ER diciembre 2024'!K15/1000))/(I12-('ER diciembre 2024'!K25/1000)))</f>
        <v>0.50573512679998767</v>
      </c>
      <c r="D12" s="225">
        <f>((L12-('ER Diciembre 2025'!I15/1000))/(K12-('ER Diciembre 2025'!I25/1000)))</f>
        <v>0.51876896894315927</v>
      </c>
      <c r="E12" s="182">
        <f t="shared" si="0"/>
        <v>2.5772072083745767E-2</v>
      </c>
      <c r="F12" s="182">
        <f t="shared" si="1"/>
        <v>1.3033842143171603E-2</v>
      </c>
      <c r="G12" s="220"/>
      <c r="H12" s="108"/>
      <c r="I12" s="206">
        <f>VLOOKUP(B12,'8. Primas y Siniestros Totales'!$B$10:$D$21,2,FALSE)</f>
        <v>1347.90531919</v>
      </c>
      <c r="J12" s="206">
        <f>VLOOKUP(B12,'8. Primas y Siniestros Totales'!$B$10:$H$21,6,FALSE)</f>
        <v>587.33677786999999</v>
      </c>
      <c r="K12" s="206">
        <f>VLOOKUP(B12,'8. Primas y Siniestros Totales'!$B$10:$D$21,3,FALSE)</f>
        <v>1663.4790588599999</v>
      </c>
      <c r="L12" s="206">
        <f>VLOOKUP(B12,'8. Primas y Siniestros Totales'!$B$10:$H$21,7,FALSE)</f>
        <v>669.86950808000006</v>
      </c>
    </row>
    <row r="13" spans="1:12" s="542" customFormat="1" x14ac:dyDescent="0.3">
      <c r="A13" s="28">
        <v>4</v>
      </c>
      <c r="B13" s="180" t="str">
        <f>'ER diciembre 2024'!I9</f>
        <v>SEGUROS CONTINENTAL</v>
      </c>
      <c r="C13" s="225">
        <f>((J13-('ER diciembre 2024'!I15/1000))/(I13-('ER diciembre 2024'!I25/1000)))</f>
        <v>0.42866846817490317</v>
      </c>
      <c r="D13" s="225">
        <f>((L13-('ER Diciembre 2025'!G15/1000))/(K13-('ER Diciembre 2025'!G25/1000)))</f>
        <v>0.512815371601545</v>
      </c>
      <c r="E13" s="182">
        <f t="shared" si="0"/>
        <v>0.19629832766777855</v>
      </c>
      <c r="F13" s="182">
        <f t="shared" si="1"/>
        <v>8.4146903426641828E-2</v>
      </c>
      <c r="G13" s="556"/>
      <c r="H13" s="558"/>
      <c r="I13" s="560">
        <f>VLOOKUP(B13,'8. Primas y Siniestros Totales'!$B$10:$D$21,2,FALSE)</f>
        <v>542.79405654999994</v>
      </c>
      <c r="J13" s="560">
        <f>VLOOKUP(B13,'8. Primas y Siniestros Totales'!$B$10:$H$21,6,FALSE)</f>
        <v>181.63143653999998</v>
      </c>
      <c r="K13" s="560">
        <f>VLOOKUP(B13,'8. Primas y Siniestros Totales'!$B$10:$D$21,3,FALSE)</f>
        <v>614.12831284000004</v>
      </c>
      <c r="L13" s="560">
        <f>VLOOKUP(B13,'8. Primas y Siniestros Totales'!$B$10:$H$21,7,FALSE)</f>
        <v>237.85134236000002</v>
      </c>
    </row>
    <row r="14" spans="1:12" x14ac:dyDescent="0.3">
      <c r="A14" s="173">
        <v>5</v>
      </c>
      <c r="B14" s="180" t="str">
        <f>'ER diciembre 2024'!G9</f>
        <v>MAPFRE SEGUROS</v>
      </c>
      <c r="C14" s="225">
        <f>((J14-('ER diciembre 2024'!G15/1000))/(I14-('ER diciembre 2024'!G25/1000)))</f>
        <v>0.50094137362510593</v>
      </c>
      <c r="D14" s="225">
        <f>((L14-('ER Diciembre 2025'!E15/1000))/(K14-('ER Diciembre 2025'!E25/1000)))</f>
        <v>0.49824153039500174</v>
      </c>
      <c r="E14" s="182">
        <f t="shared" si="0"/>
        <v>-5.3895393198739594E-3</v>
      </c>
      <c r="F14" s="182">
        <f t="shared" si="1"/>
        <v>-2.699843230104193E-3</v>
      </c>
      <c r="G14" s="220"/>
      <c r="H14" s="108"/>
      <c r="I14" s="206">
        <f>VLOOKUP(B14,'8. Primas y Siniestros Totales'!$B$10:$D$21,2,FALSE)</f>
        <v>3052.3443911300001</v>
      </c>
      <c r="J14" s="206">
        <f>VLOOKUP(B14,'8. Primas y Siniestros Totales'!$B$10:$H$21,6,FALSE)</f>
        <v>1113.43853728</v>
      </c>
      <c r="K14" s="206">
        <f>VLOOKUP(B14,'8. Primas y Siniestros Totales'!$B$10:$D$21,3,FALSE)</f>
        <v>3127.48645773</v>
      </c>
      <c r="L14" s="206">
        <f>VLOOKUP(B14,'8. Primas y Siniestros Totales'!$B$10:$H$21,7,FALSE)</f>
        <v>1057.16371443</v>
      </c>
    </row>
    <row r="15" spans="1:12" ht="15.75" x14ac:dyDescent="0.3">
      <c r="A15" s="173">
        <v>6</v>
      </c>
      <c r="B15" s="180" t="str">
        <f>'ER diciembre 2024'!L9</f>
        <v>SEGUROS EQUIDAD</v>
      </c>
      <c r="C15" s="225">
        <f>((J15-('ER diciembre 2024'!L15/1000))/(I15-('ER diciembre 2024'!L25/1000)))</f>
        <v>0.46753618811010833</v>
      </c>
      <c r="D15" s="226">
        <f>((L15-('ER Diciembre 2025'!J15/1000))/(K15-('ER Diciembre 2025'!J25/1000)))</f>
        <v>0.46641019402834005</v>
      </c>
      <c r="E15" s="182">
        <f t="shared" si="0"/>
        <v>-2.4083570649788832E-3</v>
      </c>
      <c r="F15" s="182">
        <f t="shared" si="1"/>
        <v>-1.1259940817682779E-3</v>
      </c>
      <c r="G15" s="220"/>
      <c r="H15" s="108"/>
      <c r="I15" s="206">
        <f>VLOOKUP(B15,'8. Primas y Siniestros Totales'!$B$10:$D$21,2,FALSE)</f>
        <v>724.92670497000006</v>
      </c>
      <c r="J15" s="206">
        <f>VLOOKUP(B15,'8. Primas y Siniestros Totales'!$B$10:$H$21,6,FALSE)</f>
        <v>396.97867811999998</v>
      </c>
      <c r="K15" s="206">
        <f>VLOOKUP(B15,'8. Primas y Siniestros Totales'!$B$10:$D$21,3,FALSE)</f>
        <v>597.42208491999997</v>
      </c>
      <c r="L15" s="206">
        <f>VLOOKUP(B15,'8. Primas y Siniestros Totales'!$B$10:$H$21,7,FALSE)</f>
        <v>317.64589481000002</v>
      </c>
    </row>
    <row r="16" spans="1:12" x14ac:dyDescent="0.3">
      <c r="A16" s="173">
        <v>7</v>
      </c>
      <c r="B16" s="203" t="str">
        <f>'ER diciembre 2024'!O9</f>
        <v>ASEGURADORA RURAL</v>
      </c>
      <c r="C16" s="227">
        <f>((J16-('ER diciembre 2024'!O15/1000))/(I16-('ER diciembre 2024'!O25/1000)))</f>
        <v>0.46104353723396335</v>
      </c>
      <c r="D16" s="227">
        <f>((L16-('ER Diciembre 2025'!M15/1000))/(K16-('ER Diciembre 2025'!M25/1000)))</f>
        <v>0.46241328857074188</v>
      </c>
      <c r="E16" s="158">
        <f t="shared" si="0"/>
        <v>2.9709804522939365E-3</v>
      </c>
      <c r="F16" s="158">
        <f t="shared" si="1"/>
        <v>1.3697513367785241E-3</v>
      </c>
      <c r="G16" s="219"/>
      <c r="H16" s="108"/>
      <c r="I16" s="206">
        <f>VLOOKUP(B16,'8. Primas y Siniestros Totales'!$B$10:$D$21,2,FALSE)</f>
        <v>468.87359055999997</v>
      </c>
      <c r="J16" s="206">
        <f>VLOOKUP(B16,'8. Primas y Siniestros Totales'!$B$10:$H$21,6,FALSE)</f>
        <v>340.81674935000001</v>
      </c>
      <c r="K16" s="206">
        <f>VLOOKUP(B16,'8. Primas y Siniestros Totales'!$B$10:$D$21,3,FALSE)</f>
        <v>544.68799659000001</v>
      </c>
      <c r="L16" s="206">
        <f>VLOOKUP(B16,'8. Primas y Siniestros Totales'!$B$10:$H$21,7,FALSE)</f>
        <v>254.81371662999999</v>
      </c>
    </row>
    <row r="17" spans="1:12" ht="15.75" x14ac:dyDescent="0.3">
      <c r="A17" s="173">
        <v>8</v>
      </c>
      <c r="B17" s="180" t="str">
        <f>'ER diciembre 2024'!E9</f>
        <v>SEGUROS DAVIVIENDA</v>
      </c>
      <c r="C17" s="225">
        <f>((J17-('ER diciembre 2024'!E15/1000))/(I17-('ER diciembre 2024'!E25/1000)))</f>
        <v>0.39576900973636964</v>
      </c>
      <c r="D17" s="226">
        <f>((L17-('ER Diciembre 2025'!C15/1000))/(K17-('ER Diciembre 2025'!C25/1000)))</f>
        <v>0.41006554047069088</v>
      </c>
      <c r="E17" s="182">
        <f t="shared" si="0"/>
        <v>3.6123421446879966E-2</v>
      </c>
      <c r="F17" s="182">
        <f t="shared" si="1"/>
        <v>1.4296530734321244E-2</v>
      </c>
      <c r="G17" s="220"/>
      <c r="H17" s="108"/>
      <c r="I17" s="206">
        <f>VLOOKUP(B17,'8. Primas y Siniestros Totales'!$B$10:$D$21,2,FALSE)</f>
        <v>1514.0799131400001</v>
      </c>
      <c r="J17" s="206">
        <f>VLOOKUP(B17,'8. Primas y Siniestros Totales'!$B$10:$H$21,6,FALSE)</f>
        <v>775.85183997000001</v>
      </c>
      <c r="K17" s="206">
        <f>VLOOKUP(B17,'8. Primas y Siniestros Totales'!$B$10:$D$21,3,FALSE)</f>
        <v>1624.8432821099998</v>
      </c>
      <c r="L17" s="206">
        <f>VLOOKUP(B17,'8. Primas y Siniestros Totales'!$B$10:$H$21,7,FALSE)</f>
        <v>663.21888046999993</v>
      </c>
    </row>
    <row r="18" spans="1:12" s="4" customFormat="1" ht="15.75" x14ac:dyDescent="0.3">
      <c r="A18" s="173">
        <v>9</v>
      </c>
      <c r="B18" s="180" t="str">
        <f>'ER diciembre 2024'!N9</f>
        <v>SEGUROS LAFISE</v>
      </c>
      <c r="C18" s="225">
        <f>((J18-('ER diciembre 2024'!N15/1000))/(I18-('ER diciembre 2024'!N25/1000)))</f>
        <v>0.41485008000962548</v>
      </c>
      <c r="D18" s="226">
        <f>((L18-('ER Diciembre 2025'!L15/1000))/(K18-('ER Diciembre 2025'!L25/1000)))</f>
        <v>0.39157797337951283</v>
      </c>
      <c r="E18" s="182">
        <f t="shared" si="0"/>
        <v>-5.6097630810563404E-2</v>
      </c>
      <c r="F18" s="182">
        <f t="shared" si="1"/>
        <v>-2.3272106630112643E-2</v>
      </c>
      <c r="G18" s="220"/>
      <c r="H18" s="131"/>
      <c r="I18" s="206">
        <f>VLOOKUP(B18,'8. Primas y Siniestros Totales'!$B$10:$D$21,2,FALSE)</f>
        <v>403.72414011000006</v>
      </c>
      <c r="J18" s="206">
        <f>VLOOKUP(B18,'8. Primas y Siniestros Totales'!$B$10:$H$21,6,FALSE)</f>
        <v>134.77880098</v>
      </c>
      <c r="K18" s="206">
        <f>VLOOKUP(B18,'8. Primas y Siniestros Totales'!$B$10:$D$21,3,FALSE)</f>
        <v>514.39845188999993</v>
      </c>
      <c r="L18" s="206">
        <f>VLOOKUP(B18,'8. Primas y Siniestros Totales'!$B$10:$H$21,7,FALSE)</f>
        <v>144.68328511000001</v>
      </c>
    </row>
    <row r="19" spans="1:12" s="4" customFormat="1" ht="15.75" x14ac:dyDescent="0.3">
      <c r="A19" s="173">
        <v>10</v>
      </c>
      <c r="B19" s="180" t="str">
        <f>'ER diciembre 2024'!H9</f>
        <v>FICOHSA SEGUROS</v>
      </c>
      <c r="C19" s="225">
        <f>((J19-('ER diciembre 2024'!H15/1000))/(I19-('ER diciembre 2024'!H25/1000)))</f>
        <v>0.3668092062227693</v>
      </c>
      <c r="D19" s="226">
        <f>((L19-('ER Diciembre 2025'!F15/1000))/(K19-('ER Diciembre 2025'!F25/1000)))</f>
        <v>0.36376164909973085</v>
      </c>
      <c r="E19" s="182">
        <f t="shared" si="0"/>
        <v>-8.3082896266992723E-3</v>
      </c>
      <c r="F19" s="182">
        <f t="shared" si="1"/>
        <v>-3.0475571230384468E-3</v>
      </c>
      <c r="G19" s="220"/>
      <c r="H19" s="112"/>
      <c r="I19" s="206">
        <f>VLOOKUP(B19,'8. Primas y Siniestros Totales'!$B$10:$D$21,2,FALSE)</f>
        <v>4409.1933005100009</v>
      </c>
      <c r="J19" s="206">
        <f>VLOOKUP(B19,'8. Primas y Siniestros Totales'!$B$10:$H$21,6,FALSE)</f>
        <v>1587.6108556300001</v>
      </c>
      <c r="K19" s="206">
        <f>VLOOKUP(B19,'8. Primas y Siniestros Totales'!$B$10:$D$21,3,FALSE)</f>
        <v>4850.8032757700003</v>
      </c>
      <c r="L19" s="206">
        <f>VLOOKUP(B19,'8. Primas y Siniestros Totales'!$B$10:$H$21,7,FALSE)</f>
        <v>1723.9969134200001</v>
      </c>
    </row>
    <row r="20" spans="1:12" s="4" customFormat="1" x14ac:dyDescent="0.3">
      <c r="A20" s="173">
        <v>11</v>
      </c>
      <c r="B20" s="180" t="str">
        <f>'ER diciembre 2024'!F9</f>
        <v>PALIC</v>
      </c>
      <c r="C20" s="225">
        <f>((J20-('ER diciembre 2024'!F15/1000))/(I20-('ER diciembre 2024'!F25/1000)))</f>
        <v>0.35046868787928293</v>
      </c>
      <c r="D20" s="225">
        <f>((L20-('ER Diciembre 2025'!D15/1000))/(K20-('ER Diciembre 2025'!D25/1000)))</f>
        <v>0.34329960103864943</v>
      </c>
      <c r="E20" s="182">
        <f t="shared" si="0"/>
        <v>-2.0455712845601881E-2</v>
      </c>
      <c r="F20" s="182">
        <f t="shared" si="1"/>
        <v>-7.1690868406334984E-3</v>
      </c>
      <c r="G20" s="220"/>
      <c r="H20" s="112"/>
      <c r="I20" s="206">
        <f>VLOOKUP(B20,'8. Primas y Siniestros Totales'!$B$10:$D$21,2,FALSE)</f>
        <v>1381.80118378</v>
      </c>
      <c r="J20" s="206">
        <f>VLOOKUP(B20,'8. Primas y Siniestros Totales'!$B$10:$H$21,6,FALSE)</f>
        <v>538.86920416999988</v>
      </c>
      <c r="K20" s="206">
        <f>VLOOKUP(B20,'8. Primas y Siniestros Totales'!$B$10:$D$21,3,FALSE)</f>
        <v>1450.0814752200001</v>
      </c>
      <c r="L20" s="206">
        <f>VLOOKUP(B20,'8. Primas y Siniestros Totales'!$B$10:$H$21,7,FALSE)</f>
        <v>583.63299532000008</v>
      </c>
    </row>
    <row r="21" spans="1:12" s="4" customFormat="1" x14ac:dyDescent="0.3">
      <c r="A21" s="173">
        <v>12</v>
      </c>
      <c r="B21" s="180" t="str">
        <f>'ER diciembre 2024'!P9</f>
        <v>ASSA CIA. DE SEGUROS</v>
      </c>
      <c r="C21" s="225">
        <f>((J21-('ER diciembre 2024'!P15/1000))/(I21-('ER diciembre 2024'!P25/1000)))</f>
        <v>0.24854179593943659</v>
      </c>
      <c r="D21" s="225">
        <f>((L21-('ER Diciembre 2025'!N15/1000))/(K21-('ER Diciembre 2025'!N25/1000)))</f>
        <v>0.17699199925087583</v>
      </c>
      <c r="E21" s="182">
        <f t="shared" si="0"/>
        <v>-0.28787832814242498</v>
      </c>
      <c r="F21" s="182">
        <f t="shared" si="1"/>
        <v>-7.1549796688560763E-2</v>
      </c>
      <c r="G21" s="220"/>
      <c r="H21" s="112"/>
      <c r="I21" s="206">
        <f>VLOOKUP(B21,'8. Primas y Siniestros Totales'!$B$10:$D$21,2,FALSE)</f>
        <v>861.41586632999997</v>
      </c>
      <c r="J21" s="206">
        <f>VLOOKUP(B21,'8. Primas y Siniestros Totales'!$B$10:$H$21,6,FALSE)</f>
        <v>216.84120827999999</v>
      </c>
      <c r="K21" s="206">
        <f>VLOOKUP(B21,'8. Primas y Siniestros Totales'!$B$10:$D$21,3,FALSE)</f>
        <v>1080.2732791199999</v>
      </c>
      <c r="L21" s="206">
        <f>VLOOKUP(B21,'8. Primas y Siniestros Totales'!$B$10:$H$21,7,FALSE)</f>
        <v>1431.3444213299997</v>
      </c>
    </row>
    <row r="22" spans="1:12" x14ac:dyDescent="0.3">
      <c r="A22" s="665" t="s">
        <v>29</v>
      </c>
      <c r="B22" s="665"/>
      <c r="C22" s="188">
        <f>((J22-('ER diciembre 2024'!D15/1000))/(I22-('ER diciembre 2024'!D25/1000)))</f>
        <v>0.41088368615602133</v>
      </c>
      <c r="D22" s="188">
        <f>((L22-('ER Diciembre 2025'!B15/1000))/(K22-('ER Diciembre 2025'!B25/1000)))</f>
        <v>0.44361438022653837</v>
      </c>
      <c r="E22" s="188">
        <f>IFERROR(D22/C22-1,0)</f>
        <v>7.9659268969098251E-2</v>
      </c>
      <c r="F22" s="188">
        <f>D22-C22</f>
        <v>3.2730694070517041E-2</v>
      </c>
      <c r="G22" s="220"/>
      <c r="H22" s="108"/>
      <c r="I22" s="209">
        <f>SUM(I10:I21)</f>
        <v>18441.738970850001</v>
      </c>
      <c r="J22" s="209">
        <f>SUM(J10:J21)</f>
        <v>7577.4096874699999</v>
      </c>
      <c r="K22" s="209">
        <f>SUM(K10:K21)</f>
        <v>20181.73531892</v>
      </c>
      <c r="L22" s="209">
        <f>SUM(L10:L21)</f>
        <v>8807.9030652399997</v>
      </c>
    </row>
    <row r="23" spans="1:12" x14ac:dyDescent="0.3">
      <c r="A23" s="121" t="s">
        <v>65</v>
      </c>
      <c r="B23" s="108"/>
      <c r="C23" s="108"/>
      <c r="D23" s="108"/>
      <c r="E23" s="108"/>
      <c r="F23" s="108"/>
      <c r="G23" s="108"/>
      <c r="H23" s="108"/>
      <c r="I23" s="108"/>
      <c r="J23" s="108"/>
      <c r="K23" s="108"/>
      <c r="L23" s="108"/>
    </row>
  </sheetData>
  <sortState xmlns:xlrd2="http://schemas.microsoft.com/office/spreadsheetml/2017/richdata2" ref="B10:F21">
    <sortCondition descending="1" ref="D10:D21"/>
  </sortState>
  <mergeCells count="4">
    <mergeCell ref="A8:A9"/>
    <mergeCell ref="C8:D8"/>
    <mergeCell ref="A22:B22"/>
    <mergeCell ref="E8:F8"/>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9"/>
  <dimension ref="A1:G93"/>
  <sheetViews>
    <sheetView showGridLines="0" topLeftCell="A7" zoomScaleNormal="100" workbookViewId="0">
      <selection activeCell="M95" sqref="M95"/>
    </sheetView>
  </sheetViews>
  <sheetFormatPr baseColWidth="10" defaultRowHeight="15" x14ac:dyDescent="0.3"/>
  <cols>
    <col min="1" max="1" width="6.42578125" customWidth="1"/>
    <col min="2" max="2" width="25.28515625" customWidth="1"/>
    <col min="7" max="7" width="10.42578125" customWidth="1"/>
    <col min="8" max="8" width="11.42578125" customWidth="1"/>
  </cols>
  <sheetData>
    <row r="1" spans="1:7" s="502" customFormat="1" x14ac:dyDescent="0.25">
      <c r="A1" s="494" t="s">
        <v>0</v>
      </c>
      <c r="B1" s="505"/>
      <c r="C1" s="505"/>
      <c r="D1" s="505"/>
      <c r="E1" s="505"/>
      <c r="F1" s="505"/>
      <c r="G1" s="505"/>
    </row>
    <row r="2" spans="1:7" s="502" customFormat="1" x14ac:dyDescent="0.25">
      <c r="A2" s="494" t="s">
        <v>42</v>
      </c>
      <c r="B2" s="505"/>
      <c r="C2" s="505"/>
      <c r="D2" s="505"/>
      <c r="E2" s="505"/>
      <c r="F2" s="505"/>
      <c r="G2" s="505"/>
    </row>
    <row r="3" spans="1:7" s="502" customFormat="1" x14ac:dyDescent="0.25">
      <c r="A3" s="494" t="str">
        <f>'1. Ramos Totales'!A3</f>
        <v>Al 31 de diciembre de 2025</v>
      </c>
      <c r="B3" s="505"/>
      <c r="C3" s="505"/>
      <c r="D3" s="505"/>
      <c r="E3" s="505"/>
      <c r="F3" s="505"/>
      <c r="G3" s="505"/>
    </row>
    <row r="4" spans="1:7" s="502" customFormat="1" x14ac:dyDescent="0.25">
      <c r="A4" s="494" t="s">
        <v>2</v>
      </c>
      <c r="B4" s="505"/>
      <c r="C4" s="505"/>
      <c r="D4" s="505"/>
      <c r="E4" s="505"/>
      <c r="F4" s="505"/>
      <c r="G4" s="505"/>
    </row>
    <row r="5" spans="1:7" s="502" customFormat="1" ht="7.5" customHeight="1" x14ac:dyDescent="0.25">
      <c r="A5" s="503"/>
      <c r="B5" s="501"/>
      <c r="C5" s="501"/>
      <c r="D5" s="501"/>
      <c r="E5" s="501"/>
      <c r="F5" s="501"/>
      <c r="G5" s="501"/>
    </row>
    <row r="6" spans="1:7" s="502" customFormat="1" x14ac:dyDescent="0.25">
      <c r="A6" s="502" t="s">
        <v>66</v>
      </c>
      <c r="C6" s="501"/>
      <c r="D6" s="501"/>
      <c r="E6" s="501"/>
      <c r="F6" s="501"/>
      <c r="G6" s="501"/>
    </row>
    <row r="7" spans="1:7" ht="12" customHeight="1" x14ac:dyDescent="0.3">
      <c r="A7" s="111"/>
      <c r="B7" s="110"/>
      <c r="C7" s="110"/>
      <c r="D7" s="110"/>
      <c r="E7" s="110"/>
      <c r="F7" s="110"/>
      <c r="G7" s="1"/>
    </row>
    <row r="8" spans="1:7" ht="15" customHeight="1" x14ac:dyDescent="0.3">
      <c r="A8" s="667" t="s">
        <v>25</v>
      </c>
      <c r="B8" s="169" t="s">
        <v>26</v>
      </c>
      <c r="C8" s="671" t="s">
        <v>44</v>
      </c>
      <c r="D8" s="665"/>
      <c r="E8" s="665" t="s">
        <v>45</v>
      </c>
      <c r="F8" s="665" t="s">
        <v>67</v>
      </c>
    </row>
    <row r="9" spans="1:7" x14ac:dyDescent="0.3">
      <c r="A9" s="667"/>
      <c r="B9" s="170"/>
      <c r="C9" s="148">
        <f>'1. Ramos Totales'!$B$9</f>
        <v>45657</v>
      </c>
      <c r="D9" s="148">
        <f>'1. Ramos Totales'!$C$9</f>
        <v>46022</v>
      </c>
      <c r="E9" s="149" t="s">
        <v>9</v>
      </c>
      <c r="F9" s="172" t="s">
        <v>10</v>
      </c>
    </row>
    <row r="10" spans="1:7" x14ac:dyDescent="0.3">
      <c r="A10" s="173">
        <v>1</v>
      </c>
      <c r="B10" s="195" t="str">
        <f>'Balance diciembre 2024'!M9</f>
        <v>SEGUROS EQUIDAD</v>
      </c>
      <c r="C10" s="225">
        <f>('Balance diciembre 2024'!M39/'Balance diciembre 2024'!M10)</f>
        <v>0.48359417149242984</v>
      </c>
      <c r="D10" s="225">
        <f>('Balance Diciembre 2025'!L39/'Balance Diciembre 2025'!L10)</f>
        <v>0.5453352707677922</v>
      </c>
      <c r="E10" s="182">
        <f t="shared" ref="E10:E21" si="0">IFERROR(D10/C10-1,0)</f>
        <v>0.12767130564212947</v>
      </c>
      <c r="F10" s="182">
        <f t="shared" ref="F10:F21" si="1">D10-C10</f>
        <v>6.1741099275362366E-2</v>
      </c>
    </row>
    <row r="11" spans="1:7" x14ac:dyDescent="0.3">
      <c r="A11" s="173">
        <v>2</v>
      </c>
      <c r="B11" s="180" t="str">
        <f>'Balance diciembre 2024'!J9</f>
        <v>SEGUROS CONTINENTAL</v>
      </c>
      <c r="C11" s="225">
        <f>('Balance diciembre 2024'!J39/'Balance diciembre 2024'!J10)</f>
        <v>0.55789727428273117</v>
      </c>
      <c r="D11" s="225">
        <f>('Balance Diciembre 2025'!I39/'Balance Diciembre 2025'!I10)</f>
        <v>0.54356781364236528</v>
      </c>
      <c r="E11" s="182">
        <f t="shared" si="0"/>
        <v>-2.5684765459355829E-2</v>
      </c>
      <c r="F11" s="182">
        <f t="shared" si="1"/>
        <v>-1.4329460640365888E-2</v>
      </c>
    </row>
    <row r="12" spans="1:7" s="542" customFormat="1" ht="15.75" x14ac:dyDescent="0.3">
      <c r="A12" s="351">
        <v>3</v>
      </c>
      <c r="B12" s="180" t="str">
        <f>'Balance diciembre 2024'!P9</f>
        <v>ASEGURADORA RURAL</v>
      </c>
      <c r="C12" s="225">
        <f>('Balance diciembre 2024'!P39/'Balance diciembre 2024'!P10)</f>
        <v>0.43643337240819885</v>
      </c>
      <c r="D12" s="226">
        <f>('Balance Diciembre 2025'!O39/'Balance Diciembre 2025'!O10)</f>
        <v>0.47336020280704272</v>
      </c>
      <c r="E12" s="182">
        <f t="shared" si="0"/>
        <v>8.4610464582680844E-2</v>
      </c>
      <c r="F12" s="182">
        <f t="shared" si="1"/>
        <v>3.6926830398843868E-2</v>
      </c>
    </row>
    <row r="13" spans="1:7" x14ac:dyDescent="0.3">
      <c r="A13" s="173">
        <v>4</v>
      </c>
      <c r="B13" s="180" t="str">
        <f>'Balance diciembre 2024'!O9</f>
        <v>SEGUROS LAFISE</v>
      </c>
      <c r="C13" s="225">
        <f>('Balance diciembre 2024'!O39/'Balance diciembre 2024'!O10)</f>
        <v>0.45852173233794452</v>
      </c>
      <c r="D13" s="225">
        <f>('Balance Diciembre 2025'!N39/'Balance Diciembre 2025'!N10)</f>
        <v>0.44297760872130354</v>
      </c>
      <c r="E13" s="182">
        <f t="shared" si="0"/>
        <v>-3.3900516639382539E-2</v>
      </c>
      <c r="F13" s="182">
        <f t="shared" si="1"/>
        <v>-1.5544123616640981E-2</v>
      </c>
    </row>
    <row r="14" spans="1:7" x14ac:dyDescent="0.3">
      <c r="A14" s="173">
        <v>5</v>
      </c>
      <c r="B14" s="180" t="str">
        <f>'Balance diciembre 2024'!F9</f>
        <v>SEGUROS DAVIVIENDA</v>
      </c>
      <c r="C14" s="225">
        <f>('Balance diciembre 2024'!F39/'Balance diciembre 2024'!F10)</f>
        <v>0.39841885757108897</v>
      </c>
      <c r="D14" s="225">
        <f>('Balance Diciembre 2025'!E39/'Balance Diciembre 2025'!E10)</f>
        <v>0.43374098765707775</v>
      </c>
      <c r="E14" s="182">
        <f t="shared" si="0"/>
        <v>8.8655768708654437E-2</v>
      </c>
      <c r="F14" s="182">
        <f t="shared" si="1"/>
        <v>3.5322130085988779E-2</v>
      </c>
    </row>
    <row r="15" spans="1:7" x14ac:dyDescent="0.3">
      <c r="A15" s="173">
        <v>6</v>
      </c>
      <c r="B15" s="180" t="str">
        <f>'Balance diciembre 2024'!N9</f>
        <v>SEGUROS DEL PAÍS</v>
      </c>
      <c r="C15" s="225">
        <f>('Balance diciembre 2024'!N39/'Balance diciembre 2024'!N10)</f>
        <v>0.45403372554540661</v>
      </c>
      <c r="D15" s="225">
        <f>('Balance Diciembre 2025'!M39/'Balance Diciembre 2025'!M10)</f>
        <v>0.39697570145085814</v>
      </c>
      <c r="E15" s="182">
        <f t="shared" si="0"/>
        <v>-0.12566913179413641</v>
      </c>
      <c r="F15" s="182">
        <f t="shared" si="1"/>
        <v>-5.7058024094548465E-2</v>
      </c>
    </row>
    <row r="16" spans="1:7" ht="15.75" x14ac:dyDescent="0.3">
      <c r="A16" s="173">
        <v>7</v>
      </c>
      <c r="B16" s="180" t="str">
        <f>'Balance diciembre 2024'!K9</f>
        <v>SEGUROS ATLÁNTIDA</v>
      </c>
      <c r="C16" s="225">
        <f>('Balance diciembre 2024'!K39/'Balance diciembre 2024'!K10)</f>
        <v>0.37556002599192595</v>
      </c>
      <c r="D16" s="226">
        <f>('Balance Diciembre 2025'!J39/'Balance Diciembre 2025'!J10)</f>
        <v>0.39560840398977143</v>
      </c>
      <c r="E16" s="182">
        <f t="shared" si="0"/>
        <v>5.3382619582299506E-2</v>
      </c>
      <c r="F16" s="182">
        <f t="shared" si="1"/>
        <v>2.0048377997845479E-2</v>
      </c>
    </row>
    <row r="17" spans="1:7" x14ac:dyDescent="0.3">
      <c r="A17" s="173">
        <v>8</v>
      </c>
      <c r="B17" s="180" t="str">
        <f>'Balance diciembre 2024'!I9</f>
        <v>FICOHSA SEGUROS</v>
      </c>
      <c r="C17" s="225">
        <f>('Balance diciembre 2024'!I39/'Balance diciembre 2024'!I10)</f>
        <v>0.3470125036708574</v>
      </c>
      <c r="D17" s="225">
        <f>('Balance Diciembre 2025'!H39/'Balance Diciembre 2025'!H10)</f>
        <v>0.3372126644753301</v>
      </c>
      <c r="E17" s="182">
        <f t="shared" si="0"/>
        <v>-2.8240593903274713E-2</v>
      </c>
      <c r="F17" s="182">
        <f t="shared" si="1"/>
        <v>-9.7998391955272934E-3</v>
      </c>
    </row>
    <row r="18" spans="1:7" x14ac:dyDescent="0.3">
      <c r="A18" s="173">
        <v>9</v>
      </c>
      <c r="B18" s="203" t="str">
        <f>'Balance diciembre 2024'!L9</f>
        <v>CREFISA</v>
      </c>
      <c r="C18" s="227">
        <f>('Balance diciembre 2024'!L39/'Balance diciembre 2024'!L10)</f>
        <v>0.34808048738547259</v>
      </c>
      <c r="D18" s="227">
        <f>('Balance Diciembre 2025'!K39/'Balance Diciembre 2025'!K10)</f>
        <v>0.33151089717689403</v>
      </c>
      <c r="E18" s="158">
        <f t="shared" si="0"/>
        <v>-4.760275513585166E-2</v>
      </c>
      <c r="F18" s="182">
        <f t="shared" si="1"/>
        <v>-1.6569590208578566E-2</v>
      </c>
    </row>
    <row r="19" spans="1:7" ht="15.75" x14ac:dyDescent="0.3">
      <c r="A19" s="173">
        <v>10</v>
      </c>
      <c r="B19" s="180" t="str">
        <f>'Balance diciembre 2024'!H9</f>
        <v>MAPFRE SEGUROS</v>
      </c>
      <c r="C19" s="225">
        <f>('Balance diciembre 2024'!H39/'Balance diciembre 2024'!H10)</f>
        <v>0.2437320981910987</v>
      </c>
      <c r="D19" s="226">
        <f>('Balance Diciembre 2025'!G39/'Balance Diciembre 2025'!G10)</f>
        <v>0.29981781366515203</v>
      </c>
      <c r="E19" s="182">
        <f t="shared" si="0"/>
        <v>0.23011214316991269</v>
      </c>
      <c r="F19" s="182">
        <f t="shared" si="1"/>
        <v>5.6085715474053333E-2</v>
      </c>
    </row>
    <row r="20" spans="1:7" x14ac:dyDescent="0.3">
      <c r="A20" s="173">
        <v>11</v>
      </c>
      <c r="B20" s="180" t="str">
        <f>'Balance diciembre 2024'!G9</f>
        <v>PALIC</v>
      </c>
      <c r="C20" s="225">
        <f>('Balance diciembre 2024'!G39/'Balance diciembre 2024'!G10)</f>
        <v>0.17717036067025022</v>
      </c>
      <c r="D20" s="225">
        <f>('Balance Diciembre 2025'!F39/'Balance Diciembre 2025'!F10)</f>
        <v>0.20594808688531327</v>
      </c>
      <c r="E20" s="182">
        <f t="shared" si="0"/>
        <v>0.16242968691938375</v>
      </c>
      <c r="F20" s="182">
        <f t="shared" si="1"/>
        <v>2.8777726215063054E-2</v>
      </c>
    </row>
    <row r="21" spans="1:7" ht="15.75" x14ac:dyDescent="0.3">
      <c r="A21" s="173">
        <v>12</v>
      </c>
      <c r="B21" s="180" t="str">
        <f>'Balance diciembre 2024'!Q9</f>
        <v>ASSA CIA. DE SEGUROS</v>
      </c>
      <c r="C21" s="225">
        <f>('Balance diciembre 2024'!Q39/'Balance diciembre 2024'!Q10)</f>
        <v>0.30664756266641713</v>
      </c>
      <c r="D21" s="226">
        <f>('Balance Diciembre 2025'!P39/'Balance Diciembre 2025'!P10)</f>
        <v>0.18641009858140917</v>
      </c>
      <c r="E21" s="182">
        <f t="shared" si="0"/>
        <v>-0.39210311355321892</v>
      </c>
      <c r="F21" s="182">
        <f t="shared" si="1"/>
        <v>-0.12023746408500796</v>
      </c>
    </row>
    <row r="22" spans="1:7" x14ac:dyDescent="0.3">
      <c r="A22" s="665" t="s">
        <v>29</v>
      </c>
      <c r="B22" s="665"/>
      <c r="C22" s="188">
        <f>('Balance diciembre 2024'!C39/'Balance diciembre 2024'!C10)</f>
        <v>0.35065533776925439</v>
      </c>
      <c r="D22" s="188">
        <f>('Balance Diciembre 2025'!B39/'Balance Diciembre 2025'!B10)</f>
        <v>0.35698584717299092</v>
      </c>
      <c r="E22" s="188">
        <f>IFERROR(D22/C22-1,0)</f>
        <v>1.8053366716186403E-2</v>
      </c>
      <c r="F22" s="188">
        <f>D22-C22</f>
        <v>6.3305094037365284E-3</v>
      </c>
    </row>
    <row r="24" spans="1:7" hidden="1" x14ac:dyDescent="0.3">
      <c r="B24" t="s">
        <v>68</v>
      </c>
    </row>
    <row r="25" spans="1:7" hidden="1" x14ac:dyDescent="0.3">
      <c r="A25">
        <v>1</v>
      </c>
      <c r="B25" s="27" t="s">
        <v>69</v>
      </c>
      <c r="C25" s="40">
        <v>1450.650936</v>
      </c>
      <c r="F25" s="11" t="s">
        <v>69</v>
      </c>
      <c r="G25" s="31">
        <v>2816.8327250000002</v>
      </c>
    </row>
    <row r="26" spans="1:7" hidden="1" x14ac:dyDescent="0.3">
      <c r="A26">
        <v>2</v>
      </c>
      <c r="B26" s="35" t="s">
        <v>70</v>
      </c>
      <c r="C26" s="40">
        <v>871.09725200000003</v>
      </c>
      <c r="F26" s="10" t="s">
        <v>70</v>
      </c>
      <c r="G26" s="31">
        <v>3306.8575810000002</v>
      </c>
    </row>
    <row r="27" spans="1:7" hidden="1" x14ac:dyDescent="0.3">
      <c r="A27">
        <v>3</v>
      </c>
      <c r="B27" s="27" t="s">
        <v>71</v>
      </c>
      <c r="C27" s="40">
        <v>0</v>
      </c>
      <c r="F27" s="10" t="s">
        <v>71</v>
      </c>
      <c r="G27" s="31">
        <v>0</v>
      </c>
    </row>
    <row r="28" spans="1:7" hidden="1" x14ac:dyDescent="0.3">
      <c r="A28">
        <v>4</v>
      </c>
      <c r="B28" s="35" t="s">
        <v>72</v>
      </c>
      <c r="C28" s="40">
        <v>670.71950400000003</v>
      </c>
      <c r="F28" s="11" t="s">
        <v>72</v>
      </c>
      <c r="G28" s="31">
        <v>1963.362265</v>
      </c>
    </row>
    <row r="29" spans="1:7" hidden="1" x14ac:dyDescent="0.3">
      <c r="A29">
        <v>5</v>
      </c>
      <c r="B29" s="27" t="s">
        <v>73</v>
      </c>
      <c r="C29" s="40">
        <v>497.80472500000002</v>
      </c>
      <c r="F29" s="14" t="s">
        <v>73</v>
      </c>
      <c r="G29" s="31">
        <v>2672.7656059999999</v>
      </c>
    </row>
    <row r="30" spans="1:7" hidden="1" x14ac:dyDescent="0.3">
      <c r="A30">
        <v>6</v>
      </c>
      <c r="B30" s="35" t="s">
        <v>74</v>
      </c>
      <c r="C30" s="40">
        <v>451.647177</v>
      </c>
      <c r="F30" s="11" t="s">
        <v>74</v>
      </c>
      <c r="G30" s="31">
        <v>2309.9406909999998</v>
      </c>
    </row>
    <row r="31" spans="1:7" hidden="1" x14ac:dyDescent="0.3">
      <c r="A31">
        <v>7</v>
      </c>
      <c r="B31" s="27" t="s">
        <v>75</v>
      </c>
      <c r="C31" s="40">
        <v>416.52207700000002</v>
      </c>
      <c r="F31" s="11" t="s">
        <v>75</v>
      </c>
      <c r="G31" s="31">
        <v>1207.675808</v>
      </c>
    </row>
    <row r="32" spans="1:7" hidden="1" x14ac:dyDescent="0.3">
      <c r="A32">
        <v>8</v>
      </c>
      <c r="B32" s="35" t="s">
        <v>76</v>
      </c>
      <c r="C32" s="40">
        <v>296.56539099999998</v>
      </c>
      <c r="F32" s="14" t="s">
        <v>76</v>
      </c>
      <c r="G32" s="31">
        <v>659.65506900000003</v>
      </c>
    </row>
    <row r="33" spans="1:7" hidden="1" x14ac:dyDescent="0.3">
      <c r="A33">
        <v>9</v>
      </c>
      <c r="B33" s="27" t="s">
        <v>77</v>
      </c>
      <c r="C33" s="40">
        <v>254.969641</v>
      </c>
      <c r="F33" s="11" t="s">
        <v>77</v>
      </c>
      <c r="G33" s="31">
        <v>648.70304299999998</v>
      </c>
    </row>
    <row r="34" spans="1:7" hidden="1" x14ac:dyDescent="0.3">
      <c r="A34">
        <v>10</v>
      </c>
      <c r="B34" s="35" t="s">
        <v>78</v>
      </c>
      <c r="C34" s="40">
        <v>292.00213600000001</v>
      </c>
      <c r="F34" s="14" t="s">
        <v>78</v>
      </c>
      <c r="G34" s="31">
        <v>561.95040900000004</v>
      </c>
    </row>
    <row r="35" spans="1:7" hidden="1" x14ac:dyDescent="0.3">
      <c r="A35">
        <v>11</v>
      </c>
      <c r="B35" s="42" t="s">
        <v>79</v>
      </c>
      <c r="C35" s="40">
        <v>160.953326</v>
      </c>
      <c r="F35" s="32" t="s">
        <v>79</v>
      </c>
      <c r="G35" s="31">
        <v>210.47708800000001</v>
      </c>
    </row>
    <row r="36" spans="1:7" hidden="1" x14ac:dyDescent="0.3">
      <c r="A36">
        <v>12</v>
      </c>
      <c r="B36" s="41" t="s">
        <v>80</v>
      </c>
      <c r="C36" s="40">
        <v>90.816811000000001</v>
      </c>
      <c r="F36" s="32" t="s">
        <v>80</v>
      </c>
      <c r="G36" s="31">
        <v>578.63115900000003</v>
      </c>
    </row>
    <row r="37" spans="1:7" hidden="1" x14ac:dyDescent="0.3">
      <c r="C37" s="39">
        <f>SUM(C25:C36)</f>
        <v>5453.7489759999989</v>
      </c>
      <c r="G37" s="7">
        <f>SUM(G25:G36)</f>
        <v>16936.851444</v>
      </c>
    </row>
    <row r="38" spans="1:7" ht="15.75" hidden="1" x14ac:dyDescent="0.3">
      <c r="G38" s="38"/>
    </row>
    <row r="39" spans="1:7" ht="15.75" hidden="1" x14ac:dyDescent="0.3">
      <c r="G39" s="38"/>
    </row>
    <row r="40" spans="1:7" ht="15.75" hidden="1" x14ac:dyDescent="0.3">
      <c r="G40" s="38"/>
    </row>
    <row r="41" spans="1:7" ht="15.75" hidden="1" x14ac:dyDescent="0.3">
      <c r="G41" s="38"/>
    </row>
    <row r="42" spans="1:7" s="21" customFormat="1" hidden="1" x14ac:dyDescent="0.25">
      <c r="A42" s="22" t="s">
        <v>81</v>
      </c>
      <c r="C42" s="23"/>
      <c r="D42" s="23"/>
      <c r="E42" s="23"/>
      <c r="G42" s="23"/>
    </row>
    <row r="43" spans="1:7" s="21" customFormat="1" hidden="1" x14ac:dyDescent="0.25">
      <c r="A43" s="22" t="s">
        <v>82</v>
      </c>
      <c r="C43" s="23"/>
      <c r="D43" s="23"/>
      <c r="E43" s="23"/>
      <c r="F43" s="23"/>
      <c r="G43" s="23"/>
    </row>
    <row r="44" spans="1:7" s="21" customFormat="1" hidden="1" x14ac:dyDescent="0.25">
      <c r="A44" s="22" t="s">
        <v>83</v>
      </c>
      <c r="C44" s="23"/>
      <c r="D44" s="23"/>
      <c r="E44" s="23"/>
      <c r="F44" s="23"/>
      <c r="G44" s="23"/>
    </row>
    <row r="45" spans="1:7" s="21" customFormat="1" hidden="1" x14ac:dyDescent="0.25">
      <c r="A45" s="22" t="s">
        <v>84</v>
      </c>
      <c r="C45" s="23"/>
      <c r="D45" s="23"/>
      <c r="E45" s="23"/>
      <c r="F45" s="23"/>
      <c r="G45" s="23"/>
    </row>
    <row r="46" spans="1:7" s="21" customFormat="1" hidden="1" x14ac:dyDescent="0.25">
      <c r="C46" s="23"/>
      <c r="D46" s="23"/>
      <c r="E46" s="23"/>
      <c r="F46" s="23"/>
      <c r="G46" s="23"/>
    </row>
    <row r="47" spans="1:7" s="20" customFormat="1" hidden="1" x14ac:dyDescent="0.25">
      <c r="A47" s="19" t="s">
        <v>85</v>
      </c>
      <c r="B47" s="18" t="s">
        <v>86</v>
      </c>
      <c r="C47" s="18" t="s">
        <v>69</v>
      </c>
      <c r="D47" s="18" t="s">
        <v>87</v>
      </c>
      <c r="E47" s="18"/>
      <c r="F47" s="18" t="s">
        <v>88</v>
      </c>
      <c r="G47" s="18" t="s">
        <v>89</v>
      </c>
    </row>
    <row r="48" spans="1:7" s="23" customFormat="1" ht="15.75" hidden="1" x14ac:dyDescent="0.25">
      <c r="A48" s="33" t="s">
        <v>90</v>
      </c>
      <c r="B48" s="29">
        <v>110928.23718</v>
      </c>
      <c r="C48" s="29">
        <v>1070218.61246</v>
      </c>
      <c r="D48" s="29">
        <v>287296.73772999999</v>
      </c>
      <c r="E48" s="29"/>
      <c r="F48" s="29">
        <v>635516.19362000003</v>
      </c>
      <c r="G48" s="29">
        <v>294889.24671000004</v>
      </c>
    </row>
    <row r="49" spans="1:7" hidden="1" x14ac:dyDescent="0.3"/>
    <row r="50" spans="1:7" hidden="1" x14ac:dyDescent="0.3"/>
    <row r="51" spans="1:7" s="21" customFormat="1" hidden="1" x14ac:dyDescent="0.25">
      <c r="A51" s="22" t="s">
        <v>81</v>
      </c>
      <c r="C51" s="23"/>
      <c r="D51" s="23"/>
      <c r="E51" s="23"/>
      <c r="F51" s="23"/>
      <c r="G51" s="23"/>
    </row>
    <row r="52" spans="1:7" s="21" customFormat="1" hidden="1" x14ac:dyDescent="0.25">
      <c r="A52" s="22" t="s">
        <v>82</v>
      </c>
      <c r="C52" s="23"/>
      <c r="D52" s="23"/>
      <c r="E52" s="23"/>
      <c r="F52" s="23"/>
      <c r="G52" s="23"/>
    </row>
    <row r="53" spans="1:7" s="21" customFormat="1" hidden="1" x14ac:dyDescent="0.25">
      <c r="A53" s="22" t="s">
        <v>83</v>
      </c>
      <c r="C53" s="23"/>
      <c r="D53" s="23"/>
      <c r="E53" s="23"/>
      <c r="F53" s="23"/>
      <c r="G53" s="23"/>
    </row>
    <row r="54" spans="1:7" s="21" customFormat="1" hidden="1" x14ac:dyDescent="0.25">
      <c r="A54" s="22" t="s">
        <v>84</v>
      </c>
      <c r="C54" s="23"/>
      <c r="D54" s="23"/>
      <c r="E54" s="23"/>
      <c r="F54" s="23"/>
      <c r="G54" s="23"/>
    </row>
    <row r="55" spans="1:7" s="21" customFormat="1" hidden="1" x14ac:dyDescent="0.25">
      <c r="C55" s="23"/>
      <c r="D55" s="23"/>
      <c r="E55" s="23"/>
      <c r="F55" s="23"/>
      <c r="G55" s="23"/>
    </row>
    <row r="56" spans="1:7" s="20" customFormat="1" hidden="1" x14ac:dyDescent="0.25">
      <c r="A56" s="19" t="s">
        <v>85</v>
      </c>
      <c r="B56" s="18" t="s">
        <v>86</v>
      </c>
      <c r="C56" s="18" t="s">
        <v>69</v>
      </c>
      <c r="D56" s="18" t="s">
        <v>87</v>
      </c>
      <c r="E56" s="18"/>
      <c r="F56" s="18" t="s">
        <v>88</v>
      </c>
      <c r="G56" s="18" t="s">
        <v>89</v>
      </c>
    </row>
    <row r="57" spans="1:7" s="23" customFormat="1" ht="15.75" hidden="1" x14ac:dyDescent="0.25">
      <c r="A57" s="28" t="s">
        <v>91</v>
      </c>
      <c r="B57" s="29">
        <v>238332.62178000004</v>
      </c>
      <c r="C57" s="29">
        <v>2523203.3303700001</v>
      </c>
      <c r="D57" s="29">
        <v>590277.79412000009</v>
      </c>
      <c r="E57" s="29"/>
      <c r="F57" s="29">
        <v>1713382.7054099997</v>
      </c>
      <c r="G57" s="29">
        <v>706019.31753</v>
      </c>
    </row>
    <row r="58" spans="1:7" hidden="1" x14ac:dyDescent="0.3"/>
    <row r="59" spans="1:7" hidden="1" x14ac:dyDescent="0.3"/>
    <row r="60" spans="1:7" hidden="1" x14ac:dyDescent="0.3"/>
    <row r="61" spans="1:7" hidden="1" x14ac:dyDescent="0.3">
      <c r="A61" t="s">
        <v>92</v>
      </c>
    </row>
    <row r="62" spans="1:7" hidden="1" x14ac:dyDescent="0.3">
      <c r="A62" s="24"/>
      <c r="B62" s="24" t="s">
        <v>93</v>
      </c>
      <c r="C62" s="24"/>
      <c r="D62" s="24"/>
      <c r="E62" s="24"/>
      <c r="F62" s="24"/>
      <c r="G62" s="24"/>
    </row>
    <row r="63" spans="1:7" hidden="1" x14ac:dyDescent="0.3">
      <c r="A63" s="24"/>
      <c r="B63" s="24" t="s">
        <v>94</v>
      </c>
      <c r="C63" s="24"/>
      <c r="D63" s="24"/>
      <c r="E63" s="24"/>
      <c r="F63" s="24"/>
      <c r="G63" s="24"/>
    </row>
    <row r="64" spans="1:7" hidden="1" x14ac:dyDescent="0.3">
      <c r="A64" s="24" t="s">
        <v>53</v>
      </c>
      <c r="B64" s="24" t="s">
        <v>26</v>
      </c>
      <c r="C64" s="24" t="s">
        <v>44</v>
      </c>
      <c r="D64" s="24"/>
      <c r="E64" s="24"/>
      <c r="F64" s="24" t="s">
        <v>45</v>
      </c>
      <c r="G64" s="24"/>
    </row>
    <row r="65" spans="1:7" hidden="1" x14ac:dyDescent="0.3">
      <c r="A65" s="24"/>
      <c r="B65" s="24"/>
      <c r="C65" s="37">
        <v>42064</v>
      </c>
      <c r="D65" s="37">
        <v>42430</v>
      </c>
      <c r="E65" s="37"/>
      <c r="F65" s="24"/>
      <c r="G65" s="24"/>
    </row>
    <row r="66" spans="1:7" hidden="1" x14ac:dyDescent="0.3">
      <c r="A66" s="24">
        <v>1</v>
      </c>
      <c r="B66" s="24" t="s">
        <v>95</v>
      </c>
      <c r="C66" s="24">
        <v>0</v>
      </c>
      <c r="D66" s="24">
        <v>0</v>
      </c>
      <c r="E66" s="24"/>
      <c r="F66" s="24">
        <v>0</v>
      </c>
      <c r="G66" s="24"/>
    </row>
    <row r="67" spans="1:7" hidden="1" x14ac:dyDescent="0.3">
      <c r="A67" s="24">
        <v>2</v>
      </c>
      <c r="B67" s="24" t="s">
        <v>78</v>
      </c>
      <c r="C67" s="36">
        <v>0.60327248174399783</v>
      </c>
      <c r="D67" s="36">
        <v>0.53980485138816892</v>
      </c>
      <c r="E67" s="36"/>
      <c r="F67" s="36">
        <v>-6.3467630355828919E-2</v>
      </c>
      <c r="G67" s="24"/>
    </row>
    <row r="68" spans="1:7" hidden="1" x14ac:dyDescent="0.3">
      <c r="A68" s="24">
        <v>3</v>
      </c>
      <c r="B68" s="24" t="s">
        <v>71</v>
      </c>
      <c r="C68" s="36">
        <v>0.53249021261807006</v>
      </c>
      <c r="D68" s="36">
        <v>0.60599999999999998</v>
      </c>
      <c r="E68" s="36"/>
      <c r="F68" s="36">
        <v>7.3509787381929925E-2</v>
      </c>
      <c r="G68" s="24"/>
    </row>
    <row r="69" spans="1:7" hidden="1" x14ac:dyDescent="0.3">
      <c r="A69" s="24">
        <v>4</v>
      </c>
      <c r="B69" s="24" t="s">
        <v>77</v>
      </c>
      <c r="C69" s="36">
        <v>0.48752571973689657</v>
      </c>
      <c r="D69" s="36">
        <v>0.4427965393606601</v>
      </c>
      <c r="E69" s="36"/>
      <c r="F69" s="36">
        <v>-4.4729180376236466E-2</v>
      </c>
      <c r="G69" s="24"/>
    </row>
    <row r="70" spans="1:7" hidden="1" x14ac:dyDescent="0.3">
      <c r="A70" s="24">
        <v>5</v>
      </c>
      <c r="B70" s="24" t="s">
        <v>96</v>
      </c>
      <c r="C70" s="36">
        <v>0.47321530591407801</v>
      </c>
      <c r="D70" s="36">
        <v>0.46543455256576488</v>
      </c>
      <c r="E70" s="36"/>
      <c r="F70" s="36">
        <v>-7.7807533483131297E-3</v>
      </c>
      <c r="G70" s="24"/>
    </row>
    <row r="71" spans="1:7" hidden="1" x14ac:dyDescent="0.3">
      <c r="A71" s="24">
        <v>6</v>
      </c>
      <c r="B71" s="24" t="s">
        <v>75</v>
      </c>
      <c r="C71" s="36">
        <v>0.44489716282790365</v>
      </c>
      <c r="D71" s="36">
        <v>0.4176787226469475</v>
      </c>
      <c r="E71" s="36"/>
      <c r="F71" s="36">
        <v>-2.7218440180956149E-2</v>
      </c>
      <c r="G71" s="24"/>
    </row>
    <row r="72" spans="1:7" hidden="1" x14ac:dyDescent="0.3">
      <c r="A72" s="24">
        <v>7</v>
      </c>
      <c r="B72" s="24" t="s">
        <v>69</v>
      </c>
      <c r="C72" s="36">
        <v>0.43916043526154791</v>
      </c>
      <c r="D72" s="36">
        <v>0.42415076089134052</v>
      </c>
      <c r="E72" s="36"/>
      <c r="F72" s="36">
        <v>-1.5009674370207393E-2</v>
      </c>
      <c r="G72" s="24"/>
    </row>
    <row r="73" spans="1:7" hidden="1" x14ac:dyDescent="0.3">
      <c r="A73" s="24">
        <v>8</v>
      </c>
      <c r="B73" s="24" t="s">
        <v>76</v>
      </c>
      <c r="C73" s="36">
        <v>0.4385418786380138</v>
      </c>
      <c r="D73" s="36">
        <v>0.48671445985581868</v>
      </c>
      <c r="E73" s="36"/>
      <c r="F73" s="36">
        <v>4.8172581217804877E-2</v>
      </c>
      <c r="G73" s="24"/>
    </row>
    <row r="74" spans="1:7" hidden="1" x14ac:dyDescent="0.3">
      <c r="A74" s="24">
        <v>9</v>
      </c>
      <c r="B74" s="24" t="s">
        <v>88</v>
      </c>
      <c r="C74" s="36">
        <v>0.37043155097764346</v>
      </c>
      <c r="D74" s="36">
        <v>0.37091316003912023</v>
      </c>
      <c r="E74" s="36"/>
      <c r="F74" s="36">
        <v>4.8160906147676208E-4</v>
      </c>
      <c r="G74" s="24"/>
    </row>
    <row r="75" spans="1:7" hidden="1" x14ac:dyDescent="0.3">
      <c r="A75" s="24">
        <v>10</v>
      </c>
      <c r="B75" s="24" t="s">
        <v>70</v>
      </c>
      <c r="C75" s="36">
        <v>0.34084090070291873</v>
      </c>
      <c r="D75" s="36">
        <v>0.33680120003504022</v>
      </c>
      <c r="E75" s="36"/>
      <c r="F75" s="36">
        <v>-4.0397006678785097E-3</v>
      </c>
      <c r="G75" s="24"/>
    </row>
    <row r="76" spans="1:7" hidden="1" x14ac:dyDescent="0.3">
      <c r="A76" s="24">
        <v>11</v>
      </c>
      <c r="B76" s="24" t="s">
        <v>74</v>
      </c>
      <c r="C76" s="36">
        <v>0.17127022148506335</v>
      </c>
      <c r="D76" s="36">
        <v>0.17499999999999999</v>
      </c>
      <c r="E76" s="36"/>
      <c r="F76" s="36">
        <v>3.729778514936638E-3</v>
      </c>
      <c r="G76" s="24"/>
    </row>
    <row r="77" spans="1:7" hidden="1" x14ac:dyDescent="0.3">
      <c r="A77" s="24">
        <v>12</v>
      </c>
      <c r="B77" s="24" t="s">
        <v>73</v>
      </c>
      <c r="C77" s="36">
        <v>0.1594884921904231</v>
      </c>
      <c r="D77" s="36">
        <v>0.20703057005607714</v>
      </c>
      <c r="E77" s="36"/>
      <c r="F77" s="36">
        <v>4.7542077865654037E-2</v>
      </c>
      <c r="G77" s="24"/>
    </row>
    <row r="78" spans="1:7" hidden="1" x14ac:dyDescent="0.3">
      <c r="A78" s="24"/>
      <c r="B78" s="24" t="s">
        <v>29</v>
      </c>
      <c r="C78" s="36">
        <v>0.36811954599897218</v>
      </c>
      <c r="D78" s="36">
        <v>0.3621047851705555</v>
      </c>
      <c r="E78" s="36"/>
      <c r="F78" s="36">
        <v>-6.0147608284166765E-3</v>
      </c>
      <c r="G78" s="24"/>
    </row>
    <row r="80" spans="1:7"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sheetData>
  <sortState xmlns:xlrd2="http://schemas.microsoft.com/office/spreadsheetml/2017/richdata2" ref="B10:F21">
    <sortCondition descending="1" ref="D10:D21"/>
  </sortState>
  <mergeCells count="4">
    <mergeCell ref="A22:B22"/>
    <mergeCell ref="A8:A9"/>
    <mergeCell ref="C8:D8"/>
    <mergeCell ref="E8:F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0"/>
  <dimension ref="A1:I24"/>
  <sheetViews>
    <sheetView showGridLines="0" topLeftCell="A4" zoomScaleNormal="100" workbookViewId="0">
      <selection activeCell="K20" sqref="K20"/>
    </sheetView>
  </sheetViews>
  <sheetFormatPr baseColWidth="10" defaultRowHeight="15" x14ac:dyDescent="0.3"/>
  <cols>
    <col min="1" max="1" width="4.85546875" customWidth="1"/>
    <col min="2" max="2" width="22.7109375" bestFit="1" customWidth="1"/>
    <col min="7" max="7" width="15.85546875" customWidth="1"/>
    <col min="8" max="9" width="11.42578125" hidden="1" customWidth="1"/>
  </cols>
  <sheetData>
    <row r="1" spans="1:9" s="502" customFormat="1" x14ac:dyDescent="0.25">
      <c r="A1" s="494" t="s">
        <v>0</v>
      </c>
      <c r="B1" s="505"/>
      <c r="C1" s="505"/>
      <c r="D1" s="505"/>
      <c r="E1" s="505"/>
      <c r="F1" s="505"/>
      <c r="G1" s="505"/>
    </row>
    <row r="2" spans="1:9" s="502" customFormat="1" x14ac:dyDescent="0.25">
      <c r="A2" s="494" t="s">
        <v>42</v>
      </c>
      <c r="B2" s="505"/>
      <c r="C2" s="505"/>
      <c r="D2" s="505"/>
      <c r="E2" s="505"/>
      <c r="F2" s="505"/>
      <c r="G2" s="505"/>
    </row>
    <row r="3" spans="1:9" s="502" customFormat="1" x14ac:dyDescent="0.25">
      <c r="A3" s="494" t="str">
        <f>'1. Ramos Totales'!A3</f>
        <v>Al 31 de diciembre de 2025</v>
      </c>
      <c r="B3" s="505"/>
      <c r="C3" s="505"/>
      <c r="D3" s="505"/>
      <c r="E3" s="505"/>
      <c r="F3" s="505"/>
      <c r="G3" s="505"/>
    </row>
    <row r="4" spans="1:9" s="502" customFormat="1" x14ac:dyDescent="0.25">
      <c r="A4" s="494" t="s">
        <v>2</v>
      </c>
      <c r="B4" s="505"/>
      <c r="C4" s="505"/>
      <c r="D4" s="505"/>
      <c r="E4" s="505"/>
      <c r="F4" s="505"/>
      <c r="G4" s="505"/>
    </row>
    <row r="5" spans="1:9" s="502" customFormat="1" ht="15" customHeight="1" x14ac:dyDescent="0.25">
      <c r="A5" s="503"/>
      <c r="B5" s="501"/>
      <c r="C5" s="501"/>
      <c r="D5" s="501"/>
      <c r="E5" s="501"/>
      <c r="F5" s="501"/>
      <c r="G5" s="501"/>
    </row>
    <row r="6" spans="1:9" s="502" customFormat="1" x14ac:dyDescent="0.25">
      <c r="A6" s="502" t="s">
        <v>97</v>
      </c>
      <c r="C6" s="501"/>
      <c r="D6" s="501"/>
      <c r="E6" s="501"/>
      <c r="F6" s="501"/>
      <c r="G6" s="501"/>
    </row>
    <row r="7" spans="1:9" ht="15" customHeight="1" x14ac:dyDescent="0.3">
      <c r="A7" s="111"/>
      <c r="B7" s="110"/>
      <c r="C7" s="110"/>
      <c r="D7" s="110"/>
      <c r="E7" s="110"/>
      <c r="F7" s="110"/>
      <c r="G7" s="110"/>
      <c r="H7" s="108"/>
      <c r="I7" s="108"/>
    </row>
    <row r="8" spans="1:9" x14ac:dyDescent="0.3">
      <c r="A8" s="667" t="s">
        <v>25</v>
      </c>
      <c r="B8" s="169" t="s">
        <v>26</v>
      </c>
      <c r="C8" s="671" t="s">
        <v>44</v>
      </c>
      <c r="D8" s="665"/>
      <c r="E8" s="665" t="s">
        <v>45</v>
      </c>
      <c r="F8" s="665" t="s">
        <v>67</v>
      </c>
      <c r="G8" s="132"/>
      <c r="H8" s="149" t="s">
        <v>5</v>
      </c>
      <c r="I8" s="149" t="s">
        <v>5</v>
      </c>
    </row>
    <row r="9" spans="1:9" x14ac:dyDescent="0.3">
      <c r="A9" s="667"/>
      <c r="B9" s="170"/>
      <c r="C9" s="148">
        <f>'1. Ramos Totales'!$B$9</f>
        <v>45657</v>
      </c>
      <c r="D9" s="148">
        <f>'1. Ramos Totales'!$C$9</f>
        <v>46022</v>
      </c>
      <c r="E9" s="149" t="s">
        <v>9</v>
      </c>
      <c r="F9" s="172" t="s">
        <v>10</v>
      </c>
      <c r="G9" s="132"/>
      <c r="H9" s="208">
        <v>2022</v>
      </c>
      <c r="I9" s="210" t="s">
        <v>47</v>
      </c>
    </row>
    <row r="10" spans="1:9" x14ac:dyDescent="0.3">
      <c r="A10" s="173">
        <v>1</v>
      </c>
      <c r="B10" s="195" t="str">
        <f>'ER diciembre 2024'!P9</f>
        <v>ASSA CIA. DE SEGUROS</v>
      </c>
      <c r="C10" s="225">
        <f>(('ER diciembre 2024'!P32/1000)/H10)</f>
        <v>7.9985502302792263E-2</v>
      </c>
      <c r="D10" s="225">
        <f>(('ER Diciembre 2025'!N32/1000)/I10)</f>
        <v>7.2658634252195514E-2</v>
      </c>
      <c r="E10" s="182">
        <f t="shared" ref="E10:E21" si="0">IFERROR(D10/C10-1,0)</f>
        <v>-9.1602450939924585E-2</v>
      </c>
      <c r="F10" s="182">
        <f t="shared" ref="F10:F21" si="1">D10-C10</f>
        <v>-7.3268680505967493E-3</v>
      </c>
      <c r="G10" s="133"/>
      <c r="H10" s="206">
        <f>VLOOKUP(B10,'8. Primas y Siniestros Totales'!$B$10:$D$21,2,FALSE)</f>
        <v>861.41586632999997</v>
      </c>
      <c r="I10" s="206">
        <f>VLOOKUP(B10,'8. Primas y Siniestros Totales'!$B$10:$D$21,3,FALSE)</f>
        <v>1080.2732791199999</v>
      </c>
    </row>
    <row r="11" spans="1:9" x14ac:dyDescent="0.3">
      <c r="A11" s="173">
        <v>2</v>
      </c>
      <c r="B11" s="203" t="str">
        <f>'ER diciembre 2024'!M9</f>
        <v>SEGUROS DEL PAÍS</v>
      </c>
      <c r="C11" s="227">
        <f>(('ER diciembre 2024'!M32/1000)/H11)</f>
        <v>8.7823506070428436E-2</v>
      </c>
      <c r="D11" s="227">
        <f>(('ER Diciembre 2025'!K32/1000)/I11)</f>
        <v>9.3376438896361949E-2</v>
      </c>
      <c r="E11" s="158">
        <f t="shared" si="0"/>
        <v>6.3228320917641856E-2</v>
      </c>
      <c r="F11" s="182">
        <f t="shared" si="1"/>
        <v>5.5529328259335126E-3</v>
      </c>
      <c r="G11" s="133"/>
      <c r="H11" s="206">
        <f>VLOOKUP(B11,'8. Primas y Siniestros Totales'!$B$10:$D$21,2,FALSE)</f>
        <v>1250.5436558399999</v>
      </c>
      <c r="I11" s="206">
        <f>VLOOKUP(B11,'8. Primas y Siniestros Totales'!$B$10:$D$21,3,FALSE)</f>
        <v>1376.0558212399999</v>
      </c>
    </row>
    <row r="12" spans="1:9" x14ac:dyDescent="0.3">
      <c r="A12" s="202">
        <v>3</v>
      </c>
      <c r="B12" s="180" t="str">
        <f>'ER diciembre 2024'!K9</f>
        <v>CREFISA</v>
      </c>
      <c r="C12" s="225">
        <f>(('ER diciembre 2024'!K32/1000)/H12)</f>
        <v>0.11094308397704367</v>
      </c>
      <c r="D12" s="225">
        <f>(('ER Diciembre 2025'!I32/1000)/I12)</f>
        <v>9.8831932115014648E-2</v>
      </c>
      <c r="E12" s="182">
        <f t="shared" si="0"/>
        <v>-0.10916545157997459</v>
      </c>
      <c r="F12" s="182">
        <f t="shared" si="1"/>
        <v>-1.2111151862029018E-2</v>
      </c>
      <c r="G12" s="133"/>
      <c r="H12" s="206">
        <f>VLOOKUP(B12,'8. Primas y Siniestros Totales'!$B$10:$D$21,2,FALSE)</f>
        <v>1347.90531919</v>
      </c>
      <c r="I12" s="206">
        <f>VLOOKUP(B12,'8. Primas y Siniestros Totales'!$B$10:$D$21,3,FALSE)</f>
        <v>1663.4790588599999</v>
      </c>
    </row>
    <row r="13" spans="1:9" ht="15.75" x14ac:dyDescent="0.3">
      <c r="A13" s="173">
        <v>4</v>
      </c>
      <c r="B13" s="180" t="str">
        <f>'ER diciembre 2024'!G9</f>
        <v>MAPFRE SEGUROS</v>
      </c>
      <c r="C13" s="225">
        <f>(('ER diciembre 2024'!G32/1000)/H13)</f>
        <v>0.1051193539439418</v>
      </c>
      <c r="D13" s="226">
        <f>(('ER Diciembre 2025'!E32/1000)/I13)</f>
        <v>0.11409995335008002</v>
      </c>
      <c r="E13" s="182">
        <f t="shared" si="0"/>
        <v>8.5432406775705738E-2</v>
      </c>
      <c r="F13" s="182">
        <f t="shared" si="1"/>
        <v>8.980599406138226E-3</v>
      </c>
      <c r="G13" s="133"/>
      <c r="H13" s="206">
        <f>VLOOKUP(B13,'8. Primas y Siniestros Totales'!$B$10:$D$21,2,FALSE)</f>
        <v>3052.3443911300001</v>
      </c>
      <c r="I13" s="206">
        <f>VLOOKUP(B13,'8. Primas y Siniestros Totales'!$B$10:$D$21,3,FALSE)</f>
        <v>3127.48645773</v>
      </c>
    </row>
    <row r="14" spans="1:9" x14ac:dyDescent="0.3">
      <c r="A14" s="173">
        <v>5</v>
      </c>
      <c r="B14" s="180" t="str">
        <f>'ER diciembre 2024'!E9</f>
        <v>SEGUROS DAVIVIENDA</v>
      </c>
      <c r="C14" s="225">
        <f>(('ER diciembre 2024'!E32/1000)/H14)</f>
        <v>0.12561879844608528</v>
      </c>
      <c r="D14" s="225">
        <f>(('ER Diciembre 2025'!C32/1000)/I14)</f>
        <v>0.11464260020702066</v>
      </c>
      <c r="E14" s="182">
        <f t="shared" si="0"/>
        <v>-8.7377035721095009E-2</v>
      </c>
      <c r="F14" s="182">
        <f t="shared" si="1"/>
        <v>-1.0976198239064622E-2</v>
      </c>
      <c r="G14" s="133"/>
      <c r="H14" s="206">
        <f>VLOOKUP(B14,'8. Primas y Siniestros Totales'!$B$10:$D$21,2,FALSE)</f>
        <v>1514.0799131400001</v>
      </c>
      <c r="I14" s="206">
        <f>VLOOKUP(B14,'8. Primas y Siniestros Totales'!$B$10:$D$21,3,FALSE)</f>
        <v>1624.8432821099998</v>
      </c>
    </row>
    <row r="15" spans="1:9" x14ac:dyDescent="0.3">
      <c r="A15" s="173">
        <v>6</v>
      </c>
      <c r="B15" s="180" t="str">
        <f>'ER diciembre 2024'!H9</f>
        <v>FICOHSA SEGUROS</v>
      </c>
      <c r="C15" s="225">
        <f>(('ER diciembre 2024'!H32/1000)/H15)</f>
        <v>0.11754782382075435</v>
      </c>
      <c r="D15" s="225">
        <f>(('ER Diciembre 2025'!F32/1000)/I15)</f>
        <v>0.1163637875977149</v>
      </c>
      <c r="E15" s="182">
        <f t="shared" si="0"/>
        <v>-1.0072804281302195E-2</v>
      </c>
      <c r="F15" s="182">
        <f t="shared" si="1"/>
        <v>-1.1840362230394474E-3</v>
      </c>
      <c r="G15" s="133"/>
      <c r="H15" s="206">
        <f>VLOOKUP(B15,'8. Primas y Siniestros Totales'!$B$10:$D$21,2,FALSE)</f>
        <v>4409.1933005100009</v>
      </c>
      <c r="I15" s="206">
        <f>VLOOKUP(B15,'8. Primas y Siniestros Totales'!$B$10:$D$21,3,FALSE)</f>
        <v>4850.8032757700003</v>
      </c>
    </row>
    <row r="16" spans="1:9" x14ac:dyDescent="0.3">
      <c r="A16" s="173">
        <v>7</v>
      </c>
      <c r="B16" s="180" t="str">
        <f>'ER diciembre 2024'!F9</f>
        <v>PALIC</v>
      </c>
      <c r="C16" s="225">
        <f>(('ER diciembre 2024'!F32/1000)/H16)</f>
        <v>0.13174009823325122</v>
      </c>
      <c r="D16" s="225">
        <f>(('ER Diciembre 2025'!D32/1000)/I16)</f>
        <v>0.14400470512756461</v>
      </c>
      <c r="E16" s="182">
        <f t="shared" si="0"/>
        <v>9.3096992174686255E-2</v>
      </c>
      <c r="F16" s="182">
        <f t="shared" si="1"/>
        <v>1.2264606894313385E-2</v>
      </c>
      <c r="G16" s="133"/>
      <c r="H16" s="206">
        <f>VLOOKUP(B16,'8. Primas y Siniestros Totales'!$B$10:$D$21,2,FALSE)</f>
        <v>1381.80118378</v>
      </c>
      <c r="I16" s="206">
        <f>VLOOKUP(B16,'8. Primas y Siniestros Totales'!$B$10:$D$21,3,FALSE)</f>
        <v>1450.0814752200001</v>
      </c>
    </row>
    <row r="17" spans="1:9" x14ac:dyDescent="0.3">
      <c r="A17" s="173">
        <v>8</v>
      </c>
      <c r="B17" s="180" t="str">
        <f>'ER diciembre 2024'!O9</f>
        <v>ASEGURADORA RURAL</v>
      </c>
      <c r="C17" s="225">
        <f>(('ER diciembre 2024'!O32/1000)/H17)</f>
        <v>0.1496831558932066</v>
      </c>
      <c r="D17" s="225">
        <f>(('ER Diciembre 2025'!M32/1000)/I17)</f>
        <v>0.17002127125945959</v>
      </c>
      <c r="E17" s="182">
        <f t="shared" si="0"/>
        <v>0.13587444255092729</v>
      </c>
      <c r="F17" s="182">
        <f t="shared" si="1"/>
        <v>2.033811536625299E-2</v>
      </c>
      <c r="G17" s="133"/>
      <c r="H17" s="206">
        <f>VLOOKUP(B17,'8. Primas y Siniestros Totales'!$B$10:$D$21,2,FALSE)</f>
        <v>468.87359055999997</v>
      </c>
      <c r="I17" s="206">
        <f>VLOOKUP(B17,'8. Primas y Siniestros Totales'!$B$10:$D$21,3,FALSE)</f>
        <v>544.68799659000001</v>
      </c>
    </row>
    <row r="18" spans="1:9" ht="15.75" x14ac:dyDescent="0.3">
      <c r="A18" s="173">
        <v>9</v>
      </c>
      <c r="B18" s="180" t="str">
        <f>'ER diciembre 2024'!L9</f>
        <v>SEGUROS EQUIDAD</v>
      </c>
      <c r="C18" s="225">
        <f>(('ER diciembre 2024'!L32/1000)/H18)</f>
        <v>0.15977602248049791</v>
      </c>
      <c r="D18" s="226">
        <f>(('ER Diciembre 2025'!J32/1000)/I18)</f>
        <v>0.17665146603030607</v>
      </c>
      <c r="E18" s="182">
        <f t="shared" si="0"/>
        <v>0.10561937447070924</v>
      </c>
      <c r="F18" s="182">
        <f t="shared" si="1"/>
        <v>1.6875443549808161E-2</v>
      </c>
      <c r="G18" s="133"/>
      <c r="H18" s="206">
        <f>VLOOKUP(B18,'8. Primas y Siniestros Totales'!$B$10:$D$21,2,FALSE)</f>
        <v>724.92670497000006</v>
      </c>
      <c r="I18" s="206">
        <f>VLOOKUP(B18,'8. Primas y Siniestros Totales'!$B$10:$D$21,3,FALSE)</f>
        <v>597.42208491999997</v>
      </c>
    </row>
    <row r="19" spans="1:9" s="542" customFormat="1" x14ac:dyDescent="0.3">
      <c r="A19" s="28">
        <v>10</v>
      </c>
      <c r="B19" s="180" t="str">
        <f>'ER diciembre 2024'!J9</f>
        <v>SEGUROS ATLÁNTIDA</v>
      </c>
      <c r="C19" s="225">
        <f>(('ER diciembre 2024'!J32/1000)/H19)</f>
        <v>0.17932724839855435</v>
      </c>
      <c r="D19" s="225">
        <f>(('ER Diciembre 2025'!H32/1000)/I19)</f>
        <v>0.18699208427990527</v>
      </c>
      <c r="E19" s="182">
        <f t="shared" si="0"/>
        <v>4.2742170806724378E-2</v>
      </c>
      <c r="F19" s="182">
        <f t="shared" si="1"/>
        <v>7.6648358813509176E-3</v>
      </c>
      <c r="G19" s="559"/>
      <c r="H19" s="560">
        <f>VLOOKUP(B19,'8. Primas y Siniestros Totales'!$B$10:$D$21,2,FALSE)</f>
        <v>2484.13684874</v>
      </c>
      <c r="I19" s="560">
        <f>VLOOKUP(B19,'8. Primas y Siniestros Totales'!$B$10:$D$21,3,FALSE)</f>
        <v>2738.0758226300004</v>
      </c>
    </row>
    <row r="20" spans="1:9" ht="15.75" x14ac:dyDescent="0.3">
      <c r="A20" s="173">
        <v>11</v>
      </c>
      <c r="B20" s="180" t="str">
        <f>'ER diciembre 2024'!N9</f>
        <v>SEGUROS LAFISE</v>
      </c>
      <c r="C20" s="225">
        <f>(('ER diciembre 2024'!N32/1000)/H20)</f>
        <v>0.19981510859870882</v>
      </c>
      <c r="D20" s="226">
        <f>(('ER Diciembre 2025'!L32/1000)/I20)</f>
        <v>0.19686659222616662</v>
      </c>
      <c r="E20" s="182">
        <f t="shared" si="0"/>
        <v>-1.4756223356782061E-2</v>
      </c>
      <c r="F20" s="182">
        <f t="shared" si="1"/>
        <v>-2.9485163725422037E-3</v>
      </c>
      <c r="G20" s="133"/>
      <c r="H20" s="206">
        <f>VLOOKUP(B20,'8. Primas y Siniestros Totales'!$B$10:$D$21,2,FALSE)</f>
        <v>403.72414011000006</v>
      </c>
      <c r="I20" s="206">
        <f>VLOOKUP(B20,'8. Primas y Siniestros Totales'!$B$10:$D$21,3,FALSE)</f>
        <v>514.39845188999993</v>
      </c>
    </row>
    <row r="21" spans="1:9" ht="15.75" x14ac:dyDescent="0.3">
      <c r="A21" s="173">
        <v>12</v>
      </c>
      <c r="B21" s="180" t="str">
        <f>'ER diciembre 2024'!I9</f>
        <v>SEGUROS CONTINENTAL</v>
      </c>
      <c r="C21" s="225">
        <f>(('ER diciembre 2024'!I32/1000)/H21)</f>
        <v>0.21738282762337299</v>
      </c>
      <c r="D21" s="226">
        <f>(('ER Diciembre 2025'!G32/1000)/I21)</f>
        <v>0.22086707191977115</v>
      </c>
      <c r="E21" s="182">
        <f t="shared" si="0"/>
        <v>1.6028148747953441E-2</v>
      </c>
      <c r="F21" s="182">
        <f t="shared" si="1"/>
        <v>3.4842442963981535E-3</v>
      </c>
      <c r="G21" s="133"/>
      <c r="H21" s="206">
        <f>VLOOKUP(B21,'8. Primas y Siniestros Totales'!$B$10:$D$21,2,FALSE)</f>
        <v>542.79405654999994</v>
      </c>
      <c r="I21" s="206">
        <f>VLOOKUP(B21,'8. Primas y Siniestros Totales'!$B$10:$D$21,3,FALSE)</f>
        <v>614.12831284000004</v>
      </c>
    </row>
    <row r="22" spans="1:9" x14ac:dyDescent="0.3">
      <c r="A22" s="665" t="s">
        <v>29</v>
      </c>
      <c r="B22" s="665"/>
      <c r="C22" s="188">
        <f>(('ER diciembre 2024'!C32/1000)/H22)</f>
        <v>0.12850208195744636</v>
      </c>
      <c r="D22" s="188">
        <f>(('ER Diciembre 2025'!B32/1000)/I22)</f>
        <v>0.13055552589820602</v>
      </c>
      <c r="E22" s="188">
        <f>IFERROR(D22/C22-1,0)</f>
        <v>1.5979849582823613E-2</v>
      </c>
      <c r="F22" s="188">
        <f>D22-C22</f>
        <v>2.0534439407596528E-3</v>
      </c>
      <c r="G22" s="133"/>
      <c r="H22" s="209">
        <f>SUM(H10:H21)</f>
        <v>18441.738970850001</v>
      </c>
      <c r="I22" s="209">
        <f>SUM(I10:I21)</f>
        <v>20181.73531892</v>
      </c>
    </row>
    <row r="23" spans="1:9" x14ac:dyDescent="0.3">
      <c r="A23" s="121"/>
      <c r="B23" s="121" t="s">
        <v>98</v>
      </c>
      <c r="C23" s="108"/>
      <c r="D23" s="108"/>
      <c r="E23" s="108"/>
      <c r="F23" s="108"/>
      <c r="G23" s="133"/>
      <c r="H23" s="108"/>
      <c r="I23" s="108"/>
    </row>
    <row r="24" spans="1:9" x14ac:dyDescent="0.3">
      <c r="G24" s="12"/>
    </row>
  </sheetData>
  <sortState xmlns:xlrd2="http://schemas.microsoft.com/office/spreadsheetml/2017/richdata2" ref="B10:F21">
    <sortCondition ref="D10:D21"/>
  </sortState>
  <mergeCells count="4">
    <mergeCell ref="A22:B22"/>
    <mergeCell ref="A8:A9"/>
    <mergeCell ref="C8:D8"/>
    <mergeCell ref="E8:F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3"/>
  <dimension ref="A1:H23"/>
  <sheetViews>
    <sheetView showGridLines="0" topLeftCell="A4" zoomScaleNormal="100" workbookViewId="0">
      <selection activeCell="I22" sqref="I22"/>
    </sheetView>
  </sheetViews>
  <sheetFormatPr baseColWidth="10" defaultRowHeight="15" x14ac:dyDescent="0.3"/>
  <cols>
    <col min="1" max="1" width="6" customWidth="1"/>
    <col min="2" max="2" width="22.7109375" bestFit="1" customWidth="1"/>
    <col min="3" max="3" width="14.7109375" customWidth="1"/>
    <col min="4" max="5" width="18.140625" customWidth="1"/>
    <col min="6" max="6" width="13.140625" customWidth="1"/>
    <col min="7" max="7" width="13.140625" hidden="1" customWidth="1"/>
    <col min="8" max="8" width="17" customWidth="1"/>
  </cols>
  <sheetData>
    <row r="1" spans="1:8" s="502" customFormat="1" x14ac:dyDescent="0.25">
      <c r="A1" s="494" t="s">
        <v>0</v>
      </c>
      <c r="B1" s="505"/>
      <c r="C1" s="505"/>
      <c r="D1" s="505"/>
      <c r="E1" s="505"/>
      <c r="F1" s="509"/>
      <c r="G1" s="505"/>
      <c r="H1" s="505"/>
    </row>
    <row r="2" spans="1:8" s="502" customFormat="1" x14ac:dyDescent="0.25">
      <c r="A2" s="494" t="s">
        <v>42</v>
      </c>
      <c r="B2" s="505"/>
      <c r="C2" s="505"/>
      <c r="D2" s="505"/>
      <c r="E2" s="505"/>
      <c r="F2" s="505"/>
      <c r="G2" s="505"/>
      <c r="H2" s="505"/>
    </row>
    <row r="3" spans="1:8" s="502" customFormat="1" x14ac:dyDescent="0.25">
      <c r="A3" s="494" t="str">
        <f>'1. Ramos Totales'!A3</f>
        <v>Al 31 de diciembre de 2025</v>
      </c>
      <c r="B3" s="505"/>
      <c r="C3" s="505"/>
      <c r="D3" s="505"/>
      <c r="E3" s="505"/>
      <c r="F3" s="505"/>
      <c r="G3" s="505"/>
      <c r="H3" s="505"/>
    </row>
    <row r="4" spans="1:8" s="502" customFormat="1" x14ac:dyDescent="0.25">
      <c r="A4" s="494" t="s">
        <v>2</v>
      </c>
      <c r="B4" s="505"/>
      <c r="C4" s="505"/>
      <c r="D4" s="505"/>
      <c r="E4" s="505"/>
      <c r="F4" s="505"/>
      <c r="G4" s="505"/>
      <c r="H4" s="505"/>
    </row>
    <row r="5" spans="1:8" s="502" customFormat="1" ht="7.5" customHeight="1" x14ac:dyDescent="0.25">
      <c r="A5" s="503"/>
      <c r="B5" s="501"/>
      <c r="C5" s="501"/>
      <c r="D5" s="501"/>
      <c r="E5" s="501"/>
      <c r="F5" s="501"/>
      <c r="G5" s="501"/>
      <c r="H5" s="501"/>
    </row>
    <row r="6" spans="1:8" s="502" customFormat="1" x14ac:dyDescent="0.25">
      <c r="A6" s="502" t="s">
        <v>99</v>
      </c>
      <c r="C6" s="501"/>
      <c r="D6" s="501"/>
      <c r="E6" s="501"/>
      <c r="F6" s="501"/>
      <c r="G6" s="501"/>
      <c r="H6" s="501"/>
    </row>
    <row r="7" spans="1:8" s="502" customFormat="1" ht="12.75" customHeight="1" x14ac:dyDescent="0.25">
      <c r="A7" s="520"/>
      <c r="B7" s="501"/>
      <c r="C7" s="501"/>
      <c r="D7" s="501"/>
      <c r="E7" s="501"/>
      <c r="F7" s="501"/>
      <c r="G7" s="501"/>
      <c r="H7" s="501"/>
    </row>
    <row r="8" spans="1:8" x14ac:dyDescent="0.3">
      <c r="A8" s="667" t="s">
        <v>25</v>
      </c>
      <c r="B8" s="169" t="s">
        <v>26</v>
      </c>
      <c r="C8" s="671" t="s">
        <v>44</v>
      </c>
      <c r="D8" s="665"/>
      <c r="E8" s="665" t="s">
        <v>45</v>
      </c>
      <c r="F8" s="665"/>
      <c r="G8" s="223"/>
      <c r="H8" s="108"/>
    </row>
    <row r="9" spans="1:8" x14ac:dyDescent="0.3">
      <c r="A9" s="667"/>
      <c r="B9" s="170"/>
      <c r="C9" s="148">
        <f>'1. Ramos Totales'!$B$9</f>
        <v>45657</v>
      </c>
      <c r="D9" s="148">
        <f>'1. Ramos Totales'!$C$9</f>
        <v>46022</v>
      </c>
      <c r="E9" s="149" t="s">
        <v>9</v>
      </c>
      <c r="F9" s="172" t="s">
        <v>10</v>
      </c>
      <c r="G9" s="217"/>
      <c r="H9" s="108"/>
    </row>
    <row r="10" spans="1:8" x14ac:dyDescent="0.3">
      <c r="A10" s="173">
        <v>1</v>
      </c>
      <c r="B10" s="195" t="str">
        <f>'ER diciembre 2024'!M9</f>
        <v>SEGUROS DEL PAÍS</v>
      </c>
      <c r="C10" s="225">
        <f>'ER diciembre 2024'!M37/'Balance diciembre 2024'!N39</f>
        <v>0.22245910256325802</v>
      </c>
      <c r="D10" s="225">
        <f>'ER Diciembre 2025'!K37/'Balance Diciembre 2025'!M39</f>
        <v>0.24168591583828619</v>
      </c>
      <c r="E10" s="182">
        <f t="shared" ref="E10:E21" si="0">IFERROR(D10/C10-1,0)</f>
        <v>8.6428530248884083E-2</v>
      </c>
      <c r="F10" s="182">
        <f t="shared" ref="F10:F21" si="1">D10-C10</f>
        <v>1.9226813275028176E-2</v>
      </c>
      <c r="G10" s="173">
        <v>1</v>
      </c>
      <c r="H10" s="108"/>
    </row>
    <row r="11" spans="1:8" ht="15.75" x14ac:dyDescent="0.3">
      <c r="A11" s="173">
        <v>2</v>
      </c>
      <c r="B11" s="180" t="str">
        <f>'ER diciembre 2024'!E9</f>
        <v>SEGUROS DAVIVIENDA</v>
      </c>
      <c r="C11" s="225">
        <f>'ER diciembre 2024'!E37/'Balance diciembre 2024'!F39</f>
        <v>0.23154756803030901</v>
      </c>
      <c r="D11" s="226">
        <f>'ER Diciembre 2025'!C37/'Balance Diciembre 2025'!E39</f>
        <v>0.24066108414683238</v>
      </c>
      <c r="E11" s="182">
        <f t="shared" si="0"/>
        <v>3.9359152825696908E-2</v>
      </c>
      <c r="F11" s="182">
        <f t="shared" si="1"/>
        <v>9.1135161165233625E-3</v>
      </c>
      <c r="G11" s="173">
        <v>2</v>
      </c>
      <c r="H11" s="108"/>
    </row>
    <row r="12" spans="1:8" x14ac:dyDescent="0.3">
      <c r="A12" s="202">
        <v>3</v>
      </c>
      <c r="B12" s="180" t="str">
        <f>'ER diciembre 2024'!J9</f>
        <v>SEGUROS ATLÁNTIDA</v>
      </c>
      <c r="C12" s="225">
        <f>'ER diciembre 2024'!J37/'Balance diciembre 2024'!K39</f>
        <v>0.18457950759430586</v>
      </c>
      <c r="D12" s="225">
        <f>'ER Diciembre 2025'!H37/'Balance Diciembre 2025'!J39</f>
        <v>0.2361858943825958</v>
      </c>
      <c r="E12" s="182">
        <f t="shared" si="0"/>
        <v>0.27958892870013252</v>
      </c>
      <c r="F12" s="182">
        <f t="shared" si="1"/>
        <v>5.1606386788289937E-2</v>
      </c>
      <c r="G12" s="202">
        <v>3</v>
      </c>
      <c r="H12" s="108"/>
    </row>
    <row r="13" spans="1:8" s="350" customFormat="1" ht="15.75" x14ac:dyDescent="0.3">
      <c r="A13" s="28">
        <v>4</v>
      </c>
      <c r="B13" s="180" t="str">
        <f>'ER diciembre 2024'!N9</f>
        <v>SEGUROS LAFISE</v>
      </c>
      <c r="C13" s="225">
        <f>'ER diciembre 2024'!N37/'Balance diciembre 2024'!O39</f>
        <v>0.13393123068680141</v>
      </c>
      <c r="D13" s="226">
        <f>'ER Diciembre 2025'!L37/'Balance Diciembre 2025'!N39</f>
        <v>0.23425737448675865</v>
      </c>
      <c r="E13" s="182">
        <f t="shared" si="0"/>
        <v>0.74908699998860051</v>
      </c>
      <c r="F13" s="182">
        <f t="shared" si="1"/>
        <v>0.10032614379995725</v>
      </c>
      <c r="G13" s="28">
        <v>4</v>
      </c>
      <c r="H13" s="113"/>
    </row>
    <row r="14" spans="1:8" ht="15.75" x14ac:dyDescent="0.3">
      <c r="A14" s="173">
        <v>5</v>
      </c>
      <c r="B14" s="180" t="str">
        <f>'ER diciembre 2024'!H9</f>
        <v>FICOHSA SEGUROS</v>
      </c>
      <c r="C14" s="225">
        <f>'ER diciembre 2024'!H37/'Balance diciembre 2024'!I39</f>
        <v>0.22398950252088873</v>
      </c>
      <c r="D14" s="226">
        <f>'ER Diciembre 2025'!F37/'Balance Diciembre 2025'!H39</f>
        <v>0.23235498677865415</v>
      </c>
      <c r="E14" s="182">
        <f t="shared" si="0"/>
        <v>3.7347662116376634E-2</v>
      </c>
      <c r="F14" s="182">
        <f t="shared" si="1"/>
        <v>8.3654842577654265E-3</v>
      </c>
      <c r="G14" s="173">
        <v>5</v>
      </c>
      <c r="H14" s="108"/>
    </row>
    <row r="15" spans="1:8" x14ac:dyDescent="0.3">
      <c r="A15" s="173">
        <v>6</v>
      </c>
      <c r="B15" s="180" t="str">
        <f>'ER diciembre 2024'!F9</f>
        <v>PALIC</v>
      </c>
      <c r="C15" s="225">
        <f>'ER diciembre 2024'!F37/'Balance diciembre 2024'!G39</f>
        <v>0.14114605938465399</v>
      </c>
      <c r="D15" s="225">
        <f>'ER Diciembre 2025'!D37/'Balance Diciembre 2025'!F39</f>
        <v>0.22353892484539187</v>
      </c>
      <c r="E15" s="182">
        <f t="shared" si="0"/>
        <v>0.58374187575580283</v>
      </c>
      <c r="F15" s="182">
        <f t="shared" si="1"/>
        <v>8.2392865460737874E-2</v>
      </c>
      <c r="G15" s="173">
        <v>6</v>
      </c>
      <c r="H15" s="108"/>
    </row>
    <row r="16" spans="1:8" ht="15.75" x14ac:dyDescent="0.3">
      <c r="A16" s="173">
        <v>7</v>
      </c>
      <c r="B16" s="180" t="str">
        <f>'ER diciembre 2024'!L9</f>
        <v>SEGUROS EQUIDAD</v>
      </c>
      <c r="C16" s="225">
        <f>'ER diciembre 2024'!L37/'Balance diciembre 2024'!M39</f>
        <v>0.22652796916386994</v>
      </c>
      <c r="D16" s="226">
        <f>'ER Diciembre 2025'!J37/'Balance Diciembre 2025'!L39</f>
        <v>0.21379376301725048</v>
      </c>
      <c r="E16" s="182">
        <f t="shared" si="0"/>
        <v>-5.6214719063708896E-2</v>
      </c>
      <c r="F16" s="182">
        <f t="shared" si="1"/>
        <v>-1.2734206146619464E-2</v>
      </c>
      <c r="G16" s="173">
        <v>7</v>
      </c>
      <c r="H16" s="108"/>
    </row>
    <row r="17" spans="1:8" x14ac:dyDescent="0.3">
      <c r="A17" s="173">
        <v>8</v>
      </c>
      <c r="B17" s="180" t="str">
        <f>'ER diciembre 2024'!K9</f>
        <v>CREFISA</v>
      </c>
      <c r="C17" s="225">
        <f>'ER diciembre 2024'!K37/'Balance diciembre 2024'!L39</f>
        <v>0.20028337755738349</v>
      </c>
      <c r="D17" s="225">
        <f>'ER Diciembre 2025'!I37/'Balance Diciembre 2025'!K39</f>
        <v>0.20731531381329316</v>
      </c>
      <c r="E17" s="182">
        <f t="shared" si="0"/>
        <v>3.5109934442237645E-2</v>
      </c>
      <c r="F17" s="182">
        <f t="shared" si="1"/>
        <v>7.031936255909671E-3</v>
      </c>
      <c r="G17" s="173">
        <v>8</v>
      </c>
      <c r="H17" s="108"/>
    </row>
    <row r="18" spans="1:8" s="4" customFormat="1" x14ac:dyDescent="0.3">
      <c r="A18" s="173">
        <v>9</v>
      </c>
      <c r="B18" s="180" t="str">
        <f>'ER diciembre 2024'!G9</f>
        <v>MAPFRE SEGUROS</v>
      </c>
      <c r="C18" s="225">
        <f>'ER diciembre 2024'!G37/'Balance diciembre 2024'!H39</f>
        <v>0.17510370239892792</v>
      </c>
      <c r="D18" s="225">
        <f>'ER Diciembre 2025'!E37/'Balance Diciembre 2025'!G39</f>
        <v>0.1902342500988182</v>
      </c>
      <c r="E18" s="182">
        <f t="shared" si="0"/>
        <v>8.6409067841519915E-2</v>
      </c>
      <c r="F18" s="182">
        <f t="shared" si="1"/>
        <v>1.5130547699890279E-2</v>
      </c>
      <c r="G18" s="173">
        <v>9</v>
      </c>
      <c r="H18" s="131"/>
    </row>
    <row r="19" spans="1:8" s="4" customFormat="1" x14ac:dyDescent="0.3">
      <c r="A19" s="173">
        <v>10</v>
      </c>
      <c r="B19" s="203" t="str">
        <f>'ER diciembre 2024'!O9</f>
        <v>ASEGURADORA RURAL</v>
      </c>
      <c r="C19" s="227">
        <f>'ER diciembre 2024'!O37/'Balance diciembre 2024'!P39</f>
        <v>0.14715635813887559</v>
      </c>
      <c r="D19" s="227">
        <f>'ER Diciembre 2025'!M37/'Balance Diciembre 2025'!O39</f>
        <v>0.16089778803881641</v>
      </c>
      <c r="E19" s="158">
        <f t="shared" si="0"/>
        <v>9.3379790542061691E-2</v>
      </c>
      <c r="F19" s="158">
        <f t="shared" si="1"/>
        <v>1.3741429899940816E-2</v>
      </c>
      <c r="G19" s="173">
        <v>10</v>
      </c>
      <c r="H19" s="112"/>
    </row>
    <row r="20" spans="1:8" s="541" customFormat="1" x14ac:dyDescent="0.3">
      <c r="A20" s="28">
        <v>11</v>
      </c>
      <c r="B20" s="180" t="str">
        <f>'ER diciembre 2024'!P9</f>
        <v>ASSA CIA. DE SEGUROS</v>
      </c>
      <c r="C20" s="225">
        <f>'ER diciembre 2024'!P37/'Balance diciembre 2024'!Q39</f>
        <v>7.5739807585366373E-2</v>
      </c>
      <c r="D20" s="225">
        <f>'ER Diciembre 2025'!N37/'Balance Diciembre 2025'!P39</f>
        <v>6.4353323601557447E-2</v>
      </c>
      <c r="E20" s="182">
        <f t="shared" si="0"/>
        <v>-0.15033684857167373</v>
      </c>
      <c r="F20" s="182">
        <f t="shared" si="1"/>
        <v>-1.1386483983808926E-2</v>
      </c>
      <c r="G20" s="540">
        <v>11</v>
      </c>
      <c r="H20" s="557"/>
    </row>
    <row r="21" spans="1:8" s="4" customFormat="1" x14ac:dyDescent="0.3">
      <c r="A21" s="173">
        <v>12</v>
      </c>
      <c r="B21" s="180" t="str">
        <f>'ER diciembre 2024'!I9</f>
        <v>SEGUROS CONTINENTAL</v>
      </c>
      <c r="C21" s="225">
        <f>'ER diciembre 2024'!I37/'Balance diciembre 2024'!J39</f>
        <v>4.3432823220699267E-2</v>
      </c>
      <c r="D21" s="225">
        <f>'ER Diciembre 2025'!G37/'Balance Diciembre 2025'!I39</f>
        <v>5.1400409416318273E-2</v>
      </c>
      <c r="E21" s="182">
        <f t="shared" si="0"/>
        <v>0.18344619586741029</v>
      </c>
      <c r="F21" s="182">
        <f t="shared" si="1"/>
        <v>7.9675861956190058E-3</v>
      </c>
      <c r="G21" s="173">
        <v>12</v>
      </c>
      <c r="H21" s="112"/>
    </row>
    <row r="22" spans="1:8" x14ac:dyDescent="0.3">
      <c r="A22" s="665" t="s">
        <v>29</v>
      </c>
      <c r="B22" s="665"/>
      <c r="C22" s="188">
        <f>'ER diciembre 2024'!C37/'Balance diciembre 2024'!C39</f>
        <v>0.18187595192625389</v>
      </c>
      <c r="D22" s="188">
        <f>'ER Diciembre 2025'!B37/'Balance Diciembre 2025'!B39</f>
        <v>0.20528592230390302</v>
      </c>
      <c r="E22" s="188">
        <f>IFERROR(D22/C22-1,0)</f>
        <v>0.12871394007681292</v>
      </c>
      <c r="F22" s="188">
        <f>D22-C22</f>
        <v>2.3409970377649136E-2</v>
      </c>
      <c r="G22" s="220"/>
      <c r="H22" s="108"/>
    </row>
    <row r="23" spans="1:8" x14ac:dyDescent="0.3">
      <c r="A23" s="121" t="s">
        <v>100</v>
      </c>
      <c r="B23" s="108"/>
      <c r="C23" s="108"/>
      <c r="D23" s="108"/>
      <c r="E23" s="108"/>
      <c r="F23" s="108"/>
      <c r="G23" s="108"/>
      <c r="H23" s="108"/>
    </row>
  </sheetData>
  <sortState xmlns:xlrd2="http://schemas.microsoft.com/office/spreadsheetml/2017/richdata2" ref="B10:F21">
    <sortCondition descending="1" ref="D10:D21"/>
  </sortState>
  <mergeCells count="4">
    <mergeCell ref="A8:A9"/>
    <mergeCell ref="C8:D8"/>
    <mergeCell ref="E8:F8"/>
    <mergeCell ref="A22:B22"/>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4"/>
  <dimension ref="A1:H23"/>
  <sheetViews>
    <sheetView showGridLines="0" topLeftCell="A6" zoomScaleNormal="100" workbookViewId="0">
      <selection activeCell="H16" sqref="H16"/>
    </sheetView>
  </sheetViews>
  <sheetFormatPr baseColWidth="10" defaultRowHeight="15" x14ac:dyDescent="0.3"/>
  <cols>
    <col min="1" max="1" width="6" customWidth="1"/>
    <col min="2" max="2" width="22.7109375" bestFit="1" customWidth="1"/>
    <col min="3" max="3" width="14.7109375" customWidth="1"/>
    <col min="4" max="5" width="18.140625" customWidth="1"/>
    <col min="6" max="7" width="13.140625" customWidth="1"/>
    <col min="8" max="8" width="17" customWidth="1"/>
  </cols>
  <sheetData>
    <row r="1" spans="1:8" x14ac:dyDescent="0.3">
      <c r="A1" s="494" t="s">
        <v>0</v>
      </c>
      <c r="B1" s="505"/>
      <c r="C1" s="107"/>
      <c r="D1" s="107"/>
      <c r="E1" s="107"/>
      <c r="F1" s="117"/>
      <c r="G1" s="107"/>
      <c r="H1" s="107"/>
    </row>
    <row r="2" spans="1:8" x14ac:dyDescent="0.3">
      <c r="A2" s="494" t="s">
        <v>42</v>
      </c>
      <c r="B2" s="505"/>
      <c r="C2" s="107"/>
      <c r="D2" s="107"/>
      <c r="E2" s="107"/>
      <c r="F2" s="107"/>
      <c r="G2" s="107"/>
      <c r="H2" s="107"/>
    </row>
    <row r="3" spans="1:8" x14ac:dyDescent="0.3">
      <c r="A3" s="494" t="str">
        <f>'1. Ramos Totales'!A3</f>
        <v>Al 31 de diciembre de 2025</v>
      </c>
      <c r="B3" s="505"/>
      <c r="C3" s="107"/>
      <c r="D3" s="107"/>
      <c r="E3" s="107"/>
      <c r="F3" s="107"/>
      <c r="G3" s="107"/>
      <c r="H3" s="107"/>
    </row>
    <row r="4" spans="1:8" x14ac:dyDescent="0.3">
      <c r="A4" s="494" t="s">
        <v>2</v>
      </c>
      <c r="B4" s="505"/>
      <c r="C4" s="107"/>
      <c r="D4" s="107"/>
      <c r="E4" s="107"/>
      <c r="F4" s="107"/>
      <c r="G4" s="107"/>
      <c r="H4" s="107"/>
    </row>
    <row r="5" spans="1:8" ht="7.5" customHeight="1" x14ac:dyDescent="0.3">
      <c r="A5" s="503"/>
      <c r="B5" s="501"/>
      <c r="C5" s="110"/>
      <c r="D5" s="110"/>
      <c r="E5" s="110"/>
      <c r="F5" s="110"/>
      <c r="G5" s="110"/>
      <c r="H5" s="110"/>
    </row>
    <row r="6" spans="1:8" ht="15.75" x14ac:dyDescent="0.3">
      <c r="A6" s="502" t="s">
        <v>101</v>
      </c>
      <c r="B6" s="502"/>
      <c r="C6" s="110"/>
      <c r="D6" s="110"/>
      <c r="E6" s="110"/>
      <c r="F6" s="110"/>
      <c r="G6" s="110"/>
      <c r="H6" s="110"/>
    </row>
    <row r="7" spans="1:8" ht="12.75" customHeight="1" x14ac:dyDescent="0.3">
      <c r="A7" s="111"/>
      <c r="B7" s="110"/>
      <c r="C7" s="110"/>
      <c r="D7" s="110"/>
      <c r="E7" s="110"/>
      <c r="F7" s="110"/>
      <c r="G7" s="110"/>
      <c r="H7" s="110"/>
    </row>
    <row r="8" spans="1:8" x14ac:dyDescent="0.3">
      <c r="A8" s="667" t="s">
        <v>25</v>
      </c>
      <c r="B8" s="169" t="s">
        <v>26</v>
      </c>
      <c r="C8" s="671" t="s">
        <v>44</v>
      </c>
      <c r="D8" s="665"/>
      <c r="E8" s="665" t="s">
        <v>45</v>
      </c>
      <c r="F8" s="665"/>
      <c r="G8" s="223"/>
      <c r="H8" s="108"/>
    </row>
    <row r="9" spans="1:8" x14ac:dyDescent="0.3">
      <c r="A9" s="667"/>
      <c r="B9" s="170"/>
      <c r="C9" s="148">
        <f>'1. Ramos Totales'!$B$9</f>
        <v>45657</v>
      </c>
      <c r="D9" s="148">
        <f>'1. Ramos Totales'!$C$9</f>
        <v>46022</v>
      </c>
      <c r="E9" s="149" t="s">
        <v>9</v>
      </c>
      <c r="F9" s="172" t="s">
        <v>10</v>
      </c>
      <c r="G9" s="217"/>
      <c r="H9" s="108"/>
    </row>
    <row r="10" spans="1:8" s="350" customFormat="1" ht="15.75" x14ac:dyDescent="0.3">
      <c r="A10" s="28">
        <v>1</v>
      </c>
      <c r="B10" s="195" t="str">
        <f>'ER diciembre 2024'!L9</f>
        <v>SEGUROS EQUIDAD</v>
      </c>
      <c r="C10" s="225">
        <f>'ER diciembre 2024'!L37/'Balance diciembre 2024'!M10</f>
        <v>0.10954760556766438</v>
      </c>
      <c r="D10" s="226">
        <f>'ER Diciembre 2025'!J37/'Balance Diciembre 2025'!L10</f>
        <v>0.11658927964347748</v>
      </c>
      <c r="E10" s="182">
        <f t="shared" ref="E10:E21" si="0">IFERROR(D10/C10-1,0)</f>
        <v>6.4279579999251268E-2</v>
      </c>
      <c r="F10" s="182">
        <f t="shared" ref="F10:F21" si="1">D10-C10</f>
        <v>7.0416740758131036E-3</v>
      </c>
      <c r="G10" s="355"/>
      <c r="H10" s="113"/>
    </row>
    <row r="11" spans="1:8" ht="15.75" x14ac:dyDescent="0.3">
      <c r="A11" s="173">
        <v>2</v>
      </c>
      <c r="B11" s="180" t="str">
        <f>'ER diciembre 2024'!E9</f>
        <v>SEGUROS DAVIVIENDA</v>
      </c>
      <c r="C11" s="225">
        <f>'ER diciembre 2024'!E37/'Balance diciembre 2024'!F10</f>
        <v>9.2252917527999717E-2</v>
      </c>
      <c r="D11" s="226">
        <f>'ER Diciembre 2025'!C37/'Balance Diciembre 2025'!E10</f>
        <v>0.10438457632847017</v>
      </c>
      <c r="E11" s="182">
        <f t="shared" si="0"/>
        <v>0.13150433748383494</v>
      </c>
      <c r="F11" s="182">
        <f t="shared" si="1"/>
        <v>1.2131658800470457E-2</v>
      </c>
      <c r="G11" s="220"/>
      <c r="H11" s="108"/>
    </row>
    <row r="12" spans="1:8" ht="15.75" x14ac:dyDescent="0.3">
      <c r="A12" s="202">
        <v>3</v>
      </c>
      <c r="B12" s="180" t="str">
        <f>'ER diciembre 2024'!N9</f>
        <v>SEGUROS LAFISE</v>
      </c>
      <c r="C12" s="225">
        <f>'ER diciembre 2024'!N37/'Balance diciembre 2024'!O10</f>
        <v>6.1410379908665054E-2</v>
      </c>
      <c r="D12" s="226">
        <f>'ER Diciembre 2025'!L37/'Balance Diciembre 2025'!N10</f>
        <v>0.10377077157547525</v>
      </c>
      <c r="E12" s="182">
        <f t="shared" si="0"/>
        <v>0.68979204704175934</v>
      </c>
      <c r="F12" s="182">
        <f t="shared" si="1"/>
        <v>4.2360391666810195E-2</v>
      </c>
      <c r="G12" s="220"/>
      <c r="H12" s="108"/>
    </row>
    <row r="13" spans="1:8" x14ac:dyDescent="0.3">
      <c r="A13" s="173">
        <v>4</v>
      </c>
      <c r="B13" s="180" t="str">
        <f>'ER diciembre 2024'!M9</f>
        <v>SEGUROS DEL PAÍS</v>
      </c>
      <c r="C13" s="225">
        <f>'ER diciembre 2024'!M37/'Balance diciembre 2024'!N10</f>
        <v>0.10100393511828375</v>
      </c>
      <c r="D13" s="225">
        <f>'ER Diciembre 2025'!K37/'Balance Diciembre 2025'!M10</f>
        <v>9.5943435970696725E-2</v>
      </c>
      <c r="E13" s="182">
        <f t="shared" si="0"/>
        <v>-5.0101999903872763E-2</v>
      </c>
      <c r="F13" s="182">
        <f t="shared" si="1"/>
        <v>-5.060499147587022E-3</v>
      </c>
      <c r="G13" s="220"/>
      <c r="H13" s="108"/>
    </row>
    <row r="14" spans="1:8" x14ac:dyDescent="0.3">
      <c r="A14" s="173">
        <v>5</v>
      </c>
      <c r="B14" s="180" t="str">
        <f>'ER diciembre 2024'!J9</f>
        <v>SEGUROS ATLÁNTIDA</v>
      </c>
      <c r="C14" s="225">
        <f>'ER diciembre 2024'!J37/'Balance diciembre 2024'!K10</f>
        <v>6.9320684669694405E-2</v>
      </c>
      <c r="D14" s="225">
        <f>'ER Diciembre 2025'!H37/'Balance Diciembre 2025'!J10</f>
        <v>9.3437124721595446E-2</v>
      </c>
      <c r="E14" s="182">
        <f t="shared" si="0"/>
        <v>0.34789673770265361</v>
      </c>
      <c r="F14" s="182">
        <f t="shared" si="1"/>
        <v>2.4116440051901042E-2</v>
      </c>
      <c r="G14" s="220"/>
      <c r="H14" s="108"/>
    </row>
    <row r="15" spans="1:8" ht="15.75" x14ac:dyDescent="0.3">
      <c r="A15" s="173">
        <v>6</v>
      </c>
      <c r="B15" s="180" t="str">
        <f>'ER diciembre 2024'!H9</f>
        <v>FICOHSA SEGUROS</v>
      </c>
      <c r="C15" s="225">
        <f>'ER diciembre 2024'!H37/'Balance diciembre 2024'!I10</f>
        <v>7.7727158065763427E-2</v>
      </c>
      <c r="D15" s="226">
        <f>'ER Diciembre 2025'!F37/'Balance Diciembre 2025'!H10</f>
        <v>7.8353044195760058E-2</v>
      </c>
      <c r="E15" s="182">
        <f t="shared" si="0"/>
        <v>8.0523480540364289E-3</v>
      </c>
      <c r="F15" s="182">
        <f t="shared" si="1"/>
        <v>6.2588612999663062E-4</v>
      </c>
      <c r="G15" s="220"/>
      <c r="H15" s="108"/>
    </row>
    <row r="16" spans="1:8" x14ac:dyDescent="0.3">
      <c r="A16" s="173">
        <v>7</v>
      </c>
      <c r="B16" s="203" t="str">
        <f>'ER diciembre 2024'!O9</f>
        <v>ASEGURADORA RURAL</v>
      </c>
      <c r="C16" s="227">
        <f>'ER diciembre 2024'!O37/'Balance diciembre 2024'!P10</f>
        <v>6.4223945653858167E-2</v>
      </c>
      <c r="D16" s="227">
        <f>'ER Diciembre 2025'!M37/'Balance Diciembre 2025'!O10</f>
        <v>7.6162609577258705E-2</v>
      </c>
      <c r="E16" s="158">
        <f t="shared" si="0"/>
        <v>0.18589116258513982</v>
      </c>
      <c r="F16" s="158">
        <f t="shared" si="1"/>
        <v>1.1938663923400539E-2</v>
      </c>
      <c r="G16" s="219"/>
      <c r="H16" s="108"/>
    </row>
    <row r="17" spans="1:8" s="542" customFormat="1" x14ac:dyDescent="0.3">
      <c r="A17" s="28">
        <v>8</v>
      </c>
      <c r="B17" s="180" t="str">
        <f>'ER diciembre 2024'!K9</f>
        <v>CREFISA</v>
      </c>
      <c r="C17" s="225">
        <f>'ER diciembre 2024'!K37/'Balance diciembre 2024'!L10</f>
        <v>6.9714735675382666E-2</v>
      </c>
      <c r="D17" s="225">
        <f>'ER Diciembre 2025'!I37/'Balance Diciembre 2025'!K10</f>
        <v>6.8727285680754147E-2</v>
      </c>
      <c r="E17" s="182">
        <f t="shared" si="0"/>
        <v>-1.4164150305703616E-2</v>
      </c>
      <c r="F17" s="182">
        <f t="shared" si="1"/>
        <v>-9.8744999462851979E-4</v>
      </c>
      <c r="G17" s="556"/>
      <c r="H17" s="558"/>
    </row>
    <row r="18" spans="1:8" s="4" customFormat="1" x14ac:dyDescent="0.3">
      <c r="A18" s="173">
        <v>9</v>
      </c>
      <c r="B18" s="180" t="str">
        <f>'ER diciembre 2024'!G9</f>
        <v>MAPFRE SEGUROS</v>
      </c>
      <c r="C18" s="225">
        <f>'ER diciembre 2024'!G37/'Balance diciembre 2024'!H10</f>
        <v>4.2678392786720427E-2</v>
      </c>
      <c r="D18" s="225">
        <f>'ER Diciembre 2025'!E37/'Balance Diciembre 2025'!G10</f>
        <v>5.70356169488574E-2</v>
      </c>
      <c r="E18" s="182">
        <f t="shared" si="0"/>
        <v>0.3364049868017589</v>
      </c>
      <c r="F18" s="182">
        <f t="shared" si="1"/>
        <v>1.4357224162136972E-2</v>
      </c>
      <c r="G18" s="220"/>
      <c r="H18" s="131"/>
    </row>
    <row r="19" spans="1:8" s="4" customFormat="1" x14ac:dyDescent="0.3">
      <c r="A19" s="173">
        <v>10</v>
      </c>
      <c r="B19" s="180" t="str">
        <f>'ER diciembre 2024'!F9</f>
        <v>PALIC</v>
      </c>
      <c r="C19" s="225">
        <f>'ER diciembre 2024'!F37/'Balance diciembre 2024'!G10</f>
        <v>2.5006898248363704E-2</v>
      </c>
      <c r="D19" s="225">
        <f>'ER Diciembre 2025'!D37/'Balance Diciembre 2025'!F10</f>
        <v>4.6037413916308279E-2</v>
      </c>
      <c r="E19" s="182">
        <f t="shared" si="0"/>
        <v>0.84098857279593564</v>
      </c>
      <c r="F19" s="182">
        <f t="shared" si="1"/>
        <v>2.1030515667944574E-2</v>
      </c>
      <c r="G19" s="220"/>
      <c r="H19" s="112"/>
    </row>
    <row r="20" spans="1:8" s="4" customFormat="1" x14ac:dyDescent="0.3">
      <c r="A20" s="173">
        <v>11</v>
      </c>
      <c r="B20" s="180" t="str">
        <f>'ER diciembre 2024'!I9</f>
        <v>SEGUROS CONTINENTAL</v>
      </c>
      <c r="C20" s="225">
        <f>'ER diciembre 2024'!I37/'Balance diciembre 2024'!J10</f>
        <v>2.4231053689231834E-2</v>
      </c>
      <c r="D20" s="225">
        <f>'ER Diciembre 2025'!G37/'Balance Diciembre 2025'!I10</f>
        <v>2.7939608166750566E-2</v>
      </c>
      <c r="E20" s="182">
        <f t="shared" si="0"/>
        <v>0.1530496578927889</v>
      </c>
      <c r="F20" s="182">
        <f t="shared" si="1"/>
        <v>3.7085544775187322E-3</v>
      </c>
      <c r="G20" s="220"/>
      <c r="H20" s="112"/>
    </row>
    <row r="21" spans="1:8" s="4" customFormat="1" x14ac:dyDescent="0.3">
      <c r="A21" s="173">
        <v>12</v>
      </c>
      <c r="B21" s="180" t="str">
        <f>'ER diciembre 2024'!P9</f>
        <v>ASSA CIA. DE SEGUROS</v>
      </c>
      <c r="C21" s="225">
        <f>'ER diciembre 2024'!P37/'Balance diciembre 2024'!Q10</f>
        <v>2.3225427392876013E-2</v>
      </c>
      <c r="D21" s="225">
        <f>'ER Diciembre 2025'!N37/'Balance Diciembre 2025'!P10</f>
        <v>1.1996109396607647E-2</v>
      </c>
      <c r="E21" s="182">
        <f t="shared" si="0"/>
        <v>-0.48349241571816071</v>
      </c>
      <c r="F21" s="182">
        <f t="shared" si="1"/>
        <v>-1.1229317996268365E-2</v>
      </c>
      <c r="G21" s="220"/>
      <c r="H21" s="112"/>
    </row>
    <row r="22" spans="1:8" x14ac:dyDescent="0.3">
      <c r="A22" s="665" t="s">
        <v>29</v>
      </c>
      <c r="B22" s="665"/>
      <c r="C22" s="188">
        <f>'ER diciembre 2024'!C37/'Balance diciembre 2024'!C10</f>
        <v>6.3775773354805221E-2</v>
      </c>
      <c r="D22" s="188">
        <f>'ER Diciembre 2025'!B37/'Balance Diciembre 2025'!B10</f>
        <v>7.3284168886347617E-2</v>
      </c>
      <c r="E22" s="188">
        <f>IFERROR(D22/C22-1,0)</f>
        <v>0.14909102675469144</v>
      </c>
      <c r="F22" s="188">
        <f>D22-C22</f>
        <v>9.5083955315423963E-3</v>
      </c>
      <c r="G22" s="220"/>
      <c r="H22" s="108"/>
    </row>
    <row r="23" spans="1:8" x14ac:dyDescent="0.3">
      <c r="A23" s="121" t="s">
        <v>102</v>
      </c>
      <c r="B23" s="108"/>
      <c r="C23" s="108"/>
      <c r="D23" s="108"/>
      <c r="E23" s="108"/>
      <c r="F23" s="108"/>
      <c r="G23" s="108"/>
      <c r="H23" s="108"/>
    </row>
  </sheetData>
  <sortState xmlns:xlrd2="http://schemas.microsoft.com/office/spreadsheetml/2017/richdata2" ref="B10:F21">
    <sortCondition descending="1" ref="D10:D21"/>
  </sortState>
  <mergeCells count="4">
    <mergeCell ref="A8:A9"/>
    <mergeCell ref="C8:D8"/>
    <mergeCell ref="E8:F8"/>
    <mergeCell ref="A22:B22"/>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5">
    <tabColor theme="0" tint="-4.9989318521683403E-2"/>
  </sheetPr>
  <dimension ref="A1:H23"/>
  <sheetViews>
    <sheetView showGridLines="0" topLeftCell="A3" zoomScaleNormal="100" workbookViewId="0">
      <selection activeCell="H16" sqref="H16"/>
    </sheetView>
  </sheetViews>
  <sheetFormatPr baseColWidth="10" defaultRowHeight="15" x14ac:dyDescent="0.3"/>
  <cols>
    <col min="1" max="1" width="6" customWidth="1"/>
    <col min="2" max="2" width="22.7109375" bestFit="1" customWidth="1"/>
    <col min="3" max="3" width="14.7109375" customWidth="1"/>
    <col min="4" max="5" width="18.140625" customWidth="1"/>
    <col min="6" max="7" width="13.140625" customWidth="1"/>
    <col min="8" max="8" width="17" customWidth="1"/>
  </cols>
  <sheetData>
    <row r="1" spans="1:8" x14ac:dyDescent="0.3">
      <c r="A1" s="494" t="s">
        <v>0</v>
      </c>
      <c r="B1" s="107"/>
      <c r="C1" s="107"/>
      <c r="D1" s="107"/>
      <c r="E1" s="107"/>
      <c r="F1" s="117"/>
      <c r="G1" s="107"/>
      <c r="H1" s="107"/>
    </row>
    <row r="2" spans="1:8" x14ac:dyDescent="0.3">
      <c r="A2" s="494" t="s">
        <v>42</v>
      </c>
      <c r="B2" s="107"/>
      <c r="C2" s="107"/>
      <c r="D2" s="107"/>
      <c r="E2" s="107"/>
      <c r="F2" s="107"/>
      <c r="G2" s="107"/>
      <c r="H2" s="107"/>
    </row>
    <row r="3" spans="1:8" x14ac:dyDescent="0.3">
      <c r="A3" s="494" t="str">
        <f>'1. Ramos Totales'!A3</f>
        <v>Al 31 de diciembre de 2025</v>
      </c>
      <c r="B3" s="107"/>
      <c r="C3" s="107"/>
      <c r="D3" s="107"/>
      <c r="E3" s="107"/>
      <c r="F3" s="107"/>
      <c r="G3" s="107"/>
      <c r="H3" s="107"/>
    </row>
    <row r="4" spans="1:8" x14ac:dyDescent="0.3">
      <c r="A4" s="494" t="s">
        <v>2</v>
      </c>
      <c r="B4" s="107"/>
      <c r="C4" s="107"/>
      <c r="D4" s="107"/>
      <c r="E4" s="107"/>
      <c r="F4" s="107"/>
      <c r="G4" s="107"/>
      <c r="H4" s="107"/>
    </row>
    <row r="5" spans="1:8" ht="7.5" customHeight="1" x14ac:dyDescent="0.3">
      <c r="A5" s="503"/>
      <c r="B5" s="110"/>
      <c r="C5" s="110"/>
      <c r="D5" s="110"/>
      <c r="E5" s="110"/>
      <c r="F5" s="110"/>
      <c r="G5" s="110"/>
      <c r="H5" s="110"/>
    </row>
    <row r="6" spans="1:8" ht="15.75" x14ac:dyDescent="0.3">
      <c r="A6" s="502" t="s">
        <v>103</v>
      </c>
      <c r="B6" s="108"/>
      <c r="C6" s="110"/>
      <c r="D6" s="110"/>
      <c r="E6" s="110"/>
      <c r="F6" s="110"/>
      <c r="G6" s="110"/>
      <c r="H6" s="110"/>
    </row>
    <row r="7" spans="1:8" ht="12.75" customHeight="1" x14ac:dyDescent="0.3">
      <c r="A7" s="111"/>
      <c r="B7" s="110"/>
      <c r="C7" s="110"/>
      <c r="D7" s="110"/>
      <c r="E7" s="110"/>
      <c r="F7" s="110"/>
      <c r="G7" s="110"/>
      <c r="H7" s="110"/>
    </row>
    <row r="8" spans="1:8" x14ac:dyDescent="0.3">
      <c r="A8" s="667" t="s">
        <v>25</v>
      </c>
      <c r="B8" s="169" t="s">
        <v>26</v>
      </c>
      <c r="C8" s="671" t="s">
        <v>44</v>
      </c>
      <c r="D8" s="665"/>
      <c r="E8" s="665" t="s">
        <v>45</v>
      </c>
      <c r="F8" s="665"/>
      <c r="G8" s="223"/>
      <c r="H8" s="108"/>
    </row>
    <row r="9" spans="1:8" x14ac:dyDescent="0.3">
      <c r="A9" s="667"/>
      <c r="B9" s="170"/>
      <c r="C9" s="148">
        <f>'1. Ramos Totales'!$B$9</f>
        <v>45657</v>
      </c>
      <c r="D9" s="148">
        <f>'1. Ramos Totales'!$C$9</f>
        <v>46022</v>
      </c>
      <c r="E9" s="149" t="s">
        <v>9</v>
      </c>
      <c r="F9" s="172" t="s">
        <v>10</v>
      </c>
      <c r="G9" s="217"/>
      <c r="H9" s="108"/>
    </row>
    <row r="10" spans="1:8" ht="15.75" x14ac:dyDescent="0.3">
      <c r="A10" s="173">
        <v>1</v>
      </c>
      <c r="B10" s="195" t="str">
        <f>'ER diciembre 2024'!E9</f>
        <v>SEGUROS DAVIVIENDA</v>
      </c>
      <c r="C10" s="225">
        <f>'Índice Combinado Diciembre 2024'!C61</f>
        <v>0.79576221539177638</v>
      </c>
      <c r="D10" s="226">
        <f>'Índice Combinado Dic. 2025  '!C63</f>
        <v>0.79682008110438851</v>
      </c>
      <c r="E10" s="182">
        <f t="shared" ref="E10:E21" si="0">IFERROR(D10/C10-1,0)</f>
        <v>1.3293741423641148E-3</v>
      </c>
      <c r="F10" s="182">
        <f t="shared" ref="F10:F21" si="1">D10-C10</f>
        <v>1.0578657126121271E-3</v>
      </c>
      <c r="G10" s="224"/>
      <c r="H10" s="108"/>
    </row>
    <row r="11" spans="1:8" x14ac:dyDescent="0.3">
      <c r="A11" s="173">
        <v>2</v>
      </c>
      <c r="B11" s="180" t="str">
        <f>'ER diciembre 2024'!M9</f>
        <v>SEGUROS DEL PAÍS</v>
      </c>
      <c r="C11" s="225">
        <f>'Índice Combinado Diciembre 2024'!J61</f>
        <v>0.72982274705397809</v>
      </c>
      <c r="D11" s="225">
        <f>'Índice Combinado Dic. 2025  '!J63</f>
        <v>0.79983730410438691</v>
      </c>
      <c r="E11" s="182">
        <f t="shared" si="0"/>
        <v>9.5933645988743654E-2</v>
      </c>
      <c r="F11" s="182">
        <f t="shared" si="1"/>
        <v>7.0014557050408821E-2</v>
      </c>
      <c r="G11" s="220"/>
      <c r="H11" s="108"/>
    </row>
    <row r="12" spans="1:8" ht="15.75" x14ac:dyDescent="0.3">
      <c r="A12" s="202">
        <v>3</v>
      </c>
      <c r="B12" s="180" t="str">
        <f>'ER diciembre 2024'!N9</f>
        <v>SEGUROS LAFISE</v>
      </c>
      <c r="C12" s="225">
        <f>'Índice Combinado Diciembre 2024'!K61</f>
        <v>0.90250056658387634</v>
      </c>
      <c r="D12" s="226">
        <f>'Índice Combinado Dic. 2025  '!K63</f>
        <v>0.8060543255209488</v>
      </c>
      <c r="E12" s="182">
        <f t="shared" si="0"/>
        <v>-0.10686557397741425</v>
      </c>
      <c r="F12" s="182">
        <f t="shared" si="1"/>
        <v>-9.644624106292754E-2</v>
      </c>
      <c r="G12" s="220"/>
      <c r="H12" s="112"/>
    </row>
    <row r="13" spans="1:8" x14ac:dyDescent="0.3">
      <c r="A13" s="173">
        <v>4</v>
      </c>
      <c r="B13" s="180" t="str">
        <f>'ER diciembre 2024'!P9</f>
        <v>ASSA CIA. DE SEGUROS</v>
      </c>
      <c r="C13" s="225">
        <f>'Índice Combinado Diciembre 2024'!M61</f>
        <v>0.73727793526876972</v>
      </c>
      <c r="D13" s="225">
        <f>'Índice Combinado Dic. 2025  '!M63</f>
        <v>0.85991864994207989</v>
      </c>
      <c r="E13" s="182">
        <f t="shared" si="0"/>
        <v>0.16634258100861565</v>
      </c>
      <c r="F13" s="182">
        <f t="shared" si="1"/>
        <v>0.12264071467331017</v>
      </c>
      <c r="G13" s="220"/>
      <c r="H13" s="490"/>
    </row>
    <row r="14" spans="1:8" x14ac:dyDescent="0.3">
      <c r="A14" s="173">
        <v>5</v>
      </c>
      <c r="B14" s="180" t="str">
        <f>'ER diciembre 2024'!J9</f>
        <v>SEGUROS ATLÁNTIDA</v>
      </c>
      <c r="C14" s="225">
        <f>'Índice Combinado Diciembre 2024'!G61</f>
        <v>0.8994182229446126</v>
      </c>
      <c r="D14" s="225">
        <f>'Índice Combinado Dic. 2025  '!G63</f>
        <v>0.86769213752205288</v>
      </c>
      <c r="E14" s="182">
        <f t="shared" si="0"/>
        <v>-3.5274007812173824E-2</v>
      </c>
      <c r="F14" s="182">
        <f t="shared" si="1"/>
        <v>-3.1726085422559724E-2</v>
      </c>
      <c r="G14" s="220"/>
      <c r="H14" s="112"/>
    </row>
    <row r="15" spans="1:8" s="350" customFormat="1" x14ac:dyDescent="0.3">
      <c r="A15" s="28">
        <v>6</v>
      </c>
      <c r="B15" s="180" t="str">
        <f>'ER diciembre 2024'!K9</f>
        <v>CREFISA</v>
      </c>
      <c r="C15" s="225">
        <f>'Índice Combinado Diciembre 2024'!H61</f>
        <v>0.85140715468583683</v>
      </c>
      <c r="D15" s="225">
        <f>'Índice Combinado Dic. 2025  '!H63</f>
        <v>0.87000828906089178</v>
      </c>
      <c r="E15" s="182">
        <f t="shared" si="0"/>
        <v>2.1847519453743081E-2</v>
      </c>
      <c r="F15" s="182">
        <f t="shared" si="1"/>
        <v>1.8601134375054951E-2</v>
      </c>
      <c r="G15" s="219"/>
      <c r="H15" s="113"/>
    </row>
    <row r="16" spans="1:8" ht="15.75" x14ac:dyDescent="0.3">
      <c r="A16" s="173">
        <v>7</v>
      </c>
      <c r="B16" s="180" t="str">
        <f>'ER diciembre 2024'!H9</f>
        <v>FICOHSA SEGUROS</v>
      </c>
      <c r="C16" s="225">
        <f>'Índice Combinado Diciembre 2024'!F61</f>
        <v>0.84091214432869821</v>
      </c>
      <c r="D16" s="226">
        <f>'Índice Combinado Dic. 2025  '!F63</f>
        <v>0.87049844182478664</v>
      </c>
      <c r="E16" s="182">
        <f t="shared" si="0"/>
        <v>3.5183577375621278E-2</v>
      </c>
      <c r="F16" s="182">
        <f t="shared" si="1"/>
        <v>2.9586297496088432E-2</v>
      </c>
      <c r="G16" s="219"/>
      <c r="H16" s="108"/>
    </row>
    <row r="17" spans="1:8" ht="15.75" x14ac:dyDescent="0.3">
      <c r="A17" s="173">
        <v>8</v>
      </c>
      <c r="B17" s="180" t="str">
        <f>'ER diciembre 2024'!L9</f>
        <v>SEGUROS EQUIDAD</v>
      </c>
      <c r="C17" s="225">
        <f>'Índice Combinado Diciembre 2024'!I61</f>
        <v>0.82664617278608488</v>
      </c>
      <c r="D17" s="226">
        <f>'Índice Combinado Dic. 2025  '!I63</f>
        <v>0.88122252079727514</v>
      </c>
      <c r="E17" s="182">
        <f t="shared" si="0"/>
        <v>6.6021412555808512E-2</v>
      </c>
      <c r="F17" s="182">
        <f t="shared" si="1"/>
        <v>5.4576348011190268E-2</v>
      </c>
      <c r="G17" s="220"/>
      <c r="H17" s="108"/>
    </row>
    <row r="18" spans="1:8" s="4" customFormat="1" x14ac:dyDescent="0.3">
      <c r="A18" s="173">
        <v>9</v>
      </c>
      <c r="B18" s="180" t="str">
        <f>'ER diciembre 2024'!G9</f>
        <v>MAPFRE SEGUROS</v>
      </c>
      <c r="C18" s="225">
        <f>'Índice Combinado Diciembre 2024'!E61</f>
        <v>0.91412964709875566</v>
      </c>
      <c r="D18" s="225">
        <f>'Índice Combinado Dic. 2025  '!E63</f>
        <v>0.88524156387728148</v>
      </c>
      <c r="E18" s="182">
        <f t="shared" si="0"/>
        <v>-3.1601735391865393E-2</v>
      </c>
      <c r="F18" s="182">
        <f t="shared" si="1"/>
        <v>-2.8888083221474181E-2</v>
      </c>
      <c r="G18" s="220"/>
      <c r="H18" s="131"/>
    </row>
    <row r="19" spans="1:8" s="4" customFormat="1" x14ac:dyDescent="0.3">
      <c r="A19" s="173">
        <v>10</v>
      </c>
      <c r="B19" s="203" t="str">
        <f>'ER diciembre 2024'!O9</f>
        <v>ASEGURADORA RURAL</v>
      </c>
      <c r="C19" s="227">
        <f>'Índice Combinado Diciembre 2024'!L61</f>
        <v>0.87116826990073015</v>
      </c>
      <c r="D19" s="227">
        <f>'Índice Combinado Dic. 2025  '!L63</f>
        <v>0.9236371728627677</v>
      </c>
      <c r="E19" s="158">
        <f t="shared" si="0"/>
        <v>6.0228207081068685E-2</v>
      </c>
      <c r="F19" s="158">
        <f t="shared" si="1"/>
        <v>5.2468902962037545E-2</v>
      </c>
      <c r="G19" s="220"/>
      <c r="H19" s="112"/>
    </row>
    <row r="20" spans="1:8" s="541" customFormat="1" x14ac:dyDescent="0.3">
      <c r="A20" s="28">
        <v>11</v>
      </c>
      <c r="B20" s="180" t="str">
        <f>'ER diciembre 2024'!F9</f>
        <v>PALIC</v>
      </c>
      <c r="C20" s="225">
        <f>'Índice Combinado Diciembre 2024'!D61</f>
        <v>0.94608956719974435</v>
      </c>
      <c r="D20" s="225">
        <f>'Índice Combinado Dic. 2025  '!D63</f>
        <v>0.93472716526397104</v>
      </c>
      <c r="E20" s="182">
        <f t="shared" si="0"/>
        <v>-1.2009858611382818E-2</v>
      </c>
      <c r="F20" s="182">
        <f t="shared" si="1"/>
        <v>-1.1362401935773314E-2</v>
      </c>
      <c r="G20" s="556"/>
      <c r="H20" s="557"/>
    </row>
    <row r="21" spans="1:8" s="4" customFormat="1" x14ac:dyDescent="0.3">
      <c r="A21" s="173">
        <v>12</v>
      </c>
      <c r="B21" s="180" t="str">
        <f>'ER diciembre 2024'!I9</f>
        <v>SEGUROS CONTINENTAL</v>
      </c>
      <c r="C21" s="225">
        <f>'Índice Combinado Diciembre 2024'!N61</f>
        <v>1.0553142457053459</v>
      </c>
      <c r="D21" s="225">
        <f>'Índice Combinado Dic. 2025  '!N63</f>
        <v>1.0871253509512038</v>
      </c>
      <c r="E21" s="182">
        <f t="shared" si="0"/>
        <v>3.0143727686151145E-2</v>
      </c>
      <c r="F21" s="182">
        <f t="shared" si="1"/>
        <v>3.181110524585784E-2</v>
      </c>
      <c r="G21" s="220"/>
      <c r="H21" s="112"/>
    </row>
    <row r="22" spans="1:8" x14ac:dyDescent="0.3">
      <c r="A22" s="665" t="s">
        <v>29</v>
      </c>
      <c r="B22" s="665"/>
      <c r="C22" s="188">
        <f>'Índice Combinado Diciembre 2024'!O61</f>
        <v>0.87108368821663096</v>
      </c>
      <c r="D22" s="188">
        <f>'Índice Combinado Dic. 2025  '!O63</f>
        <v>0.87624778856089192</v>
      </c>
      <c r="E22" s="188">
        <f>IFERROR(D22/C22-1,0)</f>
        <v>5.9283630426296696E-3</v>
      </c>
      <c r="F22" s="188">
        <f>D22-C22</f>
        <v>5.1641003442609579E-3</v>
      </c>
      <c r="G22" s="220"/>
      <c r="H22" s="108"/>
    </row>
    <row r="23" spans="1:8" x14ac:dyDescent="0.3">
      <c r="A23" s="121" t="s">
        <v>102</v>
      </c>
      <c r="B23" s="108"/>
      <c r="C23" s="108"/>
      <c r="D23" s="108"/>
      <c r="E23" s="108"/>
      <c r="F23" s="108"/>
      <c r="G23" s="108"/>
      <c r="H23" s="108"/>
    </row>
  </sheetData>
  <sortState xmlns:xlrd2="http://schemas.microsoft.com/office/spreadsheetml/2017/richdata2" ref="B10:F21">
    <sortCondition ref="D10:D21"/>
  </sortState>
  <mergeCells count="4">
    <mergeCell ref="A8:A9"/>
    <mergeCell ref="C8:D8"/>
    <mergeCell ref="E8:F8"/>
    <mergeCell ref="A22:B22"/>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1"/>
  <dimension ref="A1:Q21"/>
  <sheetViews>
    <sheetView showGridLines="0" zoomScaleNormal="100" workbookViewId="0">
      <selection activeCell="E24" sqref="E24"/>
    </sheetView>
  </sheetViews>
  <sheetFormatPr baseColWidth="10" defaultRowHeight="15" x14ac:dyDescent="0.3"/>
  <cols>
    <col min="1" max="1" width="23.140625" customWidth="1"/>
    <col min="2" max="2" width="10" customWidth="1"/>
    <col min="3" max="3" width="13.42578125" customWidth="1"/>
    <col min="4" max="13" width="10" customWidth="1"/>
    <col min="14" max="14" width="11.42578125" customWidth="1"/>
    <col min="16" max="16" width="8.7109375" bestFit="1" customWidth="1"/>
  </cols>
  <sheetData>
    <row r="1" spans="1:17" x14ac:dyDescent="0.3">
      <c r="A1" s="676" t="s">
        <v>104</v>
      </c>
      <c r="B1" s="676"/>
      <c r="C1" s="676"/>
      <c r="D1" s="107"/>
      <c r="E1" s="107"/>
      <c r="F1" s="107"/>
      <c r="G1" s="108"/>
      <c r="H1" s="108"/>
      <c r="I1" s="108"/>
      <c r="J1" s="108"/>
      <c r="K1" s="108"/>
    </row>
    <row r="2" spans="1:17" x14ac:dyDescent="0.3">
      <c r="A2" s="521" t="str">
        <f>'1. Ramos Totales'!A3</f>
        <v>Al 31 de diciembre de 2025</v>
      </c>
      <c r="B2" s="521"/>
      <c r="C2" s="521"/>
      <c r="D2" s="107"/>
      <c r="E2" s="107"/>
      <c r="F2" s="107"/>
      <c r="G2" s="108"/>
      <c r="H2" s="108"/>
      <c r="I2" s="108"/>
      <c r="J2" s="108"/>
      <c r="K2" s="108"/>
    </row>
    <row r="3" spans="1:17" x14ac:dyDescent="0.3">
      <c r="B3" s="107"/>
      <c r="C3" s="107"/>
      <c r="D3" s="107"/>
      <c r="E3" s="107"/>
      <c r="F3" s="117"/>
      <c r="G3" s="270"/>
      <c r="H3" s="108"/>
      <c r="I3" s="270"/>
      <c r="J3" s="108"/>
      <c r="K3" s="270"/>
    </row>
    <row r="4" spans="1:17" ht="12" customHeight="1" thickBot="1" x14ac:dyDescent="0.35">
      <c r="A4" s="109"/>
      <c r="B4" s="110"/>
      <c r="C4" s="110"/>
      <c r="D4" s="110"/>
      <c r="E4" s="110"/>
      <c r="F4" s="110"/>
      <c r="G4" s="108"/>
      <c r="H4" s="108"/>
      <c r="I4" s="108"/>
      <c r="J4" s="108"/>
      <c r="K4" s="108"/>
    </row>
    <row r="5" spans="1:17" ht="26.1" customHeight="1" x14ac:dyDescent="0.3">
      <c r="A5" s="283" t="s">
        <v>105</v>
      </c>
      <c r="B5" s="674" t="s">
        <v>106</v>
      </c>
      <c r="C5" s="674"/>
      <c r="D5" s="674" t="s">
        <v>371</v>
      </c>
      <c r="E5" s="674"/>
      <c r="F5" s="674" t="s">
        <v>108</v>
      </c>
      <c r="G5" s="674"/>
      <c r="H5" s="674" t="s">
        <v>109</v>
      </c>
      <c r="I5" s="674"/>
      <c r="J5" s="674" t="s">
        <v>110</v>
      </c>
      <c r="K5" s="675"/>
      <c r="L5" s="674" t="s">
        <v>111</v>
      </c>
      <c r="M5" s="675"/>
      <c r="N5" s="674" t="s">
        <v>162</v>
      </c>
      <c r="O5" s="675"/>
      <c r="P5" s="674" t="s">
        <v>369</v>
      </c>
      <c r="Q5" s="674"/>
    </row>
    <row r="6" spans="1:17" x14ac:dyDescent="0.3">
      <c r="A6" s="265"/>
      <c r="B6" s="134" t="s">
        <v>112</v>
      </c>
      <c r="C6" s="134" t="s">
        <v>113</v>
      </c>
      <c r="D6" s="134" t="s">
        <v>112</v>
      </c>
      <c r="E6" s="134" t="s">
        <v>113</v>
      </c>
      <c r="F6" s="134" t="s">
        <v>112</v>
      </c>
      <c r="G6" s="134" t="s">
        <v>113</v>
      </c>
      <c r="H6" s="134" t="s">
        <v>114</v>
      </c>
      <c r="I6" s="134" t="s">
        <v>113</v>
      </c>
      <c r="J6" s="134" t="s">
        <v>114</v>
      </c>
      <c r="K6" s="134" t="s">
        <v>113</v>
      </c>
      <c r="L6" s="134" t="s">
        <v>114</v>
      </c>
      <c r="M6" s="134" t="s">
        <v>113</v>
      </c>
      <c r="N6" s="134" t="s">
        <v>114</v>
      </c>
      <c r="O6" s="134" t="s">
        <v>113</v>
      </c>
      <c r="P6" s="134" t="s">
        <v>112</v>
      </c>
      <c r="Q6" s="134" t="s">
        <v>113</v>
      </c>
    </row>
    <row r="7" spans="1:17" x14ac:dyDescent="0.3">
      <c r="A7" s="266" t="str">
        <f>VLOOKUP(C7,'8. Primas y Siniestros Totales'!$A$10:$D$21,2,FALSE)</f>
        <v>FICOHSA SEGUROS</v>
      </c>
      <c r="B7" s="136">
        <f>VLOOKUP(C7,'8. Primas y Siniestros Totales'!$A$10:$D$21,4,FALSE)</f>
        <v>4850.8032757700003</v>
      </c>
      <c r="C7" s="135">
        <v>1</v>
      </c>
      <c r="D7" s="136">
        <f>VLOOKUP(A7,'5. Activos Totales'!$B$10:$L$21,3,FALSE)</f>
        <v>4511.8655646200004</v>
      </c>
      <c r="E7" s="135">
        <f>VLOOKUP(A7,'5. Activos Totales'!$B$10:$L$21,11,FALSE)</f>
        <v>1</v>
      </c>
      <c r="F7" s="137">
        <f>VLOOKUP(A7,'3. Reserva Técnica y Matemática'!$B$10:$L$21,3,FALSE)</f>
        <v>751.81917146000001</v>
      </c>
      <c r="G7" s="135">
        <f>VLOOKUP(A7,'3. Reserva Técnica y Matemática'!$B$10:$L$21,11,FALSE)</f>
        <v>4</v>
      </c>
      <c r="H7" s="138">
        <f>VLOOKUP(A7,'6. Patrimonio'!$B$10:$L$21,3,FALSE)</f>
        <v>1521.4582088</v>
      </c>
      <c r="I7" s="135">
        <f>VLOOKUP(A7,'6. Patrimonio'!$B$10:$L$21,11,FALSE)</f>
        <v>1</v>
      </c>
      <c r="J7" s="139">
        <f>VLOOKUP(A7,'1. Utilidad'!$B$10:$K$21,3,FALSE)</f>
        <v>353.51840198999884</v>
      </c>
      <c r="K7" s="135">
        <f>VLOOKUP(A7,'1. Utilidad'!$B$10:$K$21,10,FALSE)</f>
        <v>1</v>
      </c>
      <c r="L7" s="273">
        <f>VLOOKUP(A7,'12. ROE'!$B$10:$G$21,3,FALSE)</f>
        <v>0.23235498677865415</v>
      </c>
      <c r="M7" s="135">
        <f>VLOOKUP(A7,'12. ROE'!$B$10:$G$21,6,FALSE)</f>
        <v>5</v>
      </c>
      <c r="N7" s="461">
        <f>VLOOKUP(A7,'7.1 Primas Retenidas'!$B$10:$L$22,3,FALSE)</f>
        <v>1377.4589492600001</v>
      </c>
      <c r="O7" s="135">
        <f>VLOOKUP(A7,'7.1 Primas Retenidas'!$B$10:$L$21,11,FALSE)</f>
        <v>2</v>
      </c>
      <c r="P7" s="136">
        <f>VLOOKUP(A7,'5. Activos Totales'!$B$30:$L$41,3,FALSE)</f>
        <v>8192.3152759200002</v>
      </c>
      <c r="Q7" s="135">
        <f>VLOOKUP(A7,'5. Activos Totales'!$B$30:$L$41,11,FALSE)</f>
        <v>1</v>
      </c>
    </row>
    <row r="8" spans="1:17" x14ac:dyDescent="0.3">
      <c r="A8" s="266" t="str">
        <f>VLOOKUP(C8,'8. Primas y Siniestros Totales'!$A$10:$D$21,2,FALSE)</f>
        <v>MAPFRE SEGUROS</v>
      </c>
      <c r="B8" s="141">
        <f>VLOOKUP(C8,'8. Primas y Siniestros Totales'!$A$10:$D$21,4,FALSE)</f>
        <v>3127.48645773</v>
      </c>
      <c r="C8" s="140">
        <v>2</v>
      </c>
      <c r="D8" s="141">
        <f>VLOOKUP(A8,'5. Activos Totales'!$B$10:$L$21,3,FALSE)</f>
        <v>3004.2271197599998</v>
      </c>
      <c r="E8" s="140">
        <f>VLOOKUP(A8,'5. Activos Totales'!$B$10:$L$21,11,FALSE)</f>
        <v>5</v>
      </c>
      <c r="F8" s="122">
        <f>VLOOKUP(A8,'3. Reserva Técnica y Matemática'!$B$10:$L$21,3,FALSE)</f>
        <v>606.8360355399999</v>
      </c>
      <c r="G8" s="140">
        <f>VLOOKUP(A8,'3. Reserva Técnica y Matemática'!$B$10:$L$21,11,FALSE)</f>
        <v>5</v>
      </c>
      <c r="H8" s="127">
        <f>VLOOKUP(A8,'6. Patrimonio'!$B$10:$L$21,3,FALSE)</f>
        <v>900.72080679999988</v>
      </c>
      <c r="I8" s="140">
        <f>VLOOKUP(A8,'6. Patrimonio'!$B$10:$L$21,11,FALSE)</f>
        <v>4</v>
      </c>
      <c r="J8" s="115">
        <f>VLOOKUP(A8,'1. Utilidad'!$B$10:$K$21,3,FALSE)</f>
        <v>171.34794723000047</v>
      </c>
      <c r="K8" s="140">
        <f>VLOOKUP(A8,'1. Utilidad'!$B$10:$K$21,10,FALSE)</f>
        <v>6</v>
      </c>
      <c r="L8" s="274">
        <f>VLOOKUP(A8,'12. ROE'!$B$10:$G$21,3,FALSE)</f>
        <v>0.1902342500988182</v>
      </c>
      <c r="M8" s="140">
        <f>VLOOKUP(A8,'12. ROE'!$B$10:$G$21,6,FALSE)</f>
        <v>9</v>
      </c>
      <c r="N8" s="462">
        <f>VLOOKUP(A8,'7.1 Primas Retenidas'!$B$10:$L$22,3,FALSE)</f>
        <v>903.82023976000028</v>
      </c>
      <c r="O8" s="140">
        <f>VLOOKUP(A8,'7.1 Primas Retenidas'!$B$10:$L$21,11,FALSE)</f>
        <v>5</v>
      </c>
      <c r="P8" s="141">
        <f>VLOOKUP(A8,'5. Activos Totales'!$B$30:$L$41,3,FALSE)</f>
        <v>7102.3868755599997</v>
      </c>
      <c r="Q8" s="140">
        <f>VLOOKUP(A8,'5. Activos Totales'!$B$30:$L$41,11,FALSE)</f>
        <v>2</v>
      </c>
    </row>
    <row r="9" spans="1:17" x14ac:dyDescent="0.3">
      <c r="A9" s="266" t="str">
        <f>VLOOKUP(C9,'8. Primas y Siniestros Totales'!$A$10:$D$21,2,FALSE)</f>
        <v>SEGUROS ATLÁNTIDA</v>
      </c>
      <c r="B9" s="136">
        <f>VLOOKUP(C9,'8. Primas y Siniestros Totales'!$A$10:$D$21,4,FALSE)</f>
        <v>2738.0758226300004</v>
      </c>
      <c r="C9" s="135">
        <v>3</v>
      </c>
      <c r="D9" s="136">
        <f>VLOOKUP(A9,'5. Activos Totales'!$B$10:$L$21,3,FALSE)</f>
        <v>3731.5197039600002</v>
      </c>
      <c r="E9" s="135">
        <f>VLOOKUP(A9,'5. Activos Totales'!$B$10:$L$21,11,FALSE)</f>
        <v>3</v>
      </c>
      <c r="F9" s="137">
        <f>VLOOKUP(A9,'3. Reserva Técnica y Matemática'!$B$10:$L$21,3,FALSE)</f>
        <v>956.41611634000003</v>
      </c>
      <c r="G9" s="135">
        <f>VLOOKUP(A9,'3. Reserva Técnica y Matemática'!$B$10:$L$21,11,FALSE)</f>
        <v>3</v>
      </c>
      <c r="H9" s="138">
        <f>VLOOKUP(A9,'6. Patrimonio'!$B$10:$L$21,3,FALSE)</f>
        <v>1476.22055454</v>
      </c>
      <c r="I9" s="135">
        <f>VLOOKUP(A9,'6. Patrimonio'!$B$10:$L$21,11,FALSE)</f>
        <v>2</v>
      </c>
      <c r="J9" s="142">
        <f>VLOOKUP(A9,'1. Utilidad'!$B$10:$K$21,3,FALSE)</f>
        <v>348.66247198000144</v>
      </c>
      <c r="K9" s="135">
        <f>VLOOKUP(A9,'1. Utilidad'!$B$10:$K$21,10,FALSE)</f>
        <v>2</v>
      </c>
      <c r="L9" s="275">
        <f>VLOOKUP(A9,'12. ROE'!$B$10:$G$21,3,FALSE)</f>
        <v>0.2361858943825958</v>
      </c>
      <c r="M9" s="135">
        <f>VLOOKUP(A9,'12. ROE'!$B$10:$G$21,6,FALSE)</f>
        <v>3</v>
      </c>
      <c r="N9" s="463">
        <f>VLOOKUP(A9,'7.1 Primas Retenidas'!$B$10:$L$22,3,FALSE)</f>
        <v>1585.3108099400004</v>
      </c>
      <c r="O9" s="135">
        <f>VLOOKUP(A9,'7.1 Primas Retenidas'!$B$10:$L$21,11,FALSE)</f>
        <v>1</v>
      </c>
      <c r="P9" s="136">
        <f>VLOOKUP(A9,'5. Activos Totales'!$B$30:$L$41,3,FALSE)</f>
        <v>4827.5553355799993</v>
      </c>
      <c r="Q9" s="135">
        <f>VLOOKUP(A9,'5. Activos Totales'!$B$30:$L$41,11,FALSE)</f>
        <v>3</v>
      </c>
    </row>
    <row r="10" spans="1:17" x14ac:dyDescent="0.3">
      <c r="A10" s="266" t="str">
        <f>VLOOKUP(C10,'8. Primas y Siniestros Totales'!$A$10:$D$21,2,FALSE)</f>
        <v>CREFISA</v>
      </c>
      <c r="B10" s="141">
        <f>VLOOKUP(C10,'8. Primas y Siniestros Totales'!$A$10:$D$21,4,FALSE)</f>
        <v>1663.4790588599999</v>
      </c>
      <c r="C10" s="140">
        <v>4</v>
      </c>
      <c r="D10" s="141">
        <f>VLOOKUP(A10,'5. Activos Totales'!$B$10:$L$21,3,FALSE)</f>
        <v>1918.7526529500001</v>
      </c>
      <c r="E10" s="140">
        <f>VLOOKUP(A10,'5. Activos Totales'!$B$10:$L$21,11,FALSE)</f>
        <v>6</v>
      </c>
      <c r="F10" s="122">
        <f>VLOOKUP(A10,'3. Reserva Técnica y Matemática'!$B$10:$L$21,3,FALSE)</f>
        <v>408.75219897000005</v>
      </c>
      <c r="G10" s="140">
        <f>VLOOKUP(A10,'3. Reserva Técnica y Matemática'!$B$10:$L$21,11,FALSE)</f>
        <v>6</v>
      </c>
      <c r="H10" s="127">
        <f>VLOOKUP(A10,'6. Patrimonio'!$B$10:$L$21,3,FALSE)</f>
        <v>636.08741343999998</v>
      </c>
      <c r="I10" s="140">
        <f>VLOOKUP(A10,'6. Patrimonio'!$B$10:$L$21,11,FALSE)</f>
        <v>9</v>
      </c>
      <c r="J10" s="115">
        <f>VLOOKUP(A10,'1. Utilidad'!$B$10:$K$21,3,FALSE)</f>
        <v>131.87066172999957</v>
      </c>
      <c r="K10" s="140">
        <f>VLOOKUP(A10,'1. Utilidad'!$B$10:$K$21,10,FALSE)</f>
        <v>8</v>
      </c>
      <c r="L10" s="274">
        <f>VLOOKUP(A10,'12. ROE'!$B$10:$G$21,3,FALSE)</f>
        <v>0.20731531381329316</v>
      </c>
      <c r="M10" s="140">
        <f>VLOOKUP(A10,'12. ROE'!$B$10:$G$21,6,FALSE)</f>
        <v>8</v>
      </c>
      <c r="N10" s="462">
        <f>VLOOKUP(A10,'7.1 Primas Retenidas'!$B$10:$L$22,3,FALSE)</f>
        <v>734.98424217000002</v>
      </c>
      <c r="O10" s="140">
        <f>VLOOKUP(A10,'7.1 Primas Retenidas'!$B$10:$L$21,11,FALSE)</f>
        <v>6</v>
      </c>
      <c r="P10" s="141">
        <f>VLOOKUP(A10,'5. Activos Totales'!$B$30:$L$41,3,FALSE)</f>
        <v>4670.7495410500005</v>
      </c>
      <c r="Q10" s="140">
        <f>VLOOKUP(A10,'5. Activos Totales'!$B$30:$L$41,11,FALSE)</f>
        <v>4</v>
      </c>
    </row>
    <row r="11" spans="1:17" x14ac:dyDescent="0.3">
      <c r="A11" s="266" t="str">
        <f>VLOOKUP(C11,'8. Primas y Siniestros Totales'!$A$10:$D$21,2,FALSE)</f>
        <v>SEGUROS DAVIVIENDA</v>
      </c>
      <c r="B11" s="136">
        <f>VLOOKUP(C11,'8. Primas y Siniestros Totales'!$A$10:$D$21,4,FALSE)</f>
        <v>1624.8432821099998</v>
      </c>
      <c r="C11" s="135">
        <v>5</v>
      </c>
      <c r="D11" s="136">
        <f>VLOOKUP(A11,'5. Activos Totales'!$B$10:$L$21,3,FALSE)</f>
        <v>3145.76305456</v>
      </c>
      <c r="E11" s="135">
        <f>VLOOKUP(A11,'5. Activos Totales'!$B$10:$L$21,11,FALSE)</f>
        <v>4</v>
      </c>
      <c r="F11" s="137">
        <f>VLOOKUP(A11,'3. Reserva Técnica y Matemática'!$B$10:$L$21,3,FALSE)</f>
        <v>1068.20305661</v>
      </c>
      <c r="G11" s="135">
        <f>VLOOKUP(A11,'3. Reserva Técnica y Matemática'!$B$10:$L$21,11,FALSE)</f>
        <v>2</v>
      </c>
      <c r="H11" s="138">
        <f>VLOOKUP(A11,'6. Patrimonio'!$B$10:$L$21,3,FALSE)</f>
        <v>1364.4463742200001</v>
      </c>
      <c r="I11" s="135">
        <f>VLOOKUP(A11,'6. Patrimonio'!$B$10:$L$21,11,FALSE)</f>
        <v>3</v>
      </c>
      <c r="J11" s="139">
        <f>VLOOKUP(A11,'1. Utilidad'!$B$10:$K$21,3,FALSE)</f>
        <v>328.36914367999981</v>
      </c>
      <c r="K11" s="135">
        <f>VLOOKUP(A11,'1. Utilidad'!$B$10:$K$21,10,FALSE)</f>
        <v>3</v>
      </c>
      <c r="L11" s="273">
        <f>VLOOKUP(A11,'12. ROE'!$B$10:$G$21,3,FALSE)</f>
        <v>0.24066108414683238</v>
      </c>
      <c r="M11" s="135">
        <f>VLOOKUP(A11,'12. ROE'!$B$10:$G$21,6,FALSE)</f>
        <v>2</v>
      </c>
      <c r="N11" s="461">
        <f>VLOOKUP(A11,'7.1 Primas Retenidas'!$B$10:$L$22,3,FALSE)</f>
        <v>1105.3255467399997</v>
      </c>
      <c r="O11" s="135">
        <f>VLOOKUP(A11,'7.1 Primas Retenidas'!$B$10:$L$21,11,FALSE)</f>
        <v>3</v>
      </c>
      <c r="P11" s="136">
        <f>VLOOKUP(A11,'5. Activos Totales'!$B$30:$L$41,3,FALSE)</f>
        <v>3145.76305456</v>
      </c>
      <c r="Q11" s="135">
        <f>VLOOKUP(A11,'5. Activos Totales'!$B$30:$L$41,11,FALSE)</f>
        <v>8</v>
      </c>
    </row>
    <row r="12" spans="1:17" x14ac:dyDescent="0.3">
      <c r="A12" s="266" t="str">
        <f>VLOOKUP(C12,'8. Primas y Siniestros Totales'!$A$10:$D$21,2,FALSE)</f>
        <v>PALIC</v>
      </c>
      <c r="B12" s="143">
        <f>VLOOKUP(C12,'8. Primas y Siniestros Totales'!$A$10:$D$21,4,FALSE)</f>
        <v>1450.0814752200001</v>
      </c>
      <c r="C12" s="140">
        <v>6</v>
      </c>
      <c r="D12" s="143">
        <f>VLOOKUP(A12,'5. Activos Totales'!$B$10:$L$21,3,FALSE)</f>
        <v>4090.4428763599999</v>
      </c>
      <c r="E12" s="140">
        <f>VLOOKUP(A12,'5. Activos Totales'!$B$10:$L$21,11,FALSE)</f>
        <v>2</v>
      </c>
      <c r="F12" s="122">
        <f>VLOOKUP(A12,'3. Reserva Técnica y Matemática'!$B$10:$L$21,3,FALSE)</f>
        <v>2816.0463220300003</v>
      </c>
      <c r="G12" s="140">
        <f>VLOOKUP(A12,'3. Reserva Técnica y Matemática'!$B$10:$L$21,11,FALSE)</f>
        <v>1</v>
      </c>
      <c r="H12" s="127">
        <f>VLOOKUP(A12,'6. Patrimonio'!$B$10:$L$21,3,FALSE)</f>
        <v>842.41888490000008</v>
      </c>
      <c r="I12" s="140">
        <f>VLOOKUP(A12,'6. Patrimonio'!$B$10:$L$21,11,FALSE)</f>
        <v>5</v>
      </c>
      <c r="J12" s="115">
        <f>VLOOKUP(A12,'1. Utilidad'!$B$10:$K$21,3,FALSE)</f>
        <v>188.31341179999995</v>
      </c>
      <c r="K12" s="140">
        <f>VLOOKUP(A12,'1. Utilidad'!$B$10:$K$21,10,FALSE)</f>
        <v>4</v>
      </c>
      <c r="L12" s="274">
        <f>VLOOKUP(A12,'12. ROE'!$B$10:$G$21,3,FALSE)</f>
        <v>0.22353892484539187</v>
      </c>
      <c r="M12" s="140">
        <f>VLOOKUP(A12,'12. ROE'!$B$10:$G$21,6,FALSE)</f>
        <v>6</v>
      </c>
      <c r="N12" s="462">
        <f>VLOOKUP(A12,'7.1 Primas Retenidas'!$B$10:$L$22,3,FALSE)</f>
        <v>1094.0121302900002</v>
      </c>
      <c r="O12" s="140">
        <f>VLOOKUP(A12,'7.1 Primas Retenidas'!$B$10:$L$21,11,FALSE)</f>
        <v>4</v>
      </c>
      <c r="P12" s="143">
        <f>VLOOKUP(A12,'5. Activos Totales'!$B$30:$L$41,3,FALSE)</f>
        <v>4090.4428763599999</v>
      </c>
      <c r="Q12" s="140">
        <f>VLOOKUP(A12,'5. Activos Totales'!$B$30:$L$41,11,FALSE)</f>
        <v>5</v>
      </c>
    </row>
    <row r="13" spans="1:17" x14ac:dyDescent="0.3">
      <c r="A13" s="266" t="str">
        <f>VLOOKUP(C13,'8. Primas y Siniestros Totales'!$A$10:$D$21,2,FALSE)</f>
        <v>SEGUROS DEL PAÍS</v>
      </c>
      <c r="B13" s="136">
        <f>VLOOKUP(C13,'8. Primas y Siniestros Totales'!$A$10:$D$21,4,FALSE)</f>
        <v>1376.0558212399999</v>
      </c>
      <c r="C13" s="135">
        <v>7</v>
      </c>
      <c r="D13" s="136">
        <f>VLOOKUP(A13,'5. Activos Totales'!$B$10:$L$21,3,FALSE)</f>
        <v>1905.9712281500003</v>
      </c>
      <c r="E13" s="135">
        <f>VLOOKUP(A13,'5. Activos Totales'!$B$10:$L$21,11,FALSE)</f>
        <v>7</v>
      </c>
      <c r="F13" s="137">
        <f>VLOOKUP(A13,'3. Reserva Técnica y Matemática'!$B$10:$L$21,3,FALSE)</f>
        <v>324.755109</v>
      </c>
      <c r="G13" s="135">
        <f>VLOOKUP(A13,'3. Reserva Técnica y Matemática'!$B$10:$L$21,11,FALSE)</f>
        <v>8</v>
      </c>
      <c r="H13" s="138">
        <f>VLOOKUP(A13,'6. Patrimonio'!$B$10:$L$21,3,FALSE)</f>
        <v>756.62426524</v>
      </c>
      <c r="I13" s="135">
        <f>VLOOKUP(A13,'6. Patrimonio'!$B$10:$L$21,11,FALSE)</f>
        <v>7</v>
      </c>
      <c r="J13" s="139">
        <f>VLOOKUP(A13,'1. Utilidad'!$B$10:$K$21,3,FALSE)</f>
        <v>182.86542848999977</v>
      </c>
      <c r="K13" s="135">
        <f>VLOOKUP(A13,'1. Utilidad'!$B$10:$K$21,10,FALSE)</f>
        <v>5</v>
      </c>
      <c r="L13" s="273">
        <f>VLOOKUP(A13,'12. ROE'!$B$10:$G$21,3,FALSE)</f>
        <v>0.24168591583828619</v>
      </c>
      <c r="M13" s="135">
        <f>VLOOKUP(A13,'12. ROE'!$B$10:$G$21,6,FALSE)</f>
        <v>1</v>
      </c>
      <c r="N13" s="461">
        <f>VLOOKUP(A13,'7.1 Primas Retenidas'!$B$10:$L$22,3,FALSE)</f>
        <v>571.65584803999991</v>
      </c>
      <c r="O13" s="135">
        <f>VLOOKUP(A13,'7.1 Primas Retenidas'!$B$10:$L$21,11,FALSE)</f>
        <v>8</v>
      </c>
      <c r="P13" s="136">
        <f>VLOOKUP(A13,'5. Activos Totales'!$B$30:$L$41,3,FALSE)</f>
        <v>3618.5237930100002</v>
      </c>
      <c r="Q13" s="135">
        <f>VLOOKUP(A13,'5. Activos Totales'!$B$30:$L$41,11,FALSE)</f>
        <v>7</v>
      </c>
    </row>
    <row r="14" spans="1:17" x14ac:dyDescent="0.3">
      <c r="A14" s="266" t="str">
        <f>VLOOKUP(C14,'8. Primas y Siniestros Totales'!$A$10:$D$21,2,FALSE)</f>
        <v>ASSA CIA. DE SEGUROS</v>
      </c>
      <c r="B14" s="141">
        <f>VLOOKUP(C14,'8. Primas y Siniestros Totales'!$A$10:$D$21,4,FALSE)</f>
        <v>1080.2732791199999</v>
      </c>
      <c r="C14" s="140">
        <v>8</v>
      </c>
      <c r="D14" s="141">
        <f>VLOOKUP(A14,'5. Activos Totales'!$B$10:$L$21,3,FALSE)</f>
        <v>1447.1499130299999</v>
      </c>
      <c r="E14" s="140">
        <f>VLOOKUP(A14,'5. Activos Totales'!$B$10:$L$21,11,FALSE)</f>
        <v>8</v>
      </c>
      <c r="F14" s="122">
        <f>VLOOKUP(A14,'3. Reserva Técnica y Matemática'!$B$10:$L$21,3,FALSE)</f>
        <v>75.94292166999999</v>
      </c>
      <c r="G14" s="140">
        <f>VLOOKUP(A14,'3. Reserva Técnica y Matemática'!$B$10:$L$21,11,FALSE)</f>
        <v>12</v>
      </c>
      <c r="H14" s="127">
        <f>VLOOKUP(A14,'6. Patrimonio'!$B$10:$L$21,3,FALSE)</f>
        <v>269.76335795</v>
      </c>
      <c r="I14" s="140">
        <f>VLOOKUP(A14,'6. Patrimonio'!$B$10:$L$21,11,FALSE)</f>
        <v>12</v>
      </c>
      <c r="J14" s="115">
        <f>VLOOKUP(A14,'1. Utilidad'!$B$10:$K$21,3,FALSE)</f>
        <v>17.360168669999123</v>
      </c>
      <c r="K14" s="140">
        <f>VLOOKUP(A14,'1. Utilidad'!$B$10:$K$21,10,FALSE)</f>
        <v>12</v>
      </c>
      <c r="L14" s="274">
        <f>VLOOKUP(A14,'12. ROE'!$B$10:$G$21,3,FALSE)</f>
        <v>6.4353323601557447E-2</v>
      </c>
      <c r="M14" s="140">
        <f>VLOOKUP(A14,'12. ROE'!$B$10:$G$21,6,FALSE)</f>
        <v>11</v>
      </c>
      <c r="N14" s="462">
        <f>VLOOKUP(A14,'7.1 Primas Retenidas'!$B$10:$L$22,3,FALSE)</f>
        <v>117.75977545999991</v>
      </c>
      <c r="O14" s="140">
        <f>VLOOKUP(A14,'7.1 Primas Retenidas'!$B$10:$L$21,11,FALSE)</f>
        <v>12</v>
      </c>
      <c r="P14" s="141">
        <f>VLOOKUP(A14,'5. Activos Totales'!$B$30:$L$41,3,FALSE)</f>
        <v>4358.9762206000005</v>
      </c>
      <c r="Q14" s="140">
        <f>VLOOKUP(A14,'5. Activos Totales'!$B$30:$L$41,11,FALSE)</f>
        <v>6</v>
      </c>
    </row>
    <row r="15" spans="1:17" x14ac:dyDescent="0.3">
      <c r="A15" s="266" t="str">
        <f>VLOOKUP(C15,'8. Primas y Siniestros Totales'!$A$10:$D$21,2,FALSE)</f>
        <v>SEGUROS CONTINENTAL</v>
      </c>
      <c r="B15" s="136">
        <f>VLOOKUP(C15,'8. Primas y Siniestros Totales'!$A$10:$D$21,4,FALSE)</f>
        <v>614.12831284000004</v>
      </c>
      <c r="C15" s="135">
        <v>9</v>
      </c>
      <c r="D15" s="136">
        <f>VLOOKUP(A15,'5. Activos Totales'!$B$10:$L$21,3,FALSE)</f>
        <v>1437.7777154300002</v>
      </c>
      <c r="E15" s="135">
        <f>VLOOKUP(A15,'5. Activos Totales'!$B$10:$L$21,11,FALSE)</f>
        <v>9</v>
      </c>
      <c r="F15" s="137">
        <f>VLOOKUP(A15,'3. Reserva Técnica y Matemática'!$B$10:$L$21,3,FALSE)</f>
        <v>395.34805550999999</v>
      </c>
      <c r="G15" s="135">
        <f>VLOOKUP(A15,'3. Reserva Técnica y Matemática'!$B$10:$L$21,11,FALSE)</f>
        <v>7</v>
      </c>
      <c r="H15" s="138">
        <f>VLOOKUP(A15,'6. Patrimonio'!$B$10:$L$21,3,FALSE)</f>
        <v>781.52968927999996</v>
      </c>
      <c r="I15" s="135">
        <f>VLOOKUP(A15,'6. Patrimonio'!$B$10:$L$21,11,FALSE)</f>
        <v>6</v>
      </c>
      <c r="J15" s="139">
        <f>VLOOKUP(A15,'1. Utilidad'!$B$10:$K$21,3,FALSE)</f>
        <v>40.170946000000001</v>
      </c>
      <c r="K15" s="135">
        <f>VLOOKUP(A15,'1. Utilidad'!$B$10:$K$21,10,FALSE)</f>
        <v>11</v>
      </c>
      <c r="L15" s="273">
        <f>VLOOKUP(A15,'12. ROE'!$B$10:$G$21,3,FALSE)</f>
        <v>5.1400409416318273E-2</v>
      </c>
      <c r="M15" s="135">
        <f>VLOOKUP(A15,'12. ROE'!$B$10:$G$21,6,FALSE)</f>
        <v>12</v>
      </c>
      <c r="N15" s="461">
        <f>VLOOKUP(A15,'7.1 Primas Retenidas'!$B$10:$L$22,3,FALSE)</f>
        <v>423.29375797000006</v>
      </c>
      <c r="O15" s="135">
        <f>VLOOKUP(A15,'7.1 Primas Retenidas'!$B$10:$L$21,11,FALSE)</f>
        <v>9</v>
      </c>
      <c r="P15" s="136">
        <f>VLOOKUP(A15,'5. Activos Totales'!$B$30:$L$41,3,FALSE)</f>
        <v>2691.45386401</v>
      </c>
      <c r="Q15" s="135">
        <f>VLOOKUP(A15,'5. Activos Totales'!$B$30:$L$41,11,FALSE)</f>
        <v>9</v>
      </c>
    </row>
    <row r="16" spans="1:17" x14ac:dyDescent="0.3">
      <c r="A16" s="266" t="str">
        <f>VLOOKUP(C16,'8. Primas y Siniestros Totales'!$A$10:$D$21,2,FALSE)</f>
        <v>SEGUROS EQUIDAD</v>
      </c>
      <c r="B16" s="269">
        <f>VLOOKUP(C16,'8. Primas y Siniestros Totales'!$A$10:$D$21,4,FALSE)</f>
        <v>597.42208491999997</v>
      </c>
      <c r="C16" s="140">
        <v>10</v>
      </c>
      <c r="D16" s="118">
        <f>VLOOKUP(A16,'5. Activos Totales'!$B$10:$L$21,3,FALSE)</f>
        <v>1331.0279349399998</v>
      </c>
      <c r="E16" s="140">
        <f>VLOOKUP(A16,'5. Activos Totales'!$B$10:$L$21,11,FALSE)</f>
        <v>10</v>
      </c>
      <c r="F16" s="122">
        <f>VLOOKUP(A16,'3. Reserva Técnica y Matemática'!$B$10:$L$21,3,FALSE)</f>
        <v>315.07979698000003</v>
      </c>
      <c r="G16" s="140">
        <f>VLOOKUP(A16,'3. Reserva Técnica y Matemática'!$B$10:$L$21,11,FALSE)</f>
        <v>9</v>
      </c>
      <c r="H16" s="127">
        <f>VLOOKUP(A16,'6. Patrimonio'!$B$10:$L$21,3,FALSE)</f>
        <v>725.85647930000016</v>
      </c>
      <c r="I16" s="140">
        <f>VLOOKUP(A16,'6. Patrimonio'!$B$10:$L$21,11,FALSE)</f>
        <v>8</v>
      </c>
      <c r="J16" s="115">
        <f>VLOOKUP(A16,'1. Utilidad'!$B$10:$K$21,3,FALSE)</f>
        <v>155.18358812</v>
      </c>
      <c r="K16" s="140">
        <f>VLOOKUP(A16,'1. Utilidad'!$B$10:$K$21,10,FALSE)</f>
        <v>7</v>
      </c>
      <c r="L16" s="274">
        <f>VLOOKUP(A16,'12. ROE'!$B$10:$G$21,3,FALSE)</f>
        <v>0.21379376301725048</v>
      </c>
      <c r="M16" s="140">
        <f>VLOOKUP(A16,'12. ROE'!$B$10:$G$21,6,FALSE)</f>
        <v>7</v>
      </c>
      <c r="N16" s="462">
        <f>VLOOKUP(A16,'7.1 Primas Retenidas'!$B$10:$L$22,3,FALSE)</f>
        <v>581.19567440999992</v>
      </c>
      <c r="O16" s="140">
        <f>VLOOKUP(A16,'7.1 Primas Retenidas'!$B$10:$L$21,11,FALSE)</f>
        <v>7</v>
      </c>
      <c r="P16" s="118">
        <f>VLOOKUP(A16,'5. Activos Totales'!$B$30:$L$41,3,FALSE)</f>
        <v>1356.3306566499998</v>
      </c>
      <c r="Q16" s="140">
        <f>VLOOKUP(A16,'5. Activos Totales'!$B$30:$L$41,11,FALSE)</f>
        <v>11</v>
      </c>
    </row>
    <row r="17" spans="1:17" x14ac:dyDescent="0.3">
      <c r="A17" s="266" t="str">
        <f>VLOOKUP(C17,'8. Primas y Siniestros Totales'!$A$10:$D$21,2,FALSE)</f>
        <v>ASEGURADORA RURAL</v>
      </c>
      <c r="B17" s="136">
        <f>VLOOKUP(C17,'8. Primas y Siniestros Totales'!$A$10:$D$21,4,FALSE)</f>
        <v>544.68799659000001</v>
      </c>
      <c r="C17" s="135">
        <v>11</v>
      </c>
      <c r="D17" s="136">
        <f>VLOOKUP(A17,'5. Activos Totales'!$B$10:$L$21,3,FALSE)</f>
        <v>1107.9931197000001</v>
      </c>
      <c r="E17" s="135">
        <f>VLOOKUP(A17,'5. Activos Totales'!$B$10:$L$21,11,FALSE)</f>
        <v>11</v>
      </c>
      <c r="F17" s="137">
        <f>VLOOKUP(A17,'3. Reserva Técnica y Matemática'!$B$10:$L$21,3,FALSE)</f>
        <v>163.01564913999999</v>
      </c>
      <c r="G17" s="135">
        <f>VLOOKUP(A17,'3. Reserva Técnica y Matemática'!$B$10:$L$21,11,FALSE)</f>
        <v>11</v>
      </c>
      <c r="H17" s="138">
        <f>VLOOKUP(A17,'6. Patrimonio'!$B$10:$L$21,3,FALSE)</f>
        <v>524.47984785000006</v>
      </c>
      <c r="I17" s="135">
        <f>VLOOKUP(A17,'6. Patrimonio'!$B$10:$L$21,11,FALSE)</f>
        <v>10</v>
      </c>
      <c r="J17" s="139">
        <f>VLOOKUP(A17,'1. Utilidad'!$B$10:$K$21,3,FALSE)</f>
        <v>84.387647389999984</v>
      </c>
      <c r="K17" s="135">
        <f>VLOOKUP(A17,'1. Utilidad'!$B$10:$K$21,10,FALSE)</f>
        <v>9</v>
      </c>
      <c r="L17" s="273">
        <f>VLOOKUP(A17,'12. ROE'!$B$10:$G$21,3,FALSE)</f>
        <v>0.16089778803881641</v>
      </c>
      <c r="M17" s="135">
        <f>VLOOKUP(A17,'12. ROE'!$B$10:$G$21,6,FALSE)</f>
        <v>10</v>
      </c>
      <c r="N17" s="461">
        <f>VLOOKUP(A17,'7.1 Primas Retenidas'!$B$10:$L$22,3,FALSE)</f>
        <v>305.83287118999999</v>
      </c>
      <c r="O17" s="135">
        <f>VLOOKUP(A17,'7.1 Primas Retenidas'!$B$10:$L$21,11,FALSE)</f>
        <v>10</v>
      </c>
      <c r="P17" s="136">
        <f>VLOOKUP(A17,'5. Activos Totales'!$B$30:$L$41,3,FALSE)</f>
        <v>1107.9931197000001</v>
      </c>
      <c r="Q17" s="135">
        <f>VLOOKUP(A17,'5. Activos Totales'!$B$30:$L$41,11,FALSE)</f>
        <v>12</v>
      </c>
    </row>
    <row r="18" spans="1:17" s="542" customFormat="1" ht="14.1" customHeight="1" x14ac:dyDescent="0.3">
      <c r="A18" s="596" t="str">
        <f>VLOOKUP(C18,'8. Primas y Siniestros Totales'!$A$10:$D$21,2,FALSE)</f>
        <v>SEGUROS LAFISE</v>
      </c>
      <c r="B18" s="141">
        <f>VLOOKUP(C18,'8. Primas y Siniestros Totales'!$A$10:$D$21,4,FALSE)</f>
        <v>514.39845188999993</v>
      </c>
      <c r="C18" s="590">
        <v>12</v>
      </c>
      <c r="D18" s="141">
        <f>VLOOKUP(A18,'5. Activos Totales'!$B$10:$L$21,3,FALSE)</f>
        <v>753.58713492000015</v>
      </c>
      <c r="E18" s="590">
        <f>VLOOKUP(A18,'5. Activos Totales'!$B$10:$L$21,11,FALSE)</f>
        <v>12</v>
      </c>
      <c r="F18" s="591">
        <f>VLOOKUP(A18,'3. Reserva Técnica y Matemática'!$B$10:$L$21,3,FALSE)</f>
        <v>198.67951722999999</v>
      </c>
      <c r="G18" s="590">
        <f>VLOOKUP(A18,'3. Reserva Técnica y Matemática'!$B$10:$L$21,11,FALSE)</f>
        <v>10</v>
      </c>
      <c r="H18" s="592">
        <f>VLOOKUP(A18,'6. Patrimonio'!$B$10:$L$21,3,FALSE)</f>
        <v>333.82222698999999</v>
      </c>
      <c r="I18" s="590">
        <f>VLOOKUP(A18,'6. Patrimonio'!$B$10:$L$21,11,FALSE)</f>
        <v>11</v>
      </c>
      <c r="J18" s="593">
        <f>VLOOKUP(A18,'1. Utilidad'!$B$10:$K$21,3,FALSE)</f>
        <v>78.200318440000174</v>
      </c>
      <c r="K18" s="590">
        <f>VLOOKUP(A18,'1. Utilidad'!$B$10:$K$21,10,FALSE)</f>
        <v>10</v>
      </c>
      <c r="L18" s="594">
        <f>VLOOKUP(A18,'12. ROE'!$B$10:$G$21,3,FALSE)</f>
        <v>0.23425737448675865</v>
      </c>
      <c r="M18" s="590">
        <f>VLOOKUP(A18,'12. ROE'!$B$10:$G$21,6,FALSE)</f>
        <v>4</v>
      </c>
      <c r="N18" s="595">
        <f>VLOOKUP(A18,'7.1 Primas Retenidas'!$B$10:$L$22,3,FALSE)</f>
        <v>265.17204594999993</v>
      </c>
      <c r="O18" s="590">
        <f>VLOOKUP(A18,'7.1 Primas Retenidas'!$B$10:$L$21,11,FALSE)</f>
        <v>11</v>
      </c>
      <c r="P18" s="141">
        <f>VLOOKUP(A18,'5. Activos Totales'!$B$30:$L$41,3,FALSE)</f>
        <v>1576.0493806800002</v>
      </c>
      <c r="Q18" s="590">
        <f>VLOOKUP(A18,'5. Activos Totales'!$B$30:$L$41,11,FALSE)</f>
        <v>10</v>
      </c>
    </row>
    <row r="19" spans="1:17" ht="15.75" thickBot="1" x14ac:dyDescent="0.35">
      <c r="A19" s="267" t="s">
        <v>29</v>
      </c>
      <c r="B19" s="116">
        <f>SUM(B7:B18)</f>
        <v>20181.73531892</v>
      </c>
      <c r="C19" s="144"/>
      <c r="D19" s="116">
        <f>SUM(D7:D18)</f>
        <v>28386.078018380002</v>
      </c>
      <c r="E19" s="144"/>
      <c r="F19" s="116">
        <f>SUM(F7:F18)</f>
        <v>8080.8939504799991</v>
      </c>
      <c r="G19" s="144"/>
      <c r="H19" s="116">
        <f>SUM(H7:H18)</f>
        <v>10133.42810931</v>
      </c>
      <c r="I19" s="144"/>
      <c r="J19" s="116">
        <f>SUM(J7:J18)</f>
        <v>2080.2501355199993</v>
      </c>
      <c r="K19" s="145"/>
      <c r="L19" s="276">
        <f>'12. ROE'!D22</f>
        <v>0.20528592230390302</v>
      </c>
      <c r="M19" s="145"/>
      <c r="N19" s="116">
        <f>'7.1 Primas Retenidas'!D22</f>
        <v>9065.8218911799977</v>
      </c>
      <c r="O19" s="145"/>
      <c r="P19" s="116">
        <f>SUM(P7:P18)</f>
        <v>46738.539993680002</v>
      </c>
      <c r="Q19" s="145"/>
    </row>
    <row r="20" spans="1:17" x14ac:dyDescent="0.3">
      <c r="A20" s="538" t="s">
        <v>366</v>
      </c>
      <c r="B20" s="34"/>
      <c r="C20" s="43"/>
      <c r="D20" s="6"/>
    </row>
    <row r="21" spans="1:17" x14ac:dyDescent="0.3">
      <c r="A21" s="538" t="s">
        <v>370</v>
      </c>
    </row>
  </sheetData>
  <mergeCells count="9">
    <mergeCell ref="P5:Q5"/>
    <mergeCell ref="N5:O5"/>
    <mergeCell ref="L5:M5"/>
    <mergeCell ref="A1:C1"/>
    <mergeCell ref="H5:I5"/>
    <mergeCell ref="J5:K5"/>
    <mergeCell ref="B5:C5"/>
    <mergeCell ref="D5:E5"/>
    <mergeCell ref="F5:G5"/>
  </mergeCells>
  <pageMargins left="0.7" right="0.7" top="0.75" bottom="0.75" header="0.3" footer="0.3"/>
  <pageSetup orientation="portrait" r:id="rId1"/>
  <ignoredErrors>
    <ignoredError sqref="K7 K8:K18" formula="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6">
    <tabColor theme="4" tint="0.39997558519241921"/>
  </sheetPr>
  <dimension ref="A1:R71"/>
  <sheetViews>
    <sheetView showGridLines="0" zoomScale="90" zoomScaleNormal="90" workbookViewId="0">
      <pane xSplit="2" ySplit="4" topLeftCell="F5" activePane="bottomRight" state="frozen"/>
      <selection activeCell="E3" sqref="E3"/>
      <selection pane="topRight" activeCell="E3" sqref="E3"/>
      <selection pane="bottomLeft" activeCell="E3" sqref="E3"/>
      <selection pane="bottomRight" activeCell="O7" sqref="O7"/>
    </sheetView>
  </sheetViews>
  <sheetFormatPr baseColWidth="10" defaultColWidth="11.42578125" defaultRowHeight="12.75" outlineLevelRow="1" x14ac:dyDescent="0.2"/>
  <cols>
    <col min="1" max="1" width="5.7109375" style="229" customWidth="1"/>
    <col min="2" max="2" width="53.140625" style="229" customWidth="1"/>
    <col min="3" max="3" width="28.85546875" style="249" customWidth="1"/>
    <col min="4" max="6" width="12.5703125" style="249" customWidth="1"/>
    <col min="7" max="7" width="12.5703125" style="341" customWidth="1"/>
    <col min="8" max="13" width="12.5703125" style="249" customWidth="1"/>
    <col min="14" max="14" width="14.140625" style="229" customWidth="1"/>
    <col min="15" max="15" width="13.85546875" style="229" customWidth="1"/>
    <col min="16" max="16" width="12.7109375" style="229" bestFit="1" customWidth="1"/>
    <col min="17" max="17" width="14.7109375" style="229" bestFit="1" customWidth="1"/>
    <col min="18" max="18" width="12.28515625" style="229" bestFit="1" customWidth="1"/>
    <col min="19" max="16384" width="11.42578125" style="229"/>
  </cols>
  <sheetData>
    <row r="1" spans="1:16" ht="12.75" hidden="1" customHeight="1" x14ac:dyDescent="0.2">
      <c r="C1" s="230" t="s">
        <v>115</v>
      </c>
      <c r="D1" s="231">
        <f>C1+1</f>
        <v>5</v>
      </c>
      <c r="E1" s="231">
        <f t="shared" ref="E1:L1" si="0">D1+1</f>
        <v>6</v>
      </c>
      <c r="F1" s="231">
        <f t="shared" si="0"/>
        <v>7</v>
      </c>
      <c r="G1" s="335">
        <f t="shared" si="0"/>
        <v>8</v>
      </c>
      <c r="H1" s="231">
        <f t="shared" si="0"/>
        <v>9</v>
      </c>
      <c r="I1" s="231">
        <f t="shared" si="0"/>
        <v>10</v>
      </c>
      <c r="J1" s="231">
        <f t="shared" si="0"/>
        <v>11</v>
      </c>
      <c r="K1" s="231">
        <f t="shared" si="0"/>
        <v>12</v>
      </c>
      <c r="L1" s="231">
        <f t="shared" si="0"/>
        <v>13</v>
      </c>
      <c r="M1" s="231"/>
      <c r="N1" s="231">
        <v>14</v>
      </c>
      <c r="O1" s="231"/>
    </row>
    <row r="2" spans="1:16" x14ac:dyDescent="0.2">
      <c r="A2" s="232" t="s">
        <v>375</v>
      </c>
      <c r="C2" s="322"/>
      <c r="D2" s="322"/>
      <c r="E2" s="322"/>
      <c r="F2" s="233"/>
      <c r="G2" s="336"/>
      <c r="H2" s="233"/>
      <c r="I2" s="233"/>
      <c r="J2" s="233"/>
      <c r="K2" s="233"/>
      <c r="L2" s="233"/>
      <c r="M2" s="233"/>
      <c r="N2" s="233"/>
      <c r="O2" s="233"/>
    </row>
    <row r="3" spans="1:16" x14ac:dyDescent="0.2">
      <c r="A3" s="232" t="s">
        <v>116</v>
      </c>
      <c r="C3" s="322"/>
      <c r="D3" s="322"/>
      <c r="E3" s="322"/>
      <c r="F3" s="233"/>
      <c r="G3" s="336"/>
      <c r="H3" s="233"/>
      <c r="I3" s="233"/>
      <c r="J3" s="233"/>
      <c r="K3" s="233"/>
      <c r="L3" s="233"/>
      <c r="M3" s="233"/>
      <c r="N3" s="233"/>
      <c r="O3" s="233"/>
    </row>
    <row r="4" spans="1:16" s="238" customFormat="1" ht="25.5" x14ac:dyDescent="0.3">
      <c r="A4" s="234" t="s">
        <v>117</v>
      </c>
      <c r="B4" s="235" t="s">
        <v>118</v>
      </c>
      <c r="C4" s="236" t="s">
        <v>119</v>
      </c>
      <c r="D4" s="236" t="s">
        <v>74</v>
      </c>
      <c r="E4" s="236" t="s">
        <v>120</v>
      </c>
      <c r="F4" s="236" t="s">
        <v>121</v>
      </c>
      <c r="G4" s="236" t="s">
        <v>122</v>
      </c>
      <c r="H4" s="236" t="s">
        <v>76</v>
      </c>
      <c r="I4" s="236" t="s">
        <v>123</v>
      </c>
      <c r="J4" s="236" t="s">
        <v>124</v>
      </c>
      <c r="K4" s="236" t="s">
        <v>125</v>
      </c>
      <c r="L4" s="236" t="s">
        <v>365</v>
      </c>
      <c r="M4" s="237" t="s">
        <v>126</v>
      </c>
      <c r="N4" s="237" t="s">
        <v>127</v>
      </c>
      <c r="O4" s="237" t="s">
        <v>128</v>
      </c>
    </row>
    <row r="5" spans="1:16" x14ac:dyDescent="0.2">
      <c r="A5" s="239">
        <v>401</v>
      </c>
      <c r="B5" s="229" t="s">
        <v>27</v>
      </c>
      <c r="C5" s="240">
        <f>'ER diciembre 2024'!E12</f>
        <v>1774530.0192200001</v>
      </c>
      <c r="D5" s="240">
        <f>'ER diciembre 2024'!F12</f>
        <v>1383013.11368</v>
      </c>
      <c r="E5" s="240">
        <f>'ER diciembre 2024'!G12</f>
        <v>3907244.3551100004</v>
      </c>
      <c r="F5" s="240">
        <f>'ER diciembre 2024'!H12</f>
        <v>4971513.8599199997</v>
      </c>
      <c r="G5" s="337">
        <f>'ER diciembre 2024'!J12</f>
        <v>3399170.9062199998</v>
      </c>
      <c r="H5" s="240">
        <f>'ER diciembre 2024'!K12</f>
        <v>1882235.3739799999</v>
      </c>
      <c r="I5" s="240">
        <f>'ER diciembre 2024'!L12</f>
        <v>809734.86695000005</v>
      </c>
      <c r="J5" s="240">
        <f>'ER diciembre 2024'!M12</f>
        <v>2210547.9630399998</v>
      </c>
      <c r="K5" s="240">
        <f>'ER diciembre 2024'!N12</f>
        <v>454643.03973000002</v>
      </c>
      <c r="L5" s="240">
        <f>'ER diciembre 2024'!O12</f>
        <v>521284.70491000003</v>
      </c>
      <c r="M5" s="240">
        <f>'ER diciembre 2024'!P12</f>
        <v>1141310.90652</v>
      </c>
      <c r="N5" s="240">
        <f>'ER diciembre 2024'!I12</f>
        <v>601674.29752000002</v>
      </c>
      <c r="O5" s="240">
        <f>SUM(C5:N5)</f>
        <v>23056903.406800006</v>
      </c>
    </row>
    <row r="6" spans="1:16" x14ac:dyDescent="0.2">
      <c r="A6" s="239">
        <v>505</v>
      </c>
      <c r="B6" s="229" t="s">
        <v>129</v>
      </c>
      <c r="C6" s="241">
        <f>'ER diciembre 2024'!E28</f>
        <v>260450.10608000003</v>
      </c>
      <c r="D6" s="241">
        <f>'ER diciembre 2024'!F28</f>
        <v>1211.9298999999999</v>
      </c>
      <c r="E6" s="241">
        <f>'ER diciembre 2024'!G28</f>
        <v>854899.96398</v>
      </c>
      <c r="F6" s="241">
        <f>'ER diciembre 2024'!H28</f>
        <v>562320.55940999999</v>
      </c>
      <c r="G6" s="369">
        <f>'ER diciembre 2024'!J28</f>
        <v>915034.05748000008</v>
      </c>
      <c r="H6" s="241">
        <f>'ER diciembre 2024'!K28</f>
        <v>534330.05478999997</v>
      </c>
      <c r="I6" s="241">
        <f>'ER diciembre 2024'!L28</f>
        <v>84808.161980000004</v>
      </c>
      <c r="J6" s="241">
        <f>'ER diciembre 2024'!M28</f>
        <v>960004.30720000004</v>
      </c>
      <c r="K6" s="241">
        <f>'ER diciembre 2024'!N28</f>
        <v>50918.899619999997</v>
      </c>
      <c r="L6" s="241">
        <f>'ER diciembre 2024'!O28</f>
        <v>52411.114350000003</v>
      </c>
      <c r="M6" s="241">
        <f>'ER diciembre 2024'!P28</f>
        <v>279895.04018999997</v>
      </c>
      <c r="N6" s="241">
        <f>'ER diciembre 2024'!I28</f>
        <v>58880.240969999999</v>
      </c>
      <c r="O6" s="241">
        <f t="shared" ref="O6:O38" si="1">SUM(C6:N6)</f>
        <v>4615164.4359499998</v>
      </c>
    </row>
    <row r="7" spans="1:16" x14ac:dyDescent="0.2">
      <c r="A7" s="242"/>
      <c r="B7" s="232" t="s">
        <v>130</v>
      </c>
      <c r="C7" s="243">
        <f>C5-C6</f>
        <v>1514079.9131400001</v>
      </c>
      <c r="D7" s="243">
        <f>D5-D6</f>
        <v>1381801.1837799998</v>
      </c>
      <c r="E7" s="243">
        <f t="shared" ref="E7:N7" si="2">E5-E6</f>
        <v>3052344.3911300004</v>
      </c>
      <c r="F7" s="243">
        <f t="shared" si="2"/>
        <v>4409193.3005099995</v>
      </c>
      <c r="G7" s="370">
        <f t="shared" si="2"/>
        <v>2484136.8487399998</v>
      </c>
      <c r="H7" s="243">
        <f t="shared" si="2"/>
        <v>1347905.31919</v>
      </c>
      <c r="I7" s="243">
        <f t="shared" si="2"/>
        <v>724926.70497000008</v>
      </c>
      <c r="J7" s="243">
        <f t="shared" si="2"/>
        <v>1250543.6558399997</v>
      </c>
      <c r="K7" s="243">
        <f t="shared" si="2"/>
        <v>403724.14011000004</v>
      </c>
      <c r="L7" s="243">
        <f t="shared" si="2"/>
        <v>468873.59056000004</v>
      </c>
      <c r="M7" s="243">
        <f t="shared" si="2"/>
        <v>861415.86632999999</v>
      </c>
      <c r="N7" s="243">
        <f t="shared" si="2"/>
        <v>542794.05654999998</v>
      </c>
      <c r="O7" s="243">
        <f t="shared" si="1"/>
        <v>18441738.970850002</v>
      </c>
    </row>
    <row r="8" spans="1:16" x14ac:dyDescent="0.2">
      <c r="A8" s="239">
        <v>502</v>
      </c>
      <c r="B8" s="229" t="s">
        <v>131</v>
      </c>
      <c r="C8" s="240">
        <f>'ER diciembre 2024'!E25</f>
        <v>455384.16606999998</v>
      </c>
      <c r="D8" s="240">
        <f>'ER diciembre 2024'!F25</f>
        <v>336005.29132000002</v>
      </c>
      <c r="E8" s="240">
        <f>'ER diciembre 2024'!G25</f>
        <v>2146631.38063</v>
      </c>
      <c r="F8" s="240">
        <f>'ER diciembre 2024'!H25</f>
        <v>3242779.5726600001</v>
      </c>
      <c r="G8" s="371">
        <f>'ER diciembre 2024'!J25</f>
        <v>901578.76380999992</v>
      </c>
      <c r="H8" s="240">
        <f>'ER diciembre 2024'!K25</f>
        <v>707588.09377000004</v>
      </c>
      <c r="I8" s="240">
        <f>'ER diciembre 2024'!L25</f>
        <v>78674.69485</v>
      </c>
      <c r="J8" s="240">
        <f>'ER diciembre 2024'!M25</f>
        <v>740488.41835000005</v>
      </c>
      <c r="K8" s="240">
        <f>'ER diciembre 2024'!N25</f>
        <v>163152.07924000002</v>
      </c>
      <c r="L8" s="240">
        <f>'ER diciembre 2024'!O25</f>
        <v>170110.28279</v>
      </c>
      <c r="M8" s="240">
        <f>'ER diciembre 2024'!P25</f>
        <v>807659.42741999996</v>
      </c>
      <c r="N8" s="240">
        <f>'ER diciembre 2024'!I25</f>
        <v>164240.6018</v>
      </c>
      <c r="O8" s="240">
        <f t="shared" si="1"/>
        <v>9914292.7727099992</v>
      </c>
    </row>
    <row r="9" spans="1:16" x14ac:dyDescent="0.2">
      <c r="A9" s="242"/>
      <c r="B9" s="232" t="s">
        <v>132</v>
      </c>
      <c r="C9" s="243">
        <f>C7-C8</f>
        <v>1058695.74707</v>
      </c>
      <c r="D9" s="243">
        <f>D7-D8</f>
        <v>1045795.8924599998</v>
      </c>
      <c r="E9" s="243">
        <f t="shared" ref="E9:N9" si="3">E7-E8</f>
        <v>905713.01050000032</v>
      </c>
      <c r="F9" s="243">
        <f t="shared" si="3"/>
        <v>1166413.7278499994</v>
      </c>
      <c r="G9" s="370">
        <f t="shared" si="3"/>
        <v>1582558.0849299999</v>
      </c>
      <c r="H9" s="243">
        <f t="shared" si="3"/>
        <v>640317.22541999992</v>
      </c>
      <c r="I9" s="243">
        <f t="shared" si="3"/>
        <v>646252.01012000011</v>
      </c>
      <c r="J9" s="243">
        <f t="shared" si="3"/>
        <v>510055.23748999962</v>
      </c>
      <c r="K9" s="243">
        <f t="shared" si="3"/>
        <v>240572.06087000002</v>
      </c>
      <c r="L9" s="243">
        <f t="shared" si="3"/>
        <v>298763.30777000007</v>
      </c>
      <c r="M9" s="243">
        <f t="shared" si="3"/>
        <v>53756.438910000026</v>
      </c>
      <c r="N9" s="243">
        <f t="shared" si="3"/>
        <v>378553.45474999998</v>
      </c>
      <c r="O9" s="243">
        <f t="shared" si="1"/>
        <v>8527446.1981399991</v>
      </c>
    </row>
    <row r="10" spans="1:16" outlineLevel="1" x14ac:dyDescent="0.2">
      <c r="A10" s="239">
        <v>503</v>
      </c>
      <c r="B10" s="229" t="s">
        <v>133</v>
      </c>
      <c r="C10" s="240">
        <f>'ER diciembre 2024'!E26</f>
        <v>112338.33445000001</v>
      </c>
      <c r="D10" s="240">
        <f>'ER diciembre 2024'!F26</f>
        <v>65387.915850000005</v>
      </c>
      <c r="E10" s="240">
        <f>'ER diciembre 2024'!G26</f>
        <v>43029.153090000007</v>
      </c>
      <c r="F10" s="240">
        <f>'ER diciembre 2024'!H26</f>
        <v>248264.03547999999</v>
      </c>
      <c r="G10" s="371">
        <f>'ER diciembre 2024'!J26</f>
        <v>306874.73911999998</v>
      </c>
      <c r="H10" s="240">
        <f>'ER diciembre 2024'!K26</f>
        <v>132834.87579000002</v>
      </c>
      <c r="I10" s="240">
        <f>'ER diciembre 2024'!L26</f>
        <v>144726.32544999997</v>
      </c>
      <c r="J10" s="240">
        <f>'ER diciembre 2024'!M26</f>
        <v>111214.54968000001</v>
      </c>
      <c r="K10" s="240">
        <f>'ER diciembre 2024'!N26</f>
        <v>44595.069790000001</v>
      </c>
      <c r="L10" s="240">
        <f>'ER diciembre 2024'!O26</f>
        <v>46681.555820000001</v>
      </c>
      <c r="M10" s="240">
        <f>'ER diciembre 2024'!P26</f>
        <v>13359.904050000001</v>
      </c>
      <c r="N10" s="240">
        <f>'ER diciembre 2024'!I26</f>
        <v>103036.97145</v>
      </c>
      <c r="O10" s="240">
        <f t="shared" si="1"/>
        <v>1372343.4300199999</v>
      </c>
    </row>
    <row r="11" spans="1:16" outlineLevel="1" x14ac:dyDescent="0.2">
      <c r="A11" s="239">
        <v>403</v>
      </c>
      <c r="B11" s="229" t="s">
        <v>133</v>
      </c>
      <c r="C11" s="240">
        <f>'ER diciembre 2024'!E14</f>
        <v>87883.173250000007</v>
      </c>
      <c r="D11" s="240">
        <f>'ER diciembre 2024'!F14</f>
        <v>12548.480599999999</v>
      </c>
      <c r="E11" s="240">
        <f>'ER diciembre 2024'!G14</f>
        <v>25394.495170000002</v>
      </c>
      <c r="F11" s="240">
        <f>'ER diciembre 2024'!H14</f>
        <v>223578.49299999999</v>
      </c>
      <c r="G11" s="371">
        <f>'ER diciembre 2024'!J14</f>
        <v>178421.11596999998</v>
      </c>
      <c r="H11" s="240">
        <f>'ER diciembre 2024'!K14</f>
        <v>80079.654620000001</v>
      </c>
      <c r="I11" s="240">
        <f>'ER diciembre 2024'!L14</f>
        <v>157876.49863999998</v>
      </c>
      <c r="J11" s="240">
        <f>'ER diciembre 2024'!M14</f>
        <v>84972.063540000003</v>
      </c>
      <c r="K11" s="240">
        <f>'ER diciembre 2024'!N14</f>
        <v>25971.2592</v>
      </c>
      <c r="L11" s="240">
        <f>'ER diciembre 2024'!O14</f>
        <v>31560.17137</v>
      </c>
      <c r="M11" s="240">
        <f>'ER diciembre 2024'!P14</f>
        <v>6042.7739299999994</v>
      </c>
      <c r="N11" s="240">
        <f>'ER diciembre 2024'!I14</f>
        <v>87426.858040000006</v>
      </c>
      <c r="O11" s="240">
        <f t="shared" si="1"/>
        <v>1001755.0373300001</v>
      </c>
    </row>
    <row r="12" spans="1:16" x14ac:dyDescent="0.2">
      <c r="A12" s="242"/>
      <c r="B12" s="232" t="s">
        <v>134</v>
      </c>
      <c r="C12" s="244">
        <f>C9-C10+C11</f>
        <v>1034240.5858700001</v>
      </c>
      <c r="D12" s="244">
        <f>D9-D10+D11</f>
        <v>992956.45720999979</v>
      </c>
      <c r="E12" s="244">
        <f t="shared" ref="E12:N12" si="4">E9-E10+E11</f>
        <v>888078.3525800003</v>
      </c>
      <c r="F12" s="244">
        <f t="shared" si="4"/>
        <v>1141728.1853699994</v>
      </c>
      <c r="G12" s="372">
        <f t="shared" si="4"/>
        <v>1454104.4617799998</v>
      </c>
      <c r="H12" s="244">
        <f t="shared" si="4"/>
        <v>587562.00424999988</v>
      </c>
      <c r="I12" s="244">
        <f t="shared" si="4"/>
        <v>659402.18331000011</v>
      </c>
      <c r="J12" s="244">
        <f t="shared" si="4"/>
        <v>483812.75134999963</v>
      </c>
      <c r="K12" s="244">
        <f t="shared" si="4"/>
        <v>221948.25028000001</v>
      </c>
      <c r="L12" s="244">
        <f t="shared" si="4"/>
        <v>283641.92332000006</v>
      </c>
      <c r="M12" s="244">
        <f>M9-M10+M11</f>
        <v>46439.308790000025</v>
      </c>
      <c r="N12" s="244">
        <f t="shared" si="4"/>
        <v>362943.34133999998</v>
      </c>
      <c r="O12" s="244">
        <f t="shared" si="1"/>
        <v>8156857.8054499989</v>
      </c>
      <c r="P12" s="250"/>
    </row>
    <row r="13" spans="1:16" x14ac:dyDescent="0.2">
      <c r="A13" s="239">
        <v>402</v>
      </c>
      <c r="B13" s="229" t="s">
        <v>135</v>
      </c>
      <c r="C13" s="240">
        <f>'ER diciembre 2024'!E13</f>
        <v>91089.249920000002</v>
      </c>
      <c r="D13" s="240">
        <f>'ER diciembre 2024'!F13</f>
        <v>16612.213759999999</v>
      </c>
      <c r="E13" s="240">
        <f>'ER diciembre 2024'!G13</f>
        <v>669576.73153999995</v>
      </c>
      <c r="F13" s="240">
        <f>'ER diciembre 2024'!H13</f>
        <v>653891.12424000003</v>
      </c>
      <c r="G13" s="371">
        <f>'ER diciembre 2024'!J13</f>
        <v>331363.90297000005</v>
      </c>
      <c r="H13" s="240">
        <f>'ER diciembre 2024'!K13</f>
        <v>208044.16131999998</v>
      </c>
      <c r="I13" s="240">
        <f>'ER diciembre 2024'!L13</f>
        <v>3948.9355099999998</v>
      </c>
      <c r="J13" s="240">
        <f>'ER diciembre 2024'!M13</f>
        <v>179493.56196000002</v>
      </c>
      <c r="K13" s="240">
        <f>'ER diciembre 2024'!N13</f>
        <v>82326.846279999998</v>
      </c>
      <c r="L13" s="240">
        <f>'ER diciembre 2024'!O13</f>
        <v>48483.061529999999</v>
      </c>
      <c r="M13" s="240">
        <f>'ER diciembre 2024'!P13</f>
        <v>115388.8615</v>
      </c>
      <c r="N13" s="240">
        <f>'ER diciembre 2024'!I13</f>
        <v>11960.79607</v>
      </c>
      <c r="O13" s="240">
        <f t="shared" si="1"/>
        <v>2412179.4466000004</v>
      </c>
    </row>
    <row r="14" spans="1:16" x14ac:dyDescent="0.2">
      <c r="A14" s="239">
        <v>504</v>
      </c>
      <c r="B14" s="229" t="s">
        <v>136</v>
      </c>
      <c r="C14" s="240">
        <f>'ER diciembre 2024'!E27</f>
        <v>278912.00477</v>
      </c>
      <c r="D14" s="240">
        <f>'ER diciembre 2024'!F27</f>
        <v>317207.89316000004</v>
      </c>
      <c r="E14" s="240">
        <f>'ER diciembre 2024'!G27</f>
        <v>622189.39199999999</v>
      </c>
      <c r="F14" s="240">
        <f>'ER diciembre 2024'!H27</f>
        <v>408385.99182999996</v>
      </c>
      <c r="G14" s="371">
        <f>'ER diciembre 2024'!J27</f>
        <v>157870.27007</v>
      </c>
      <c r="H14" s="240">
        <f>'ER diciembre 2024'!K27</f>
        <v>209572.46147000001</v>
      </c>
      <c r="I14" s="240">
        <f>'ER diciembre 2024'!L27</f>
        <v>12407.39976</v>
      </c>
      <c r="J14" s="240">
        <f>'ER diciembre 2024'!M27</f>
        <v>106768.76294</v>
      </c>
      <c r="K14" s="240">
        <f>'ER diciembre 2024'!N27</f>
        <v>86421.941989999992</v>
      </c>
      <c r="L14" s="240">
        <f>'ER diciembre 2024'!O27</f>
        <v>38662.387860000003</v>
      </c>
      <c r="M14" s="240">
        <f>'ER diciembre 2024'!P27</f>
        <v>45920.195009999996</v>
      </c>
      <c r="N14" s="240">
        <f>'ER diciembre 2024'!I27</f>
        <v>60643.423219999997</v>
      </c>
      <c r="O14" s="240">
        <f t="shared" si="1"/>
        <v>2344962.1240800004</v>
      </c>
    </row>
    <row r="15" spans="1:16" x14ac:dyDescent="0.2">
      <c r="A15" s="242"/>
      <c r="B15" s="232" t="s">
        <v>137</v>
      </c>
      <c r="C15" s="244">
        <f>C12+C13-C14</f>
        <v>846417.83102000016</v>
      </c>
      <c r="D15" s="244">
        <f>D12+D13-D14</f>
        <v>692360.77780999965</v>
      </c>
      <c r="E15" s="244">
        <f t="shared" ref="E15:N15" si="5">E12+E13-E14</f>
        <v>935465.69212000025</v>
      </c>
      <c r="F15" s="244">
        <f t="shared" si="5"/>
        <v>1387233.3177799995</v>
      </c>
      <c r="G15" s="372">
        <f t="shared" si="5"/>
        <v>1627598.0946799996</v>
      </c>
      <c r="H15" s="244">
        <f t="shared" si="5"/>
        <v>586033.70409999986</v>
      </c>
      <c r="I15" s="244">
        <f t="shared" si="5"/>
        <v>650943.71906000003</v>
      </c>
      <c r="J15" s="244">
        <f t="shared" si="5"/>
        <v>556537.5503699996</v>
      </c>
      <c r="K15" s="244">
        <f t="shared" si="5"/>
        <v>217853.15456999998</v>
      </c>
      <c r="L15" s="244">
        <f t="shared" si="5"/>
        <v>293462.59699000005</v>
      </c>
      <c r="M15" s="244">
        <f>M12+M13-M14</f>
        <v>115907.97528000004</v>
      </c>
      <c r="N15" s="244">
        <f t="shared" si="5"/>
        <v>314260.71418999997</v>
      </c>
      <c r="O15" s="244">
        <f t="shared" si="1"/>
        <v>8224075.1279699989</v>
      </c>
      <c r="P15" s="311"/>
    </row>
    <row r="16" spans="1:16" outlineLevel="1" x14ac:dyDescent="0.2">
      <c r="A16" s="239">
        <v>404</v>
      </c>
      <c r="B16" s="229" t="s">
        <v>138</v>
      </c>
      <c r="C16" s="240">
        <f>'ER diciembre 2024'!E15</f>
        <v>356852.87254000001</v>
      </c>
      <c r="D16" s="240">
        <f>'ER diciembre 2024'!F15</f>
        <v>172350.48994999999</v>
      </c>
      <c r="E16" s="240">
        <f>'ER diciembre 2024'!G15</f>
        <v>659729.41769000003</v>
      </c>
      <c r="F16" s="240">
        <f>'ER diciembre 2024'!H15</f>
        <v>1159759.5619900001</v>
      </c>
      <c r="G16" s="371">
        <f>'ER diciembre 2024'!J15</f>
        <v>517369.61229000002</v>
      </c>
      <c r="H16" s="240">
        <f>'ER diciembre 2024'!K15</f>
        <v>263505.86468</v>
      </c>
      <c r="I16" s="240">
        <f>'ER diciembre 2024'!L15</f>
        <v>94832.476750000002</v>
      </c>
      <c r="J16" s="240">
        <f>'ER diciembre 2024'!M15</f>
        <v>152482.07868000001</v>
      </c>
      <c r="K16" s="240">
        <f>'ER diciembre 2024'!N15</f>
        <v>34977.46228</v>
      </c>
      <c r="L16" s="240">
        <f>'ER diciembre 2024'!O15</f>
        <v>203073.85713999998</v>
      </c>
      <c r="M16" s="240">
        <f>'ER diciembre 2024'!P15</f>
        <v>203480.48640999998</v>
      </c>
      <c r="N16" s="240">
        <f>'ER diciembre 2024'!I15</f>
        <v>19357.506969999999</v>
      </c>
      <c r="O16" s="240">
        <f t="shared" si="1"/>
        <v>3837771.6873699999</v>
      </c>
      <c r="P16" s="250"/>
    </row>
    <row r="17" spans="1:16" outlineLevel="1" x14ac:dyDescent="0.2">
      <c r="A17" s="239">
        <v>405</v>
      </c>
      <c r="B17" s="229" t="s">
        <v>139</v>
      </c>
      <c r="C17" s="240">
        <f>'ER diciembre 2024'!E16</f>
        <v>63153.004700000005</v>
      </c>
      <c r="D17" s="240">
        <f>'ER diciembre 2024'!F16</f>
        <v>0</v>
      </c>
      <c r="E17" s="240">
        <f>'ER diciembre 2024'!G16</f>
        <v>48437.616609999997</v>
      </c>
      <c r="F17" s="240">
        <f>'ER diciembre 2024'!H16</f>
        <v>66059.836209999994</v>
      </c>
      <c r="G17" s="371">
        <f>'ER diciembre 2024'!J16</f>
        <v>68621.37473000001</v>
      </c>
      <c r="H17" s="240">
        <f>'ER diciembre 2024'!K16</f>
        <v>78170.729229999997</v>
      </c>
      <c r="I17" s="240">
        <f>'ER diciembre 2024'!L16</f>
        <v>5544.6663699999999</v>
      </c>
      <c r="J17" s="240">
        <f>'ER diciembre 2024'!M16</f>
        <v>39428.553329999995</v>
      </c>
      <c r="K17" s="240">
        <f>'ER diciembre 2024'!N16</f>
        <v>14504.34441</v>
      </c>
      <c r="L17" s="240">
        <f>'ER diciembre 2024'!O16</f>
        <v>4724.4651800000001</v>
      </c>
      <c r="M17" s="240">
        <f>'ER diciembre 2024'!P16</f>
        <v>6011.1678899999997</v>
      </c>
      <c r="N17" s="240">
        <f>'ER diciembre 2024'!I16</f>
        <v>16080.006130000002</v>
      </c>
      <c r="O17" s="240">
        <f t="shared" si="1"/>
        <v>410735.76479000004</v>
      </c>
    </row>
    <row r="18" spans="1:16" outlineLevel="1" x14ac:dyDescent="0.2">
      <c r="A18" s="239">
        <v>501</v>
      </c>
      <c r="B18" s="229" t="s">
        <v>140</v>
      </c>
      <c r="C18" s="240">
        <f>'ER diciembre 2024'!E24</f>
        <v>780430.89662999997</v>
      </c>
      <c r="D18" s="240">
        <f>'ER diciembre 2024'!F24</f>
        <v>551335.92888000002</v>
      </c>
      <c r="E18" s="240">
        <f>'ER diciembre 2024'!G24</f>
        <v>1116979.81886</v>
      </c>
      <c r="F18" s="240">
        <f>'ER diciembre 2024'!H24</f>
        <v>1635123.45065</v>
      </c>
      <c r="G18" s="371">
        <f>'ER diciembre 2024'!J24</f>
        <v>1398807.50193</v>
      </c>
      <c r="H18" s="240">
        <f>'ER diciembre 2024'!K24</f>
        <v>593312.99034999998</v>
      </c>
      <c r="I18" s="240">
        <f>'ER diciembre 2024'!L24</f>
        <v>405326.03642000002</v>
      </c>
      <c r="J18" s="240">
        <f>'ER diciembre 2024'!M24</f>
        <v>428295.29735000001</v>
      </c>
      <c r="K18" s="240">
        <f>'ER diciembre 2024'!N24</f>
        <v>136180.80098</v>
      </c>
      <c r="L18" s="240">
        <f>'ER diciembre 2024'!O24</f>
        <v>351921.48762999999</v>
      </c>
      <c r="M18" s="240">
        <f>'ER diciembre 2024'!P24</f>
        <v>217760.70506000001</v>
      </c>
      <c r="N18" s="240">
        <f>'ER diciembre 2024'!I24</f>
        <v>182315.43654</v>
      </c>
      <c r="O18" s="240">
        <f t="shared" si="1"/>
        <v>7797790.3512799991</v>
      </c>
      <c r="P18" s="250"/>
    </row>
    <row r="19" spans="1:16" outlineLevel="1" x14ac:dyDescent="0.2">
      <c r="A19" s="239">
        <v>506</v>
      </c>
      <c r="B19" s="229" t="s">
        <v>141</v>
      </c>
      <c r="C19" s="240">
        <f>'ER diciembre 2024'!E29</f>
        <v>0</v>
      </c>
      <c r="D19" s="240">
        <f>'ER diciembre 2024'!F29</f>
        <v>0</v>
      </c>
      <c r="E19" s="240">
        <f>'ER diciembre 2024'!G29</f>
        <v>0</v>
      </c>
      <c r="F19" s="240">
        <f>'ER diciembre 2024'!H29</f>
        <v>14784.49439</v>
      </c>
      <c r="G19" s="371">
        <f>'ER diciembre 2024'!J29</f>
        <v>132.19999999999999</v>
      </c>
      <c r="H19" s="240">
        <f>'ER diciembre 2024'!K29</f>
        <v>0</v>
      </c>
      <c r="I19" s="240">
        <f>'ER diciembre 2024'!L29</f>
        <v>0</v>
      </c>
      <c r="J19" s="240">
        <f>'ER diciembre 2024'!M29</f>
        <v>4915.40906</v>
      </c>
      <c r="K19" s="240">
        <f>'ER diciembre 2024'!N29</f>
        <v>0</v>
      </c>
      <c r="L19" s="240">
        <f>'ER diciembre 2024'!O29</f>
        <v>0</v>
      </c>
      <c r="M19" s="240">
        <f>'ER diciembre 2024'!P29</f>
        <v>5323.9243799999995</v>
      </c>
      <c r="N19" s="240">
        <f>'ER diciembre 2024'!I29</f>
        <v>0</v>
      </c>
      <c r="O19" s="240">
        <f t="shared" si="1"/>
        <v>25156.027830000003</v>
      </c>
      <c r="P19" s="250"/>
    </row>
    <row r="20" spans="1:16" s="326" customFormat="1" x14ac:dyDescent="0.2">
      <c r="A20" s="323"/>
      <c r="B20" s="324" t="s">
        <v>142</v>
      </c>
      <c r="C20" s="325">
        <f>C18+C19-C16-C17</f>
        <v>360425.01938999997</v>
      </c>
      <c r="D20" s="325">
        <f>D18+D19-D16-D17</f>
        <v>378985.43893000006</v>
      </c>
      <c r="E20" s="325">
        <f t="shared" ref="E20:N20" si="6">E18+E19-E16-E17</f>
        <v>408812.78455999994</v>
      </c>
      <c r="F20" s="325">
        <f t="shared" si="6"/>
        <v>424088.54683999985</v>
      </c>
      <c r="G20" s="325">
        <f t="shared" si="6"/>
        <v>812948.71490999986</v>
      </c>
      <c r="H20" s="325">
        <f t="shared" si="6"/>
        <v>251636.39643999998</v>
      </c>
      <c r="I20" s="325">
        <f t="shared" si="6"/>
        <v>304948.8933</v>
      </c>
      <c r="J20" s="325">
        <f t="shared" si="6"/>
        <v>241300.07439999995</v>
      </c>
      <c r="K20" s="325">
        <f t="shared" si="6"/>
        <v>86698.994289999988</v>
      </c>
      <c r="L20" s="325">
        <f t="shared" si="6"/>
        <v>144123.16531000001</v>
      </c>
      <c r="M20" s="325">
        <f>M18+M19-M16-M17</f>
        <v>13592.975140000035</v>
      </c>
      <c r="N20" s="325">
        <f t="shared" si="6"/>
        <v>146877.92344000001</v>
      </c>
      <c r="O20" s="325">
        <f>SUM(C20:N20)</f>
        <v>3574438.9269499993</v>
      </c>
    </row>
    <row r="21" spans="1:16" x14ac:dyDescent="0.2">
      <c r="A21" s="242"/>
      <c r="B21" s="232" t="s">
        <v>143</v>
      </c>
      <c r="C21" s="246">
        <f>C15-C20</f>
        <v>485992.81163000019</v>
      </c>
      <c r="D21" s="246">
        <f>D15-D20</f>
        <v>313375.33887999959</v>
      </c>
      <c r="E21" s="246">
        <f t="shared" ref="E21:N21" si="7">E15-E20</f>
        <v>526652.90756000031</v>
      </c>
      <c r="F21" s="246">
        <f t="shared" si="7"/>
        <v>963144.77093999961</v>
      </c>
      <c r="G21" s="373">
        <f t="shared" si="7"/>
        <v>814649.37976999977</v>
      </c>
      <c r="H21" s="246">
        <f t="shared" si="7"/>
        <v>334397.30765999987</v>
      </c>
      <c r="I21" s="246">
        <f t="shared" si="7"/>
        <v>345994.82576000004</v>
      </c>
      <c r="J21" s="246">
        <f t="shared" si="7"/>
        <v>315237.47596999968</v>
      </c>
      <c r="K21" s="246">
        <f t="shared" si="7"/>
        <v>131154.16028000001</v>
      </c>
      <c r="L21" s="246">
        <f t="shared" si="7"/>
        <v>149339.43168000004</v>
      </c>
      <c r="M21" s="246">
        <f>M15-M20</f>
        <v>102315.00014</v>
      </c>
      <c r="N21" s="246">
        <f t="shared" si="7"/>
        <v>167382.79074999996</v>
      </c>
      <c r="O21" s="246">
        <f t="shared" si="1"/>
        <v>4649636.2010199996</v>
      </c>
    </row>
    <row r="22" spans="1:16" x14ac:dyDescent="0.2">
      <c r="A22" s="239">
        <v>406</v>
      </c>
      <c r="B22" s="229" t="s">
        <v>144</v>
      </c>
      <c r="C22" s="240">
        <f>'ER diciembre 2024'!E17</f>
        <v>30918.822390000001</v>
      </c>
      <c r="D22" s="240">
        <f>'ER diciembre 2024'!F17</f>
        <v>53520.694309999999</v>
      </c>
      <c r="E22" s="240">
        <f>'ER diciembre 2024'!G17</f>
        <v>16328.552750000001</v>
      </c>
      <c r="F22" s="240">
        <f>'ER diciembre 2024'!H17</f>
        <v>42548.511749999998</v>
      </c>
      <c r="G22" s="371">
        <f>'ER diciembre 2024'!J17</f>
        <v>22263.73259</v>
      </c>
      <c r="H22" s="240">
        <f>'ER diciembre 2024'!K17</f>
        <v>26623.791949999999</v>
      </c>
      <c r="I22" s="240">
        <f>'ER diciembre 2024'!L17</f>
        <v>9849.4592200000006</v>
      </c>
      <c r="J22" s="240">
        <f>'ER diciembre 2024'!M17</f>
        <v>10915.83691</v>
      </c>
      <c r="K22" s="240">
        <f>'ER diciembre 2024'!N17</f>
        <v>22545.124749999999</v>
      </c>
      <c r="L22" s="240">
        <f>'ER diciembre 2024'!O17</f>
        <v>23520.984379999998</v>
      </c>
      <c r="M22" s="240">
        <f>'ER diciembre 2024'!P17</f>
        <v>19964.57906</v>
      </c>
      <c r="N22" s="240">
        <f>'ER diciembre 2024'!I17</f>
        <v>16437.840700000001</v>
      </c>
      <c r="O22" s="240">
        <f t="shared" si="1"/>
        <v>295437.93076000002</v>
      </c>
    </row>
    <row r="23" spans="1:16" x14ac:dyDescent="0.2">
      <c r="A23" s="239">
        <v>507</v>
      </c>
      <c r="B23" s="229" t="s">
        <v>145</v>
      </c>
      <c r="C23" s="240">
        <f>'ER diciembre 2024'!E30</f>
        <v>115483.72856999999</v>
      </c>
      <c r="D23" s="240">
        <f>'ER diciembre 2024'!F30</f>
        <v>131326.69714</v>
      </c>
      <c r="E23" s="240">
        <f>'ER diciembre 2024'!G30</f>
        <v>145861.38836000001</v>
      </c>
      <c r="F23" s="240">
        <f>'ER diciembre 2024'!H30</f>
        <v>305767.11663999996</v>
      </c>
      <c r="G23" s="371">
        <f>'ER diciembre 2024'!J30</f>
        <v>245183.27584000002</v>
      </c>
      <c r="H23" s="240">
        <f>'ER diciembre 2024'!K30</f>
        <v>124172.81658</v>
      </c>
      <c r="I23" s="240">
        <f>'ER diciembre 2024'!L30</f>
        <v>125708.48731999999</v>
      </c>
      <c r="J23" s="240">
        <f>'ER diciembre 2024'!M30</f>
        <v>85610.984430000011</v>
      </c>
      <c r="K23" s="240">
        <f>'ER diciembre 2024'!N30</f>
        <v>51389.273479999996</v>
      </c>
      <c r="L23" s="240">
        <f>'ER diciembre 2024'!O30</f>
        <v>66135.857600000003</v>
      </c>
      <c r="M23" s="240">
        <f>'ER diciembre 2024'!P30</f>
        <v>41178.167350000003</v>
      </c>
      <c r="N23" s="240">
        <f>'ER diciembre 2024'!I30</f>
        <v>85902.461779999998</v>
      </c>
      <c r="O23" s="240">
        <f t="shared" si="1"/>
        <v>1523720.2550900001</v>
      </c>
    </row>
    <row r="24" spans="1:16" x14ac:dyDescent="0.2">
      <c r="A24" s="242"/>
      <c r="B24" s="232" t="s">
        <v>146</v>
      </c>
      <c r="C24" s="243">
        <f>C21+C22-C23</f>
        <v>401427.90545000019</v>
      </c>
      <c r="D24" s="243">
        <f>D21+D22-D23</f>
        <v>235569.33604999958</v>
      </c>
      <c r="E24" s="243">
        <f t="shared" ref="E24:L24" si="8">E21+E22-E23</f>
        <v>397120.07195000036</v>
      </c>
      <c r="F24" s="243">
        <f t="shared" si="8"/>
        <v>699926.16604999965</v>
      </c>
      <c r="G24" s="370">
        <f t="shared" si="8"/>
        <v>591729.83651999978</v>
      </c>
      <c r="H24" s="243">
        <f t="shared" si="8"/>
        <v>236848.28302999987</v>
      </c>
      <c r="I24" s="243">
        <f t="shared" si="8"/>
        <v>230135.79766000007</v>
      </c>
      <c r="J24" s="243">
        <f t="shared" si="8"/>
        <v>240542.32844999968</v>
      </c>
      <c r="K24" s="243">
        <f t="shared" si="8"/>
        <v>102310.01155</v>
      </c>
      <c r="L24" s="243">
        <f t="shared" si="8"/>
        <v>106724.55846000004</v>
      </c>
      <c r="M24" s="243">
        <f>M21+M22-M23</f>
        <v>81101.411850000004</v>
      </c>
      <c r="N24" s="243">
        <f>N21+N22-N23</f>
        <v>97918.169669999959</v>
      </c>
      <c r="O24" s="243">
        <f>SUM(C24:N24)</f>
        <v>3421353.8766899994</v>
      </c>
    </row>
    <row r="25" spans="1:16" x14ac:dyDescent="0.2">
      <c r="A25" s="239">
        <v>509</v>
      </c>
      <c r="B25" s="229" t="s">
        <v>147</v>
      </c>
      <c r="C25" s="240">
        <f>'ER diciembre 2024'!E32</f>
        <v>190196.89944000001</v>
      </c>
      <c r="D25" s="240">
        <f>'ER diciembre 2024'!F32</f>
        <v>182038.62369000001</v>
      </c>
      <c r="E25" s="240">
        <f>'ER diciembre 2024'!G32</f>
        <v>320860.47041000001</v>
      </c>
      <c r="F25" s="240">
        <f>'ER diciembre 2024'!H32</f>
        <v>518291.07727999997</v>
      </c>
      <c r="G25" s="371">
        <f>'ER diciembre 2024'!J32</f>
        <v>445473.42573000002</v>
      </c>
      <c r="H25" s="240">
        <f>'ER diciembre 2024'!K32</f>
        <v>149540.77302000002</v>
      </c>
      <c r="I25" s="240">
        <f>'ER diciembre 2024'!L32</f>
        <v>115825.90551000001</v>
      </c>
      <c r="J25" s="240">
        <f>'ER diciembre 2024'!M32</f>
        <v>109827.12835</v>
      </c>
      <c r="K25" s="240">
        <f>'ER diciembre 2024'!N32</f>
        <v>80670.1829</v>
      </c>
      <c r="L25" s="240">
        <f>'ER diciembre 2024'!O32</f>
        <v>70182.478749999995</v>
      </c>
      <c r="M25" s="240">
        <f>'ER diciembre 2024'!P32</f>
        <v>68900.780760000009</v>
      </c>
      <c r="N25" s="240">
        <f>'ER diciembre 2024'!I32</f>
        <v>117994.10683</v>
      </c>
      <c r="O25" s="240">
        <f t="shared" si="1"/>
        <v>2369801.8526699995</v>
      </c>
    </row>
    <row r="26" spans="1:16" x14ac:dyDescent="0.2">
      <c r="A26" s="242"/>
      <c r="B26" s="232" t="s">
        <v>148</v>
      </c>
      <c r="C26" s="243">
        <f>C24-C25</f>
        <v>211231.00601000019</v>
      </c>
      <c r="D26" s="243">
        <f>D24-D25</f>
        <v>53530.712359999568</v>
      </c>
      <c r="E26" s="243">
        <f t="shared" ref="E26:N26" si="9">E24-E25</f>
        <v>76259.601540000353</v>
      </c>
      <c r="F26" s="243">
        <f t="shared" si="9"/>
        <v>181635.08876999968</v>
      </c>
      <c r="G26" s="370">
        <f t="shared" si="9"/>
        <v>146256.41078999976</v>
      </c>
      <c r="H26" s="243">
        <f t="shared" si="9"/>
        <v>87307.510009999853</v>
      </c>
      <c r="I26" s="243">
        <f t="shared" si="9"/>
        <v>114309.89215000006</v>
      </c>
      <c r="J26" s="243">
        <f t="shared" si="9"/>
        <v>130715.20009999968</v>
      </c>
      <c r="K26" s="243">
        <f t="shared" si="9"/>
        <v>21639.828649999996</v>
      </c>
      <c r="L26" s="243">
        <f t="shared" si="9"/>
        <v>36542.079710000049</v>
      </c>
      <c r="M26" s="243">
        <f t="shared" si="9"/>
        <v>12200.631089999995</v>
      </c>
      <c r="N26" s="243">
        <f t="shared" si="9"/>
        <v>-20075.937160000045</v>
      </c>
      <c r="O26" s="243">
        <f t="shared" si="1"/>
        <v>1051552.0240199992</v>
      </c>
    </row>
    <row r="27" spans="1:16" x14ac:dyDescent="0.2">
      <c r="A27" s="239">
        <v>407</v>
      </c>
      <c r="B27" s="229" t="s">
        <v>149</v>
      </c>
      <c r="C27" s="240">
        <f>'ER diciembre 2024'!E18</f>
        <v>171257.85547000001</v>
      </c>
      <c r="D27" s="240">
        <f>'ER diciembre 2024'!F18</f>
        <v>113466.62015</v>
      </c>
      <c r="E27" s="240">
        <f>'ER diciembre 2024'!G18</f>
        <v>136761.49078999998</v>
      </c>
      <c r="F27" s="240">
        <f>'ER diciembre 2024'!H18</f>
        <v>172842.69984000002</v>
      </c>
      <c r="G27" s="371">
        <f>'ER diciembre 2024'!J18</f>
        <v>182028.98628000001</v>
      </c>
      <c r="H27" s="240">
        <f>'ER diciembre 2024'!K18</f>
        <v>78237.899709999998</v>
      </c>
      <c r="I27" s="240">
        <f>'ER diciembre 2024'!L18</f>
        <v>74709.39748</v>
      </c>
      <c r="J27" s="240">
        <f>'ER diciembre 2024'!M18</f>
        <v>83283.012920000008</v>
      </c>
      <c r="K27" s="240">
        <f>'ER diciembre 2024'!N18</f>
        <v>42891.941149999999</v>
      </c>
      <c r="L27" s="240">
        <f>'ER diciembre 2024'!O18</f>
        <v>49193.615460000001</v>
      </c>
      <c r="M27" s="240">
        <f>'ER diciembre 2024'!P18</f>
        <v>20476.81479</v>
      </c>
      <c r="N27" s="240">
        <f>'ER diciembre 2024'!I18</f>
        <v>52605.860609999996</v>
      </c>
      <c r="O27" s="240">
        <f t="shared" si="1"/>
        <v>1177756.1946500002</v>
      </c>
    </row>
    <row r="28" spans="1:16" x14ac:dyDescent="0.2">
      <c r="A28" s="239">
        <v>508</v>
      </c>
      <c r="B28" s="229" t="s">
        <v>150</v>
      </c>
      <c r="C28" s="241">
        <f>'ER diciembre 2024'!E31</f>
        <v>32026.17859</v>
      </c>
      <c r="D28" s="241">
        <f>'ER diciembre 2024'!F31</f>
        <v>40821.546759999997</v>
      </c>
      <c r="E28" s="241">
        <f>'ER diciembre 2024'!G31</f>
        <v>28658.234510000002</v>
      </c>
      <c r="F28" s="241">
        <f>'ER diciembre 2024'!H31</f>
        <v>14155.67123</v>
      </c>
      <c r="G28" s="369">
        <f>'ER diciembre 2024'!J31</f>
        <v>7645.7452199999998</v>
      </c>
      <c r="H28" s="241">
        <f>'ER diciembre 2024'!K31</f>
        <v>12055.622140000001</v>
      </c>
      <c r="I28" s="241">
        <f>'ER diciembre 2024'!L31</f>
        <v>758.6868199999999</v>
      </c>
      <c r="J28" s="241">
        <f>'ER diciembre 2024'!M31</f>
        <v>11485.937699999999</v>
      </c>
      <c r="K28" s="241">
        <f>'ER diciembre 2024'!N31</f>
        <v>8449.96414</v>
      </c>
      <c r="L28" s="241">
        <f>'ER diciembre 2024'!O31</f>
        <v>1546.0725299999999</v>
      </c>
      <c r="M28" s="241">
        <f>'ER diciembre 2024'!P31</f>
        <v>1382.8532</v>
      </c>
      <c r="N28" s="241">
        <f>'ER diciembre 2024'!I31</f>
        <v>7212.5929599999999</v>
      </c>
      <c r="O28" s="241">
        <f t="shared" si="1"/>
        <v>166199.10580000005</v>
      </c>
    </row>
    <row r="29" spans="1:16" x14ac:dyDescent="0.2">
      <c r="A29" s="242"/>
      <c r="B29" s="232" t="s">
        <v>151</v>
      </c>
      <c r="C29" s="243">
        <f>C27-C28</f>
        <v>139231.67688000001</v>
      </c>
      <c r="D29" s="243">
        <f>D27-D28</f>
        <v>72645.073390000005</v>
      </c>
      <c r="E29" s="243">
        <f t="shared" ref="E29:N29" si="10">E27-E28</f>
        <v>108103.25627999997</v>
      </c>
      <c r="F29" s="243">
        <f t="shared" si="10"/>
        <v>158687.02861000001</v>
      </c>
      <c r="G29" s="370">
        <f t="shared" si="10"/>
        <v>174383.24106</v>
      </c>
      <c r="H29" s="243">
        <f t="shared" si="10"/>
        <v>66182.277569999991</v>
      </c>
      <c r="I29" s="243">
        <f t="shared" si="10"/>
        <v>73950.710659999997</v>
      </c>
      <c r="J29" s="243">
        <f t="shared" si="10"/>
        <v>71797.075220000013</v>
      </c>
      <c r="K29" s="243">
        <f t="shared" si="10"/>
        <v>34441.977010000002</v>
      </c>
      <c r="L29" s="243">
        <f t="shared" si="10"/>
        <v>47647.542930000003</v>
      </c>
      <c r="M29" s="243">
        <f>M27-M28</f>
        <v>19093.961589999999</v>
      </c>
      <c r="N29" s="243">
        <f t="shared" si="10"/>
        <v>45393.267649999994</v>
      </c>
      <c r="O29" s="243">
        <f t="shared" si="1"/>
        <v>1011557.0888499999</v>
      </c>
    </row>
    <row r="30" spans="1:16" x14ac:dyDescent="0.2">
      <c r="A30" s="239">
        <v>408</v>
      </c>
      <c r="B30" s="229" t="s">
        <v>152</v>
      </c>
      <c r="C30" s="240">
        <f>'ER diciembre 2024'!E20</f>
        <v>12838.802380000001</v>
      </c>
      <c r="D30" s="240">
        <f>'ER diciembre 2024'!F20</f>
        <v>4151.7178999999996</v>
      </c>
      <c r="E30" s="240">
        <f>'ER diciembre 2024'!G20</f>
        <v>7905.2835500000001</v>
      </c>
      <c r="F30" s="240">
        <f>'ER diciembre 2024'!H20</f>
        <v>53304.252590000004</v>
      </c>
      <c r="G30" s="371">
        <f>'ER diciembre 2024'!J20</f>
        <v>6313.2154600000003</v>
      </c>
      <c r="H30" s="240">
        <f>'ER diciembre 2024'!K20</f>
        <v>7052.44326</v>
      </c>
      <c r="I30" s="240">
        <f>'ER diciembre 2024'!L20</f>
        <v>539.85825</v>
      </c>
      <c r="J30" s="240">
        <f>'ER diciembre 2024'!M20</f>
        <v>3238.3061299999999</v>
      </c>
      <c r="K30" s="240">
        <f>'ER diciembre 2024'!N20</f>
        <v>239</v>
      </c>
      <c r="L30" s="240">
        <f>'ER diciembre 2024'!O20</f>
        <v>0.99087999999999998</v>
      </c>
      <c r="M30" s="240">
        <f>'ER diciembre 2024'!P20</f>
        <v>1278.76144</v>
      </c>
      <c r="N30" s="240">
        <f>'ER diciembre 2024'!I20</f>
        <v>15752.106679999999</v>
      </c>
      <c r="O30" s="240">
        <f t="shared" si="1"/>
        <v>112614.73852000001</v>
      </c>
    </row>
    <row r="31" spans="1:16" x14ac:dyDescent="0.2">
      <c r="A31" s="239">
        <v>510</v>
      </c>
      <c r="B31" s="229" t="s">
        <v>153</v>
      </c>
      <c r="C31" s="241">
        <f>'ER diciembre 2024'!E35</f>
        <v>1500.63391</v>
      </c>
      <c r="D31" s="241">
        <f>'ER diciembre 2024'!F35</f>
        <v>2.5795400000000002</v>
      </c>
      <c r="E31" s="241">
        <f>'ER diciembre 2024'!G35</f>
        <v>17520.685369999999</v>
      </c>
      <c r="F31" s="241">
        <f>'ER diciembre 2024'!H35</f>
        <v>3691.2109300000002</v>
      </c>
      <c r="G31" s="369">
        <f>'ER diciembre 2024'!J35</f>
        <v>13.61994</v>
      </c>
      <c r="H31" s="241">
        <f>'ER diciembre 2024'!K35</f>
        <v>19324.122030000002</v>
      </c>
      <c r="I31" s="241">
        <f>'ER diciembre 2024'!L35</f>
        <v>500</v>
      </c>
      <c r="J31" s="241">
        <f>'ER diciembre 2024'!M35</f>
        <v>158.73347000000001</v>
      </c>
      <c r="K31" s="241">
        <f>'ER diciembre 2024'!N35</f>
        <v>46.496490000000001</v>
      </c>
      <c r="L31" s="241">
        <f>'ER diciembre 2024'!O35</f>
        <v>0</v>
      </c>
      <c r="M31" s="241">
        <f>'ER diciembre 2024'!P35</f>
        <v>7.4575200000000006</v>
      </c>
      <c r="N31" s="241">
        <f>'ER diciembre 2024'!I35</f>
        <v>1784.1321799999998</v>
      </c>
      <c r="O31" s="241">
        <f t="shared" si="1"/>
        <v>44549.671380000007</v>
      </c>
    </row>
    <row r="32" spans="1:16" x14ac:dyDescent="0.2">
      <c r="A32" s="242"/>
      <c r="B32" s="232" t="s">
        <v>154</v>
      </c>
      <c r="C32" s="244">
        <f>C26+C29+C30-C31</f>
        <v>361800.8513600002</v>
      </c>
      <c r="D32" s="244">
        <f>D26+D29+D30-D31</f>
        <v>130324.92410999957</v>
      </c>
      <c r="E32" s="244">
        <f t="shared" ref="E32:N32" si="11">E26+E29+E30-E31</f>
        <v>174747.45600000033</v>
      </c>
      <c r="F32" s="244">
        <f t="shared" si="11"/>
        <v>389935.15903999971</v>
      </c>
      <c r="G32" s="372">
        <f t="shared" si="11"/>
        <v>326939.24736999976</v>
      </c>
      <c r="H32" s="244">
        <f t="shared" si="11"/>
        <v>141218.10880999983</v>
      </c>
      <c r="I32" s="244">
        <f t="shared" si="11"/>
        <v>188300.46106000006</v>
      </c>
      <c r="J32" s="244">
        <f t="shared" si="11"/>
        <v>205591.8479799997</v>
      </c>
      <c r="K32" s="244">
        <f t="shared" si="11"/>
        <v>56274.30917</v>
      </c>
      <c r="L32" s="244">
        <f t="shared" si="11"/>
        <v>84190.613520000043</v>
      </c>
      <c r="M32" s="244">
        <f>M26+M29+M30-M31</f>
        <v>32565.896599999993</v>
      </c>
      <c r="N32" s="244">
        <f t="shared" si="11"/>
        <v>39285.304989999946</v>
      </c>
      <c r="O32" s="244">
        <f t="shared" si="1"/>
        <v>2131174.1800099993</v>
      </c>
    </row>
    <row r="33" spans="1:18" x14ac:dyDescent="0.2">
      <c r="A33" s="239">
        <v>419</v>
      </c>
      <c r="B33" s="229" t="s">
        <v>155</v>
      </c>
      <c r="C33" s="240">
        <f>'ER diciembre 2024'!E19</f>
        <v>135.49494000000001</v>
      </c>
      <c r="D33" s="240">
        <f>'ER diciembre 2024'!F19</f>
        <v>0</v>
      </c>
      <c r="E33" s="240">
        <f>'ER diciembre 2024'!G19</f>
        <v>14515.37383</v>
      </c>
      <c r="F33" s="240">
        <f>'ER diciembre 2024'!H19</f>
        <v>32475.106530000001</v>
      </c>
      <c r="G33" s="371">
        <f>'ER diciembre 2024'!J19</f>
        <v>5781.6532100000004</v>
      </c>
      <c r="H33" s="240">
        <f>'ER diciembre 2024'!K19</f>
        <v>5921.1478299999999</v>
      </c>
      <c r="I33" s="240">
        <f>'ER diciembre 2024'!L19</f>
        <v>0</v>
      </c>
      <c r="J33" s="240">
        <f>'ER diciembre 2024'!M19</f>
        <v>0</v>
      </c>
      <c r="K33" s="240">
        <f>'ER diciembre 2024'!N19</f>
        <v>54.457629999999995</v>
      </c>
      <c r="L33" s="240">
        <f>'ER diciembre 2024'!O19</f>
        <v>816.12343999999996</v>
      </c>
      <c r="M33" s="240">
        <f>'ER diciembre 2024'!P19</f>
        <v>3.5999999999999997E-4</v>
      </c>
      <c r="N33" s="240">
        <f>'ER diciembre 2024'!I19</f>
        <v>0</v>
      </c>
      <c r="O33" s="240">
        <f t="shared" si="1"/>
        <v>59699.35777000001</v>
      </c>
    </row>
    <row r="34" spans="1:18" x14ac:dyDescent="0.2">
      <c r="A34" s="239">
        <v>598</v>
      </c>
      <c r="B34" s="229" t="s">
        <v>156</v>
      </c>
      <c r="C34" s="241">
        <f>'ER diciembre 2024'!E33</f>
        <v>0</v>
      </c>
      <c r="D34" s="241">
        <f>'ER diciembre 2024'!F33</f>
        <v>170.54495</v>
      </c>
      <c r="E34" s="241">
        <f>'ER diciembre 2024'!G33</f>
        <v>384.88739000000004</v>
      </c>
      <c r="F34" s="241">
        <f>'ER diciembre 2024'!H33</f>
        <v>695.94382999999993</v>
      </c>
      <c r="G34" s="369">
        <f>'ER diciembre 2024'!J33</f>
        <v>3331.43878</v>
      </c>
      <c r="H34" s="241">
        <f>'ER diciembre 2024'!K33</f>
        <v>5199.3029999999999</v>
      </c>
      <c r="I34" s="241">
        <f>'ER diciembre 2024'!L33</f>
        <v>0</v>
      </c>
      <c r="J34" s="241">
        <f>'ER diciembre 2024'!M33</f>
        <v>0</v>
      </c>
      <c r="K34" s="241">
        <f>'ER diciembre 2024'!N33</f>
        <v>153.64521999999999</v>
      </c>
      <c r="L34" s="241">
        <f>'ER diciembre 2024'!O33</f>
        <v>2271.1313599999999</v>
      </c>
      <c r="M34" s="241">
        <f>'ER diciembre 2024'!P33</f>
        <v>2.7059000000000002</v>
      </c>
      <c r="N34" s="241">
        <f>'ER diciembre 2024'!I33</f>
        <v>1138.6896299999999</v>
      </c>
      <c r="O34" s="241">
        <f t="shared" si="1"/>
        <v>13348.290059999999</v>
      </c>
    </row>
    <row r="35" spans="1:18" x14ac:dyDescent="0.2">
      <c r="A35" s="242"/>
      <c r="B35" s="232" t="s">
        <v>157</v>
      </c>
      <c r="C35" s="244">
        <f>C32+C33-C34</f>
        <v>361936.34630000021</v>
      </c>
      <c r="D35" s="244">
        <f>D32+D33-D34</f>
        <v>130154.37915999957</v>
      </c>
      <c r="E35" s="244">
        <f t="shared" ref="E35:N35" si="12">E32+E33-E34</f>
        <v>188877.94244000033</v>
      </c>
      <c r="F35" s="244">
        <f t="shared" si="12"/>
        <v>421714.32173999969</v>
      </c>
      <c r="G35" s="372">
        <f t="shared" si="12"/>
        <v>329389.46179999976</v>
      </c>
      <c r="H35" s="244">
        <f t="shared" si="12"/>
        <v>141939.95363999985</v>
      </c>
      <c r="I35" s="244">
        <f t="shared" si="12"/>
        <v>188300.46106000006</v>
      </c>
      <c r="J35" s="244">
        <f t="shared" si="12"/>
        <v>205591.8479799997</v>
      </c>
      <c r="K35" s="244">
        <f t="shared" si="12"/>
        <v>56175.121579999999</v>
      </c>
      <c r="L35" s="244">
        <f t="shared" si="12"/>
        <v>82735.605600000039</v>
      </c>
      <c r="M35" s="244">
        <f>M32+M33-M34</f>
        <v>32563.19105999999</v>
      </c>
      <c r="N35" s="244">
        <f t="shared" si="12"/>
        <v>38146.615359999945</v>
      </c>
      <c r="O35" s="244">
        <f t="shared" si="1"/>
        <v>2177525.2477199994</v>
      </c>
    </row>
    <row r="36" spans="1:18" x14ac:dyDescent="0.2">
      <c r="A36" s="239">
        <v>599</v>
      </c>
      <c r="B36" s="229" t="s">
        <v>158</v>
      </c>
      <c r="C36" s="241">
        <f>'ER diciembre 2024'!E34</f>
        <v>79893.525900000008</v>
      </c>
      <c r="D36" s="241">
        <f>'ER diciembre 2024'!F34</f>
        <v>37829.969210000003</v>
      </c>
      <c r="E36" s="241">
        <f>'ER diciembre 2024'!G34</f>
        <v>61162.054299999996</v>
      </c>
      <c r="F36" s="241">
        <f>'ER diciembre 2024'!H34</f>
        <v>98062.973239999992</v>
      </c>
      <c r="G36" s="369">
        <f>'ER diciembre 2024'!J34</f>
        <v>76966.264319999987</v>
      </c>
      <c r="H36" s="241">
        <f>'ER diciembre 2024'!K34</f>
        <v>36223.67884</v>
      </c>
      <c r="I36" s="241">
        <f>'ER diciembre 2024'!L34</f>
        <v>43439.780469999998</v>
      </c>
      <c r="J36" s="241">
        <f>'ER diciembre 2024'!M34</f>
        <v>46809.69771</v>
      </c>
      <c r="K36" s="241">
        <f>'ER diciembre 2024'!N34</f>
        <v>12698.109859999999</v>
      </c>
      <c r="L36" s="241">
        <f>'ER diciembre 2024'!O34</f>
        <v>16110.419380000001</v>
      </c>
      <c r="M36" s="241">
        <f>'ER diciembre 2024'!P34</f>
        <v>13446.22207</v>
      </c>
      <c r="N36" s="241">
        <f>'ER diciembre 2024'!I34</f>
        <v>5947.3121200000005</v>
      </c>
      <c r="O36" s="241">
        <f t="shared" si="1"/>
        <v>528590.00742000004</v>
      </c>
    </row>
    <row r="37" spans="1:18" x14ac:dyDescent="0.2">
      <c r="A37" s="242"/>
      <c r="B37" s="232" t="s">
        <v>159</v>
      </c>
      <c r="C37" s="244">
        <f>C35-C36</f>
        <v>282042.8204000002</v>
      </c>
      <c r="D37" s="244">
        <f>D35-D36</f>
        <v>92324.409949999565</v>
      </c>
      <c r="E37" s="244">
        <f t="shared" ref="E37:N37" si="13">E35-E36</f>
        <v>127715.88814000034</v>
      </c>
      <c r="F37" s="244">
        <f t="shared" si="13"/>
        <v>323651.34849999973</v>
      </c>
      <c r="G37" s="338">
        <f t="shared" si="13"/>
        <v>252423.19747999977</v>
      </c>
      <c r="H37" s="244">
        <f t="shared" si="13"/>
        <v>105716.27479999984</v>
      </c>
      <c r="I37" s="244">
        <f t="shared" si="13"/>
        <v>144860.68059000006</v>
      </c>
      <c r="J37" s="244">
        <f t="shared" si="13"/>
        <v>158782.15026999969</v>
      </c>
      <c r="K37" s="244">
        <f t="shared" si="13"/>
        <v>43477.011720000002</v>
      </c>
      <c r="L37" s="244">
        <f t="shared" si="13"/>
        <v>66625.186220000032</v>
      </c>
      <c r="M37" s="244">
        <f>M35-M36</f>
        <v>19116.96898999999</v>
      </c>
      <c r="N37" s="244">
        <f t="shared" si="13"/>
        <v>32199.303239999943</v>
      </c>
      <c r="O37" s="244">
        <f t="shared" si="1"/>
        <v>1648935.2402999992</v>
      </c>
      <c r="Q37" s="247"/>
      <c r="R37" s="247"/>
    </row>
    <row r="38" spans="1:18" hidden="1" x14ac:dyDescent="0.2">
      <c r="C38" s="248">
        <v>5529.469900000011</v>
      </c>
      <c r="D38" s="248">
        <v>-7579.5528900000063</v>
      </c>
      <c r="E38" s="248">
        <v>-9529.3087499999674</v>
      </c>
      <c r="F38" s="248">
        <v>16322.979859999963</v>
      </c>
      <c r="G38" s="339">
        <v>56932.405440000002</v>
      </c>
      <c r="H38" s="248">
        <v>11544.127409999986</v>
      </c>
      <c r="I38" s="248">
        <v>6867.153959999996</v>
      </c>
      <c r="J38" s="248">
        <v>11050.022700000001</v>
      </c>
      <c r="K38" s="248">
        <v>1841.2233400000041</v>
      </c>
      <c r="L38" s="248">
        <v>4567.4104599999955</v>
      </c>
      <c r="M38" s="248"/>
      <c r="N38" s="248">
        <v>2472.2251500000712</v>
      </c>
      <c r="O38" s="248">
        <f t="shared" si="1"/>
        <v>100018.15658000005</v>
      </c>
      <c r="R38" s="247"/>
    </row>
    <row r="39" spans="1:18" hidden="1" x14ac:dyDescent="0.2">
      <c r="C39" s="248">
        <f>C37-C38</f>
        <v>276513.35050000018</v>
      </c>
      <c r="D39" s="248">
        <f t="shared" ref="D39:N39" si="14">D37-D38</f>
        <v>99903.962839999571</v>
      </c>
      <c r="E39" s="248">
        <f t="shared" si="14"/>
        <v>137245.19689000031</v>
      </c>
      <c r="F39" s="248">
        <f t="shared" si="14"/>
        <v>307328.36863999977</v>
      </c>
      <c r="G39" s="339">
        <f t="shared" si="14"/>
        <v>195490.79203999977</v>
      </c>
      <c r="H39" s="248">
        <f t="shared" si="14"/>
        <v>94172.147389999853</v>
      </c>
      <c r="I39" s="248">
        <f t="shared" si="14"/>
        <v>137993.52663000007</v>
      </c>
      <c r="J39" s="248">
        <f t="shared" si="14"/>
        <v>147732.12756999969</v>
      </c>
      <c r="K39" s="248">
        <f t="shared" si="14"/>
        <v>41635.788379999998</v>
      </c>
      <c r="L39" s="248">
        <f t="shared" si="14"/>
        <v>62057.775760000033</v>
      </c>
      <c r="M39" s="248"/>
      <c r="N39" s="248">
        <f t="shared" si="14"/>
        <v>29727.078089999872</v>
      </c>
      <c r="O39" s="248"/>
      <c r="R39" s="247"/>
    </row>
    <row r="40" spans="1:18" x14ac:dyDescent="0.2">
      <c r="C40" s="263">
        <f>C37-'ER diciembre 2024'!E37</f>
        <v>0</v>
      </c>
      <c r="D40" s="263">
        <f>D37-'ER diciembre 2024'!F37</f>
        <v>-2.4738255888223648E-10</v>
      </c>
      <c r="E40" s="263">
        <f>E37-'ER diciembre 2024'!G37</f>
        <v>0</v>
      </c>
      <c r="F40" s="263">
        <f>F37-'ER diciembre 2024'!H37</f>
        <v>-1.2223608791828156E-9</v>
      </c>
      <c r="G40" s="340">
        <f>G37-'ER diciembre 2024'!J37</f>
        <v>-7.2759576141834259E-10</v>
      </c>
      <c r="H40" s="263">
        <f>H37-'ER diciembre 2024'!K37</f>
        <v>1.3096723705530167E-10</v>
      </c>
      <c r="I40" s="263">
        <f>I37-'ER diciembre 2024'!L37</f>
        <v>0</v>
      </c>
      <c r="J40" s="263">
        <f>J37-'ER diciembre 2024'!M37</f>
        <v>-2.9103830456733704E-10</v>
      </c>
      <c r="K40" s="263">
        <f>K37-'ER diciembre 2024'!N37</f>
        <v>2.1100277081131935E-10</v>
      </c>
      <c r="L40" s="263">
        <f>L37-'ER diciembre 2024'!O37</f>
        <v>0</v>
      </c>
      <c r="M40" s="263">
        <f>M37-'ER diciembre 2024'!P37</f>
        <v>0</v>
      </c>
      <c r="N40" s="263">
        <f>N37-'ER diciembre 2024'!I37</f>
        <v>-6.5483618527650833E-11</v>
      </c>
      <c r="O40" s="263">
        <f>O37-'ER diciembre 2024'!C37</f>
        <v>-2.3283064365386963E-9</v>
      </c>
      <c r="R40" s="247"/>
    </row>
    <row r="41" spans="1:18" x14ac:dyDescent="0.2">
      <c r="N41" s="250"/>
      <c r="R41" s="247"/>
    </row>
    <row r="42" spans="1:18" ht="25.5" x14ac:dyDescent="0.2">
      <c r="B42" s="251" t="s">
        <v>160</v>
      </c>
      <c r="C42" s="252" t="str">
        <f t="shared" ref="C42:O42" si="15">C4</f>
        <v>SEGUROS DAVIVIENDA</v>
      </c>
      <c r="D42" s="252" t="str">
        <f t="shared" si="15"/>
        <v>PALIC</v>
      </c>
      <c r="E42" s="252" t="str">
        <f t="shared" si="15"/>
        <v>MAPFRE SEGUROS</v>
      </c>
      <c r="F42" s="252" t="str">
        <f t="shared" si="15"/>
        <v>FICOHSA SEGUROS</v>
      </c>
      <c r="G42" s="252" t="str">
        <f t="shared" si="15"/>
        <v>SEGUROS ATLÁNTIDA</v>
      </c>
      <c r="H42" s="252" t="str">
        <f t="shared" si="15"/>
        <v>CREFISA</v>
      </c>
      <c r="I42" s="252" t="str">
        <f t="shared" si="15"/>
        <v>SEGUROS EQUIDAD</v>
      </c>
      <c r="J42" s="252" t="str">
        <f t="shared" si="15"/>
        <v>SEGUROS DEL PAÍS</v>
      </c>
      <c r="K42" s="252" t="str">
        <f t="shared" si="15"/>
        <v>SEGUROS LAFISE</v>
      </c>
      <c r="L42" s="252" t="str">
        <f t="shared" si="15"/>
        <v>ASEGURADORA RURAL</v>
      </c>
      <c r="M42" s="252" t="s">
        <v>126</v>
      </c>
      <c r="N42" s="252" t="str">
        <f t="shared" si="15"/>
        <v>SEGUROS CONTINENTAL</v>
      </c>
      <c r="O42" s="252" t="str">
        <f t="shared" si="15"/>
        <v>TOTAL</v>
      </c>
    </row>
    <row r="43" spans="1:18" x14ac:dyDescent="0.2">
      <c r="B43" s="253" t="s">
        <v>161</v>
      </c>
      <c r="C43" s="254">
        <f>C7</f>
        <v>1514079.9131400001</v>
      </c>
      <c r="D43" s="254">
        <f t="shared" ref="D43:O43" si="16">D7</f>
        <v>1381801.1837799998</v>
      </c>
      <c r="E43" s="254">
        <f t="shared" si="16"/>
        <v>3052344.3911300004</v>
      </c>
      <c r="F43" s="254">
        <f t="shared" si="16"/>
        <v>4409193.3005099995</v>
      </c>
      <c r="G43" s="254">
        <f t="shared" si="16"/>
        <v>2484136.8487399998</v>
      </c>
      <c r="H43" s="254">
        <f t="shared" si="16"/>
        <v>1347905.31919</v>
      </c>
      <c r="I43" s="254">
        <f t="shared" si="16"/>
        <v>724926.70497000008</v>
      </c>
      <c r="J43" s="254">
        <f t="shared" si="16"/>
        <v>1250543.6558399997</v>
      </c>
      <c r="K43" s="254">
        <f t="shared" si="16"/>
        <v>403724.14011000004</v>
      </c>
      <c r="L43" s="254">
        <f t="shared" si="16"/>
        <v>468873.59056000004</v>
      </c>
      <c r="M43" s="254">
        <f>M7</f>
        <v>861415.86632999999</v>
      </c>
      <c r="N43" s="254">
        <f t="shared" si="16"/>
        <v>542794.05654999998</v>
      </c>
      <c r="O43" s="254">
        <f t="shared" si="16"/>
        <v>18441738.970850002</v>
      </c>
    </row>
    <row r="44" spans="1:18" x14ac:dyDescent="0.2">
      <c r="B44" s="253" t="s">
        <v>162</v>
      </c>
      <c r="C44" s="254">
        <f t="shared" ref="C44:O44" si="17">C9</f>
        <v>1058695.74707</v>
      </c>
      <c r="D44" s="254">
        <f t="shared" si="17"/>
        <v>1045795.8924599998</v>
      </c>
      <c r="E44" s="254">
        <f t="shared" si="17"/>
        <v>905713.01050000032</v>
      </c>
      <c r="F44" s="254">
        <f t="shared" si="17"/>
        <v>1166413.7278499994</v>
      </c>
      <c r="G44" s="254">
        <f t="shared" si="17"/>
        <v>1582558.0849299999</v>
      </c>
      <c r="H44" s="254">
        <f t="shared" si="17"/>
        <v>640317.22541999992</v>
      </c>
      <c r="I44" s="254">
        <f t="shared" si="17"/>
        <v>646252.01012000011</v>
      </c>
      <c r="J44" s="254">
        <f t="shared" si="17"/>
        <v>510055.23748999962</v>
      </c>
      <c r="K44" s="254">
        <f t="shared" si="17"/>
        <v>240572.06087000002</v>
      </c>
      <c r="L44" s="254">
        <f t="shared" si="17"/>
        <v>298763.30777000007</v>
      </c>
      <c r="M44" s="254">
        <f>M9</f>
        <v>53756.438910000026</v>
      </c>
      <c r="N44" s="254">
        <f t="shared" si="17"/>
        <v>378553.45474999998</v>
      </c>
      <c r="O44" s="254">
        <f t="shared" si="17"/>
        <v>8527446.1981399991</v>
      </c>
    </row>
    <row r="45" spans="1:18" x14ac:dyDescent="0.2">
      <c r="B45" s="253" t="s">
        <v>163</v>
      </c>
      <c r="C45" s="254">
        <f t="shared" ref="C45:O45" si="18">C12</f>
        <v>1034240.5858700001</v>
      </c>
      <c r="D45" s="254">
        <f t="shared" si="18"/>
        <v>992956.45720999979</v>
      </c>
      <c r="E45" s="254">
        <f t="shared" si="18"/>
        <v>888078.3525800003</v>
      </c>
      <c r="F45" s="254">
        <f t="shared" si="18"/>
        <v>1141728.1853699994</v>
      </c>
      <c r="G45" s="254">
        <f t="shared" si="18"/>
        <v>1454104.4617799998</v>
      </c>
      <c r="H45" s="254">
        <f t="shared" si="18"/>
        <v>587562.00424999988</v>
      </c>
      <c r="I45" s="254">
        <f t="shared" si="18"/>
        <v>659402.18331000011</v>
      </c>
      <c r="J45" s="254">
        <f t="shared" si="18"/>
        <v>483812.75134999963</v>
      </c>
      <c r="K45" s="254">
        <f t="shared" si="18"/>
        <v>221948.25028000001</v>
      </c>
      <c r="L45" s="254">
        <f t="shared" si="18"/>
        <v>283641.92332000006</v>
      </c>
      <c r="M45" s="254">
        <f>M12</f>
        <v>46439.308790000025</v>
      </c>
      <c r="N45" s="254">
        <f t="shared" si="18"/>
        <v>362943.34133999998</v>
      </c>
      <c r="O45" s="254">
        <f t="shared" si="18"/>
        <v>8156857.8054499989</v>
      </c>
    </row>
    <row r="46" spans="1:18" x14ac:dyDescent="0.2">
      <c r="B46" s="253" t="s">
        <v>164</v>
      </c>
      <c r="C46" s="254">
        <f t="shared" ref="C46:O46" si="19">C20</f>
        <v>360425.01938999997</v>
      </c>
      <c r="D46" s="254">
        <f t="shared" si="19"/>
        <v>378985.43893000006</v>
      </c>
      <c r="E46" s="254">
        <f t="shared" si="19"/>
        <v>408812.78455999994</v>
      </c>
      <c r="F46" s="254">
        <f t="shared" si="19"/>
        <v>424088.54683999985</v>
      </c>
      <c r="G46" s="254">
        <f t="shared" si="19"/>
        <v>812948.71490999986</v>
      </c>
      <c r="H46" s="254">
        <f t="shared" si="19"/>
        <v>251636.39643999998</v>
      </c>
      <c r="I46" s="254">
        <f t="shared" si="19"/>
        <v>304948.8933</v>
      </c>
      <c r="J46" s="254">
        <f t="shared" si="19"/>
        <v>241300.07439999995</v>
      </c>
      <c r="K46" s="254">
        <f t="shared" si="19"/>
        <v>86698.994289999988</v>
      </c>
      <c r="L46" s="254">
        <f t="shared" si="19"/>
        <v>144123.16531000001</v>
      </c>
      <c r="M46" s="254">
        <f>M20</f>
        <v>13592.975140000035</v>
      </c>
      <c r="N46" s="254">
        <f t="shared" si="19"/>
        <v>146877.92344000001</v>
      </c>
      <c r="O46" s="254">
        <f t="shared" si="19"/>
        <v>3574438.9269499993</v>
      </c>
      <c r="P46" s="250"/>
    </row>
    <row r="47" spans="1:18" x14ac:dyDescent="0.2">
      <c r="B47" s="253" t="s">
        <v>165</v>
      </c>
      <c r="C47" s="254">
        <f t="shared" ref="C47:O47" si="20">C14-C13</f>
        <v>187822.75485</v>
      </c>
      <c r="D47" s="254">
        <f t="shared" si="20"/>
        <v>300595.67940000002</v>
      </c>
      <c r="E47" s="254">
        <f t="shared" si="20"/>
        <v>-47387.339539999957</v>
      </c>
      <c r="F47" s="254">
        <f t="shared" si="20"/>
        <v>-245505.13241000008</v>
      </c>
      <c r="G47" s="254">
        <f t="shared" si="20"/>
        <v>-173493.63290000006</v>
      </c>
      <c r="H47" s="254">
        <f t="shared" si="20"/>
        <v>1528.3001500000246</v>
      </c>
      <c r="I47" s="254">
        <f t="shared" si="20"/>
        <v>8458.4642500000009</v>
      </c>
      <c r="J47" s="254">
        <f t="shared" si="20"/>
        <v>-72724.79902000002</v>
      </c>
      <c r="K47" s="254">
        <f t="shared" si="20"/>
        <v>4095.0957099999941</v>
      </c>
      <c r="L47" s="254">
        <f t="shared" si="20"/>
        <v>-9820.6736699999965</v>
      </c>
      <c r="M47" s="254">
        <f>M14-M13</f>
        <v>-69468.666490000003</v>
      </c>
      <c r="N47" s="254">
        <f t="shared" si="20"/>
        <v>48682.62715</v>
      </c>
      <c r="O47" s="254">
        <f t="shared" si="20"/>
        <v>-67217.322519999929</v>
      </c>
    </row>
    <row r="48" spans="1:18" x14ac:dyDescent="0.2">
      <c r="B48" s="253" t="s">
        <v>166</v>
      </c>
      <c r="C48" s="254">
        <f t="shared" ref="C48:O48" si="21">C25</f>
        <v>190196.89944000001</v>
      </c>
      <c r="D48" s="254">
        <f t="shared" si="21"/>
        <v>182038.62369000001</v>
      </c>
      <c r="E48" s="254">
        <f t="shared" si="21"/>
        <v>320860.47041000001</v>
      </c>
      <c r="F48" s="254">
        <f t="shared" si="21"/>
        <v>518291.07727999997</v>
      </c>
      <c r="G48" s="254">
        <f t="shared" si="21"/>
        <v>445473.42573000002</v>
      </c>
      <c r="H48" s="254">
        <f t="shared" si="21"/>
        <v>149540.77302000002</v>
      </c>
      <c r="I48" s="254">
        <f t="shared" si="21"/>
        <v>115825.90551000001</v>
      </c>
      <c r="J48" s="254">
        <f t="shared" si="21"/>
        <v>109827.12835</v>
      </c>
      <c r="K48" s="254">
        <f t="shared" si="21"/>
        <v>80670.1829</v>
      </c>
      <c r="L48" s="254">
        <f t="shared" si="21"/>
        <v>70182.478749999995</v>
      </c>
      <c r="M48" s="254">
        <f>M25</f>
        <v>68900.780760000009</v>
      </c>
      <c r="N48" s="254">
        <f t="shared" si="21"/>
        <v>117994.10683</v>
      </c>
      <c r="O48" s="254">
        <f t="shared" si="21"/>
        <v>2369801.8526699995</v>
      </c>
    </row>
    <row r="49" spans="2:15" x14ac:dyDescent="0.2">
      <c r="B49" s="253" t="s">
        <v>167</v>
      </c>
      <c r="C49" s="254">
        <f t="shared" ref="C49:O49" si="22">C23-C22</f>
        <v>84564.906179999991</v>
      </c>
      <c r="D49" s="254">
        <f t="shared" si="22"/>
        <v>77806.002830000012</v>
      </c>
      <c r="E49" s="254">
        <f t="shared" si="22"/>
        <v>129532.83561000001</v>
      </c>
      <c r="F49" s="254">
        <f t="shared" si="22"/>
        <v>263218.60488999996</v>
      </c>
      <c r="G49" s="254">
        <f t="shared" si="22"/>
        <v>222919.54325000002</v>
      </c>
      <c r="H49" s="254">
        <f t="shared" si="22"/>
        <v>97549.02463</v>
      </c>
      <c r="I49" s="254">
        <f t="shared" si="22"/>
        <v>115859.02809999998</v>
      </c>
      <c r="J49" s="254">
        <f t="shared" si="22"/>
        <v>74695.147520000013</v>
      </c>
      <c r="K49" s="254">
        <f t="shared" si="22"/>
        <v>28844.148729999997</v>
      </c>
      <c r="L49" s="254">
        <f t="shared" si="22"/>
        <v>42614.873220000009</v>
      </c>
      <c r="M49" s="254">
        <f>M23-M22</f>
        <v>21213.588290000003</v>
      </c>
      <c r="N49" s="254">
        <f t="shared" si="22"/>
        <v>69464.621079999997</v>
      </c>
      <c r="O49" s="254">
        <f t="shared" si="22"/>
        <v>1228282.3243300002</v>
      </c>
    </row>
    <row r="50" spans="2:15" x14ac:dyDescent="0.2">
      <c r="B50" s="253" t="s">
        <v>168</v>
      </c>
      <c r="C50" s="254">
        <f t="shared" ref="C50:O50" si="23">C24</f>
        <v>401427.90545000019</v>
      </c>
      <c r="D50" s="254">
        <f t="shared" si="23"/>
        <v>235569.33604999958</v>
      </c>
      <c r="E50" s="254">
        <f t="shared" si="23"/>
        <v>397120.07195000036</v>
      </c>
      <c r="F50" s="254">
        <f t="shared" si="23"/>
        <v>699926.16604999965</v>
      </c>
      <c r="G50" s="254">
        <f t="shared" si="23"/>
        <v>591729.83651999978</v>
      </c>
      <c r="H50" s="254">
        <f t="shared" si="23"/>
        <v>236848.28302999987</v>
      </c>
      <c r="I50" s="254">
        <f t="shared" si="23"/>
        <v>230135.79766000007</v>
      </c>
      <c r="J50" s="254">
        <f t="shared" si="23"/>
        <v>240542.32844999968</v>
      </c>
      <c r="K50" s="254">
        <f t="shared" si="23"/>
        <v>102310.01155</v>
      </c>
      <c r="L50" s="254">
        <f t="shared" si="23"/>
        <v>106724.55846000004</v>
      </c>
      <c r="M50" s="254">
        <f>M24</f>
        <v>81101.411850000004</v>
      </c>
      <c r="N50" s="254">
        <f t="shared" si="23"/>
        <v>97918.169669999959</v>
      </c>
      <c r="O50" s="254">
        <f t="shared" si="23"/>
        <v>3421353.8766899994</v>
      </c>
    </row>
    <row r="51" spans="2:15" x14ac:dyDescent="0.2">
      <c r="B51" s="253" t="s">
        <v>169</v>
      </c>
      <c r="C51" s="254">
        <f t="shared" ref="C51:O51" si="24">C26</f>
        <v>211231.00601000019</v>
      </c>
      <c r="D51" s="254">
        <f t="shared" si="24"/>
        <v>53530.712359999568</v>
      </c>
      <c r="E51" s="254">
        <f t="shared" si="24"/>
        <v>76259.601540000353</v>
      </c>
      <c r="F51" s="254">
        <f t="shared" si="24"/>
        <v>181635.08876999968</v>
      </c>
      <c r="G51" s="254">
        <f t="shared" si="24"/>
        <v>146256.41078999976</v>
      </c>
      <c r="H51" s="254">
        <f t="shared" si="24"/>
        <v>87307.510009999853</v>
      </c>
      <c r="I51" s="254">
        <f t="shared" si="24"/>
        <v>114309.89215000006</v>
      </c>
      <c r="J51" s="254">
        <f t="shared" si="24"/>
        <v>130715.20009999968</v>
      </c>
      <c r="K51" s="254">
        <f t="shared" si="24"/>
        <v>21639.828649999996</v>
      </c>
      <c r="L51" s="254">
        <f t="shared" si="24"/>
        <v>36542.079710000049</v>
      </c>
      <c r="M51" s="254">
        <f>M26</f>
        <v>12200.631089999995</v>
      </c>
      <c r="N51" s="254">
        <f t="shared" si="24"/>
        <v>-20075.937160000045</v>
      </c>
      <c r="O51" s="254">
        <f t="shared" si="24"/>
        <v>1051552.0240199992</v>
      </c>
    </row>
    <row r="52" spans="2:15" x14ac:dyDescent="0.2">
      <c r="B52" s="255" t="s">
        <v>170</v>
      </c>
      <c r="C52" s="256">
        <f>C43/$O$43</f>
        <v>8.2100712711162205E-2</v>
      </c>
      <c r="D52" s="256">
        <f t="shared" ref="D52:O52" si="25">D43/$O$43</f>
        <v>7.4927922250941123E-2</v>
      </c>
      <c r="E52" s="256">
        <f t="shared" si="25"/>
        <v>0.16551282912932988</v>
      </c>
      <c r="F52" s="256">
        <f t="shared" si="25"/>
        <v>0.23908771876011292</v>
      </c>
      <c r="G52" s="374">
        <f t="shared" si="25"/>
        <v>0.13470187668671371</v>
      </c>
      <c r="H52" s="256">
        <f t="shared" si="25"/>
        <v>7.3089925051025351E-2</v>
      </c>
      <c r="I52" s="256">
        <f t="shared" si="25"/>
        <v>3.9309021026480095E-2</v>
      </c>
      <c r="J52" s="256">
        <f t="shared" si="25"/>
        <v>6.7810506255222239E-2</v>
      </c>
      <c r="K52" s="256">
        <f t="shared" si="25"/>
        <v>2.1891869348554818E-2</v>
      </c>
      <c r="L52" s="256">
        <f>L43/$O$43</f>
        <v>2.5424586656449626E-2</v>
      </c>
      <c r="M52" s="256">
        <f>M43/$O$43</f>
        <v>4.6710121409461437E-2</v>
      </c>
      <c r="N52" s="256">
        <f t="shared" si="25"/>
        <v>2.9432910714546456E-2</v>
      </c>
      <c r="O52" s="256">
        <f t="shared" si="25"/>
        <v>1</v>
      </c>
    </row>
    <row r="53" spans="2:15" x14ac:dyDescent="0.2">
      <c r="B53" s="255" t="s">
        <v>171</v>
      </c>
      <c r="C53" s="257">
        <f>SUM(C7,C11,C13,C16:C17,C22,C27,C30,C33)</f>
        <v>2328209.1887299996</v>
      </c>
      <c r="D53" s="257">
        <f t="shared" ref="D53:O53" si="26">SUM(D7,D11,D13,D16:D17,D22,D27,D30,D33)</f>
        <v>1754451.4004499998</v>
      </c>
      <c r="E53" s="257">
        <f t="shared" si="26"/>
        <v>4630993.3530600006</v>
      </c>
      <c r="F53" s="257">
        <f t="shared" si="26"/>
        <v>6813652.8866599994</v>
      </c>
      <c r="G53" s="375">
        <f t="shared" si="26"/>
        <v>3796300.4422400002</v>
      </c>
      <c r="H53" s="257">
        <f t="shared" si="26"/>
        <v>2095541.0117899999</v>
      </c>
      <c r="I53" s="257">
        <f t="shared" si="26"/>
        <v>1072227.99719</v>
      </c>
      <c r="J53" s="257">
        <f t="shared" si="26"/>
        <v>1804357.0693099997</v>
      </c>
      <c r="K53" s="257">
        <f t="shared" si="26"/>
        <v>627234.57580999995</v>
      </c>
      <c r="L53" s="257">
        <f t="shared" si="26"/>
        <v>830246.85994000011</v>
      </c>
      <c r="M53" s="257">
        <f>SUM(M7,M11,M13,M16:M17,M22,M27,M30,M33)</f>
        <v>1234059.3117099998</v>
      </c>
      <c r="N53" s="257">
        <f t="shared" si="26"/>
        <v>762415.03174999997</v>
      </c>
      <c r="O53" s="257">
        <f t="shared" si="26"/>
        <v>27749689.128640004</v>
      </c>
    </row>
    <row r="54" spans="2:15" x14ac:dyDescent="0.2">
      <c r="B54" s="255" t="s">
        <v>172</v>
      </c>
      <c r="C54" s="256">
        <f t="shared" ref="C54:O54" si="27">C9/C7</f>
        <v>0.69923373124632904</v>
      </c>
      <c r="D54" s="256">
        <f t="shared" si="27"/>
        <v>0.75683528479774675</v>
      </c>
      <c r="E54" s="256">
        <f t="shared" si="27"/>
        <v>0.29672700535757657</v>
      </c>
      <c r="F54" s="256">
        <f t="shared" si="27"/>
        <v>0.26454130004123055</v>
      </c>
      <c r="G54" s="374">
        <f t="shared" si="27"/>
        <v>0.63706558104184263</v>
      </c>
      <c r="H54" s="256">
        <f t="shared" si="27"/>
        <v>0.47504614478766749</v>
      </c>
      <c r="I54" s="256">
        <f t="shared" si="27"/>
        <v>0.89147220772718561</v>
      </c>
      <c r="J54" s="256">
        <f t="shared" si="27"/>
        <v>0.40786679865837361</v>
      </c>
      <c r="K54" s="256">
        <f t="shared" si="27"/>
        <v>0.59588227943083349</v>
      </c>
      <c r="L54" s="256">
        <f t="shared" si="27"/>
        <v>0.63719372083458903</v>
      </c>
      <c r="M54" s="256">
        <f>M9/M7</f>
        <v>6.2404746663217901E-2</v>
      </c>
      <c r="N54" s="256">
        <f t="shared" si="27"/>
        <v>0.69741635926540246</v>
      </c>
      <c r="O54" s="256">
        <f t="shared" si="27"/>
        <v>0.46239924616756239</v>
      </c>
    </row>
    <row r="55" spans="2:15" x14ac:dyDescent="0.2">
      <c r="B55" s="255" t="s">
        <v>173</v>
      </c>
      <c r="C55" s="256">
        <f t="shared" ref="C55:O55" si="28">C12/C9</f>
        <v>0.97690067116290868</v>
      </c>
      <c r="D55" s="256">
        <f t="shared" si="28"/>
        <v>0.9494744283937594</v>
      </c>
      <c r="E55" s="256">
        <f t="shared" si="28"/>
        <v>0.98052953008783128</v>
      </c>
      <c r="F55" s="256">
        <f t="shared" si="28"/>
        <v>0.97883637521524902</v>
      </c>
      <c r="G55" s="374">
        <f t="shared" si="28"/>
        <v>0.91883165340140938</v>
      </c>
      <c r="H55" s="256">
        <f t="shared" si="28"/>
        <v>0.91761080433937015</v>
      </c>
      <c r="I55" s="256">
        <f t="shared" si="28"/>
        <v>1.0203483671757683</v>
      </c>
      <c r="J55" s="256">
        <f t="shared" si="28"/>
        <v>0.94854971734210547</v>
      </c>
      <c r="K55" s="256">
        <f t="shared" si="28"/>
        <v>0.92258531384463671</v>
      </c>
      <c r="L55" s="256">
        <f t="shared" si="28"/>
        <v>0.94938674175598214</v>
      </c>
      <c r="M55" s="256">
        <f>M12/M9</f>
        <v>0.86388365248206878</v>
      </c>
      <c r="N55" s="256">
        <f t="shared" si="28"/>
        <v>0.95876378034824949</v>
      </c>
      <c r="O55" s="256">
        <f t="shared" si="28"/>
        <v>0.95654169090262542</v>
      </c>
    </row>
    <row r="56" spans="2:15" x14ac:dyDescent="0.2">
      <c r="B56" s="255" t="s">
        <v>174</v>
      </c>
      <c r="C56" s="256">
        <f t="shared" ref="C56:O56" si="29">C14/C7</f>
        <v>0.18421220858255338</v>
      </c>
      <c r="D56" s="256">
        <f t="shared" si="29"/>
        <v>0.22956116761476414</v>
      </c>
      <c r="E56" s="256">
        <f t="shared" si="29"/>
        <v>0.20383983989750937</v>
      </c>
      <c r="F56" s="256">
        <f t="shared" si="29"/>
        <v>9.2621476083337748E-2</v>
      </c>
      <c r="G56" s="374">
        <f t="shared" si="29"/>
        <v>6.3551357949572992E-2</v>
      </c>
      <c r="H56" s="256">
        <f t="shared" si="29"/>
        <v>0.15548010567681333</v>
      </c>
      <c r="I56" s="256">
        <f t="shared" si="29"/>
        <v>1.7115385148507477E-2</v>
      </c>
      <c r="J56" s="256">
        <f t="shared" si="29"/>
        <v>8.5377877406672867E-2</v>
      </c>
      <c r="K56" s="256">
        <f t="shared" si="29"/>
        <v>0.21406186404026567</v>
      </c>
      <c r="L56" s="256">
        <f t="shared" si="29"/>
        <v>8.2458019897907894E-2</v>
      </c>
      <c r="M56" s="256">
        <f>M14/M7</f>
        <v>5.330781194644077E-2</v>
      </c>
      <c r="N56" s="256">
        <f t="shared" si="29"/>
        <v>0.11172455278056968</v>
      </c>
      <c r="O56" s="256">
        <f t="shared" si="29"/>
        <v>0.12715515211372272</v>
      </c>
    </row>
    <row r="57" spans="2:15" x14ac:dyDescent="0.2">
      <c r="B57" s="255" t="s">
        <v>175</v>
      </c>
      <c r="C57" s="256">
        <f t="shared" ref="C57:O57" si="30">C13/C8</f>
        <v>0.20002726644210572</v>
      </c>
      <c r="D57" s="256">
        <f t="shared" si="30"/>
        <v>4.9440333795752911E-2</v>
      </c>
      <c r="E57" s="256">
        <f t="shared" si="30"/>
        <v>0.31191975370428549</v>
      </c>
      <c r="F57" s="256">
        <f t="shared" si="30"/>
        <v>0.20164525820779844</v>
      </c>
      <c r="G57" s="374">
        <f t="shared" si="30"/>
        <v>0.36753738693853283</v>
      </c>
      <c r="H57" s="256">
        <f t="shared" si="30"/>
        <v>0.29401874219158963</v>
      </c>
      <c r="I57" s="256">
        <f t="shared" si="30"/>
        <v>5.0193210377605928E-2</v>
      </c>
      <c r="J57" s="256">
        <f t="shared" si="30"/>
        <v>0.24239887824303608</v>
      </c>
      <c r="K57" s="256">
        <f t="shared" si="30"/>
        <v>0.50460188226529146</v>
      </c>
      <c r="L57" s="256">
        <f t="shared" si="30"/>
        <v>0.28500958751477717</v>
      </c>
      <c r="M57" s="256">
        <f>M13/M8</f>
        <v>0.1428682159615223</v>
      </c>
      <c r="N57" s="256">
        <f t="shared" si="30"/>
        <v>7.2824843180768234E-2</v>
      </c>
      <c r="O57" s="256">
        <f t="shared" si="30"/>
        <v>0.24330322917634081</v>
      </c>
    </row>
    <row r="58" spans="2:15" x14ac:dyDescent="0.2">
      <c r="B58" s="258" t="s">
        <v>176</v>
      </c>
      <c r="C58" s="259">
        <f>C46/C45</f>
        <v>0.34849243426935478</v>
      </c>
      <c r="D58" s="259">
        <f t="shared" ref="D58:N58" si="31">D46/D45</f>
        <v>0.3816737744924586</v>
      </c>
      <c r="E58" s="259">
        <f t="shared" si="31"/>
        <v>0.46033413985639637</v>
      </c>
      <c r="F58" s="259">
        <f t="shared" si="31"/>
        <v>0.37144440530962775</v>
      </c>
      <c r="G58" s="376">
        <f t="shared" si="31"/>
        <v>0.55907174228380563</v>
      </c>
      <c r="H58" s="259">
        <f t="shared" si="31"/>
        <v>0.42827207106627679</v>
      </c>
      <c r="I58" s="259">
        <f t="shared" si="31"/>
        <v>0.46246266848746015</v>
      </c>
      <c r="J58" s="259">
        <f t="shared" si="31"/>
        <v>0.49874682659084929</v>
      </c>
      <c r="K58" s="259">
        <f t="shared" si="31"/>
        <v>0.39062706815946691</v>
      </c>
      <c r="L58" s="259">
        <f t="shared" si="31"/>
        <v>0.50811658454100483</v>
      </c>
      <c r="M58" s="259">
        <f>M46/M45</f>
        <v>0.29270407967241469</v>
      </c>
      <c r="N58" s="259">
        <f t="shared" si="31"/>
        <v>0.40468554374829246</v>
      </c>
      <c r="O58" s="259">
        <f>O46/O45</f>
        <v>0.43821272997571936</v>
      </c>
    </row>
    <row r="59" spans="2:15" x14ac:dyDescent="0.2">
      <c r="B59" s="258" t="s">
        <v>177</v>
      </c>
      <c r="C59" s="259">
        <f>(C23-C22+C14-C13)/C45</f>
        <v>0.26336972726792413</v>
      </c>
      <c r="D59" s="259">
        <f t="shared" ref="D59:O59" si="32">(D23-D22+D14-D13)/D45</f>
        <v>0.38108587691068518</v>
      </c>
      <c r="E59" s="259">
        <f t="shared" si="32"/>
        <v>9.2498027714958991E-2</v>
      </c>
      <c r="F59" s="259">
        <f t="shared" si="32"/>
        <v>1.5514614342519259E-2</v>
      </c>
      <c r="G59" s="376">
        <f t="shared" si="32"/>
        <v>3.3990618727279515E-2</v>
      </c>
      <c r="H59" s="259">
        <f t="shared" si="32"/>
        <v>0.16862445846284488</v>
      </c>
      <c r="I59" s="259">
        <f t="shared" si="32"/>
        <v>0.18853060468493396</v>
      </c>
      <c r="J59" s="259">
        <f t="shared" si="32"/>
        <v>4.0725435501690697E-3</v>
      </c>
      <c r="K59" s="259">
        <f t="shared" si="32"/>
        <v>0.14840957024191592</v>
      </c>
      <c r="L59" s="259">
        <f t="shared" si="32"/>
        <v>0.11561830905018278</v>
      </c>
      <c r="M59" s="259">
        <f>(M23-M22+M14-M13)/M45</f>
        <v>-1.0390998371274418</v>
      </c>
      <c r="N59" s="259">
        <f t="shared" si="32"/>
        <v>0.32552532247539262</v>
      </c>
      <c r="O59" s="259">
        <f t="shared" si="32"/>
        <v>0.14234218978713048</v>
      </c>
    </row>
    <row r="60" spans="2:15" x14ac:dyDescent="0.2">
      <c r="B60" s="258" t="s">
        <v>178</v>
      </c>
      <c r="C60" s="259">
        <f>C48/C45</f>
        <v>0.18390005385449745</v>
      </c>
      <c r="D60" s="259">
        <f t="shared" ref="D60:O60" si="33">D48/D45</f>
        <v>0.18332991579660049</v>
      </c>
      <c r="E60" s="259">
        <f t="shared" si="33"/>
        <v>0.36129747952740027</v>
      </c>
      <c r="F60" s="259">
        <f t="shared" si="33"/>
        <v>0.45395312467655125</v>
      </c>
      <c r="G60" s="376">
        <f t="shared" si="33"/>
        <v>0.30635586193352754</v>
      </c>
      <c r="H60" s="259">
        <f t="shared" si="33"/>
        <v>0.25451062515671519</v>
      </c>
      <c r="I60" s="259">
        <f t="shared" si="33"/>
        <v>0.17565289961369082</v>
      </c>
      <c r="J60" s="259">
        <f t="shared" si="33"/>
        <v>0.22700337691295966</v>
      </c>
      <c r="K60" s="259">
        <f t="shared" si="33"/>
        <v>0.36346392818249346</v>
      </c>
      <c r="L60" s="259">
        <f t="shared" si="33"/>
        <v>0.24743337630954257</v>
      </c>
      <c r="M60" s="259">
        <f>M48/M45</f>
        <v>1.4836736927237968</v>
      </c>
      <c r="N60" s="259">
        <f t="shared" si="33"/>
        <v>0.3251033794816609</v>
      </c>
      <c r="O60" s="259">
        <f t="shared" si="33"/>
        <v>0.29052876845378106</v>
      </c>
    </row>
    <row r="61" spans="2:15" x14ac:dyDescent="0.2">
      <c r="B61" s="258" t="s">
        <v>179</v>
      </c>
      <c r="C61" s="259">
        <f>SUM(C58:C60)</f>
        <v>0.79576221539177638</v>
      </c>
      <c r="D61" s="259">
        <f t="shared" ref="D61:L61" si="34">SUM(D58:D60)</f>
        <v>0.94608956719974435</v>
      </c>
      <c r="E61" s="259">
        <f t="shared" si="34"/>
        <v>0.91412964709875566</v>
      </c>
      <c r="F61" s="259">
        <f t="shared" si="34"/>
        <v>0.84091214432869821</v>
      </c>
      <c r="G61" s="376">
        <f t="shared" si="34"/>
        <v>0.8994182229446126</v>
      </c>
      <c r="H61" s="259">
        <f>SUM(H58:H60)</f>
        <v>0.85140715468583683</v>
      </c>
      <c r="I61" s="259">
        <f t="shared" si="34"/>
        <v>0.82664617278608488</v>
      </c>
      <c r="J61" s="259">
        <f t="shared" si="34"/>
        <v>0.72982274705397809</v>
      </c>
      <c r="K61" s="259">
        <f t="shared" si="34"/>
        <v>0.90250056658387634</v>
      </c>
      <c r="L61" s="259">
        <f t="shared" si="34"/>
        <v>0.87116826990073015</v>
      </c>
      <c r="M61" s="259">
        <f>SUM(M58:M60)</f>
        <v>0.73727793526876972</v>
      </c>
      <c r="N61" s="259">
        <f>SUM(N58:N60)</f>
        <v>1.0553142457053459</v>
      </c>
      <c r="O61" s="259">
        <f>SUM(O58:O60)</f>
        <v>0.87108368821663096</v>
      </c>
    </row>
    <row r="63" spans="2:15" x14ac:dyDescent="0.2">
      <c r="N63" s="249"/>
    </row>
    <row r="65" spans="3:15" x14ac:dyDescent="0.2">
      <c r="N65" s="249"/>
    </row>
    <row r="66" spans="3:15" s="262" customFormat="1" x14ac:dyDescent="0.2">
      <c r="C66" s="260"/>
      <c r="D66" s="260"/>
      <c r="E66" s="260"/>
      <c r="F66" s="260"/>
      <c r="G66" s="342"/>
      <c r="H66" s="260"/>
      <c r="I66" s="260"/>
      <c r="J66" s="260"/>
      <c r="K66" s="260"/>
      <c r="L66" s="260"/>
      <c r="M66" s="260"/>
      <c r="N66" s="261"/>
    </row>
    <row r="67" spans="3:15" x14ac:dyDescent="0.2">
      <c r="C67" s="231"/>
      <c r="N67" s="231"/>
    </row>
    <row r="68" spans="3:15" x14ac:dyDescent="0.2">
      <c r="N68" s="249"/>
    </row>
    <row r="70" spans="3:15" x14ac:dyDescent="0.2">
      <c r="C70" s="231"/>
      <c r="D70" s="231"/>
      <c r="E70" s="231"/>
      <c r="F70" s="231"/>
      <c r="G70" s="335"/>
      <c r="H70" s="231"/>
      <c r="I70" s="231"/>
      <c r="J70" s="231"/>
      <c r="K70" s="231"/>
      <c r="L70" s="231"/>
      <c r="M70" s="231"/>
      <c r="N70" s="250"/>
      <c r="O70" s="250"/>
    </row>
    <row r="71" spans="3:15" x14ac:dyDescent="0.2">
      <c r="N71" s="249"/>
      <c r="O71" s="250"/>
    </row>
  </sheetData>
  <conditionalFormatting sqref="C61:O61">
    <cfRule type="cellIs" dxfId="1" priority="4" operator="greaterThan">
      <formula>1</formula>
    </cfRule>
  </conditionalFormatting>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7">
    <tabColor theme="4" tint="0.39997558519241921"/>
  </sheetPr>
  <dimension ref="A1:R73"/>
  <sheetViews>
    <sheetView showGridLines="0" zoomScale="90" zoomScaleNormal="90" workbookViewId="0">
      <pane xSplit="2" ySplit="4" topLeftCell="F5" activePane="bottomRight" state="frozen"/>
      <selection activeCell="E3" sqref="E3"/>
      <selection pane="topRight" activeCell="E3" sqref="E3"/>
      <selection pane="bottomLeft" activeCell="E3" sqref="E3"/>
      <selection pane="bottomRight" activeCell="O7" sqref="O7"/>
    </sheetView>
  </sheetViews>
  <sheetFormatPr baseColWidth="10" defaultColWidth="11.42578125" defaultRowHeight="12.75" outlineLevelRow="1" x14ac:dyDescent="0.2"/>
  <cols>
    <col min="1" max="1" width="5.7109375" style="229" customWidth="1"/>
    <col min="2" max="2" width="48.28515625" style="229" bestFit="1" customWidth="1"/>
    <col min="3" max="13" width="12.5703125" style="249" customWidth="1"/>
    <col min="14" max="14" width="12.5703125" style="229" customWidth="1"/>
    <col min="15" max="15" width="13.85546875" style="229" customWidth="1"/>
    <col min="16" max="16" width="11.42578125" style="229"/>
    <col min="17" max="17" width="14.7109375" style="229" bestFit="1" customWidth="1"/>
    <col min="18" max="18" width="12.28515625" style="229" bestFit="1" customWidth="1"/>
    <col min="19" max="16384" width="11.42578125" style="229"/>
  </cols>
  <sheetData>
    <row r="1" spans="1:17" ht="12.75" hidden="1" customHeight="1" x14ac:dyDescent="0.2">
      <c r="C1" s="230" t="s">
        <v>115</v>
      </c>
      <c r="D1" s="231">
        <f>C1+1</f>
        <v>5</v>
      </c>
      <c r="E1" s="231">
        <f t="shared" ref="E1:L1" si="0">D1+1</f>
        <v>6</v>
      </c>
      <c r="F1" s="231">
        <f t="shared" si="0"/>
        <v>7</v>
      </c>
      <c r="G1" s="231">
        <f t="shared" si="0"/>
        <v>8</v>
      </c>
      <c r="H1" s="231">
        <f t="shared" si="0"/>
        <v>9</v>
      </c>
      <c r="I1" s="231">
        <f t="shared" si="0"/>
        <v>10</v>
      </c>
      <c r="J1" s="231">
        <f t="shared" si="0"/>
        <v>11</v>
      </c>
      <c r="K1" s="231">
        <f t="shared" si="0"/>
        <v>12</v>
      </c>
      <c r="L1" s="231">
        <f t="shared" si="0"/>
        <v>13</v>
      </c>
      <c r="M1" s="231"/>
      <c r="N1" s="231">
        <v>14</v>
      </c>
      <c r="O1" s="231"/>
    </row>
    <row r="2" spans="1:17" x14ac:dyDescent="0.2">
      <c r="A2" s="232" t="s">
        <v>376</v>
      </c>
      <c r="C2" s="233"/>
      <c r="D2" s="233"/>
      <c r="E2" s="233"/>
      <c r="F2" s="233"/>
      <c r="G2" s="233"/>
      <c r="H2" s="233"/>
      <c r="I2" s="233"/>
      <c r="J2" s="233"/>
      <c r="K2" s="233"/>
      <c r="L2" s="233"/>
      <c r="M2" s="233"/>
      <c r="N2" s="233"/>
      <c r="O2" s="233"/>
    </row>
    <row r="3" spans="1:17" x14ac:dyDescent="0.2">
      <c r="A3" s="232" t="s">
        <v>116</v>
      </c>
      <c r="C3" s="233"/>
      <c r="D3" s="233"/>
      <c r="E3" s="233"/>
      <c r="F3" s="233"/>
      <c r="G3" s="233"/>
      <c r="H3" s="233"/>
      <c r="I3" s="233"/>
      <c r="J3" s="233"/>
      <c r="K3" s="233"/>
      <c r="L3" s="233"/>
      <c r="M3" s="233"/>
      <c r="N3" s="233"/>
      <c r="O3" s="233"/>
    </row>
    <row r="4" spans="1:17" s="238" customFormat="1" ht="25.5" x14ac:dyDescent="0.3">
      <c r="A4" s="234" t="s">
        <v>117</v>
      </c>
      <c r="B4" s="235" t="s">
        <v>118</v>
      </c>
      <c r="C4" s="236" t="s">
        <v>119</v>
      </c>
      <c r="D4" s="236" t="s">
        <v>74</v>
      </c>
      <c r="E4" s="236" t="s">
        <v>120</v>
      </c>
      <c r="F4" s="236" t="s">
        <v>121</v>
      </c>
      <c r="G4" s="236" t="s">
        <v>122</v>
      </c>
      <c r="H4" s="236" t="s">
        <v>76</v>
      </c>
      <c r="I4" s="236" t="s">
        <v>123</v>
      </c>
      <c r="J4" s="236" t="s">
        <v>124</v>
      </c>
      <c r="K4" s="236" t="s">
        <v>125</v>
      </c>
      <c r="L4" s="236" t="s">
        <v>365</v>
      </c>
      <c r="M4" s="237" t="s">
        <v>126</v>
      </c>
      <c r="N4" s="237" t="s">
        <v>127</v>
      </c>
      <c r="O4" s="237" t="s">
        <v>128</v>
      </c>
    </row>
    <row r="5" spans="1:17" x14ac:dyDescent="0.2">
      <c r="A5" s="239">
        <v>401</v>
      </c>
      <c r="B5" s="229" t="s">
        <v>27</v>
      </c>
      <c r="C5" s="240">
        <f>'ER Diciembre 2025'!C12</f>
        <v>1889732.1667500001</v>
      </c>
      <c r="D5" s="240">
        <f>'ER Diciembre 2025'!D12</f>
        <v>1452699.6942499999</v>
      </c>
      <c r="E5" s="240">
        <f>'ER Diciembre 2025'!E12</f>
        <v>3981055.3113699998</v>
      </c>
      <c r="F5" s="240">
        <f>'ER Diciembre 2025'!F12</f>
        <v>5389912.0713999998</v>
      </c>
      <c r="G5" s="240">
        <f>'ER Diciembre 2025'!H12</f>
        <v>3801558.9285999998</v>
      </c>
      <c r="H5" s="240">
        <f>'ER Diciembre 2025'!I12</f>
        <v>2304938.0767899998</v>
      </c>
      <c r="I5" s="240">
        <f>'ER Diciembre 2025'!J12</f>
        <v>644743.76774000004</v>
      </c>
      <c r="J5" s="240">
        <f>'ER Diciembre 2025'!K12</f>
        <v>2143066.7713899999</v>
      </c>
      <c r="K5" s="240">
        <f>'ER Diciembre 2025'!L12</f>
        <v>592251.25146000006</v>
      </c>
      <c r="L5" s="240">
        <f>'ER Diciembre 2025'!M12</f>
        <v>619332.70117999997</v>
      </c>
      <c r="M5" s="240">
        <f>'ER Diciembre 2025'!N12</f>
        <v>1434575.3372599999</v>
      </c>
      <c r="N5" s="240">
        <f>'ER Diciembre 2025'!G12</f>
        <v>680884.58262999996</v>
      </c>
      <c r="O5" s="240">
        <f>SUM(C5:N5)</f>
        <v>24934750.66082</v>
      </c>
      <c r="P5" s="250"/>
    </row>
    <row r="6" spans="1:17" x14ac:dyDescent="0.2">
      <c r="A6" s="239">
        <v>505</v>
      </c>
      <c r="B6" s="229" t="s">
        <v>129</v>
      </c>
      <c r="C6" s="241">
        <f>'ER Diciembre 2025'!C28</f>
        <v>264888.88464</v>
      </c>
      <c r="D6" s="241">
        <f>'ER Diciembre 2025'!D28</f>
        <v>2618.2190299999997</v>
      </c>
      <c r="E6" s="241">
        <f>'ER Diciembre 2025'!E28</f>
        <v>853568.85363999999</v>
      </c>
      <c r="F6" s="241">
        <f>'ER Diciembre 2025'!F28</f>
        <v>539108.79562999995</v>
      </c>
      <c r="G6" s="241">
        <f>'ER Diciembre 2025'!H28</f>
        <v>1063483.1059699999</v>
      </c>
      <c r="H6" s="241">
        <f>'ER Diciembre 2025'!I28</f>
        <v>641459.01792999997</v>
      </c>
      <c r="I6" s="241">
        <f>'ER Diciembre 2025'!J28</f>
        <v>47321.682820000002</v>
      </c>
      <c r="J6" s="241">
        <f>'ER Diciembre 2025'!K28</f>
        <v>767010.95014999993</v>
      </c>
      <c r="K6" s="241">
        <f>'ER Diciembre 2025'!L28</f>
        <v>77852.799569999988</v>
      </c>
      <c r="L6" s="241">
        <f>'ER Diciembre 2025'!M28</f>
        <v>74644.704590000008</v>
      </c>
      <c r="M6" s="241">
        <f>'ER Diciembre 2025'!N28</f>
        <v>354302.05813999998</v>
      </c>
      <c r="N6" s="241">
        <f>'ER Diciembre 2025'!G28</f>
        <v>66756.269790000006</v>
      </c>
      <c r="O6" s="241">
        <f>SUM(C6:N6)</f>
        <v>4753015.3419000013</v>
      </c>
    </row>
    <row r="7" spans="1:17" x14ac:dyDescent="0.2">
      <c r="A7" s="584"/>
      <c r="B7" s="585" t="s">
        <v>130</v>
      </c>
      <c r="C7" s="586">
        <f>C5-C6</f>
        <v>1624843.28211</v>
      </c>
      <c r="D7" s="586">
        <f>D5-D6</f>
        <v>1450081.4752199999</v>
      </c>
      <c r="E7" s="586">
        <f t="shared" ref="E7:N7" si="1">E5-E6</f>
        <v>3127486.4577299999</v>
      </c>
      <c r="F7" s="586">
        <f t="shared" si="1"/>
        <v>4850803.2757700002</v>
      </c>
      <c r="G7" s="586">
        <f t="shared" si="1"/>
        <v>2738075.8226299998</v>
      </c>
      <c r="H7" s="586">
        <f t="shared" si="1"/>
        <v>1663479.0588599998</v>
      </c>
      <c r="I7" s="586">
        <f t="shared" si="1"/>
        <v>597422.08492000005</v>
      </c>
      <c r="J7" s="586">
        <f t="shared" si="1"/>
        <v>1376055.82124</v>
      </c>
      <c r="K7" s="586">
        <f t="shared" si="1"/>
        <v>514398.45189000008</v>
      </c>
      <c r="L7" s="586">
        <f t="shared" si="1"/>
        <v>544687.99659</v>
      </c>
      <c r="M7" s="586">
        <f t="shared" si="1"/>
        <v>1080273.2791200001</v>
      </c>
      <c r="N7" s="586">
        <f t="shared" si="1"/>
        <v>614128.31283999991</v>
      </c>
      <c r="O7" s="586">
        <f>SUM(C7:N7)</f>
        <v>20181735.318920001</v>
      </c>
      <c r="P7" s="250"/>
      <c r="Q7" s="263"/>
    </row>
    <row r="8" spans="1:17" x14ac:dyDescent="0.2">
      <c r="A8" s="239">
        <v>502</v>
      </c>
      <c r="B8" s="229" t="s">
        <v>131</v>
      </c>
      <c r="C8" s="240">
        <f>'ER Diciembre 2025'!C25</f>
        <v>519517.73537000001</v>
      </c>
      <c r="D8" s="240">
        <f>'ER Diciembre 2025'!D25</f>
        <v>356069.34493000002</v>
      </c>
      <c r="E8" s="240">
        <f>'ER Diciembre 2025'!E25</f>
        <v>2223666.2179699996</v>
      </c>
      <c r="F8" s="240">
        <f>'ER Diciembre 2025'!F25</f>
        <v>3473344.32651</v>
      </c>
      <c r="G8" s="240">
        <f>'ER Diciembre 2025'!H25</f>
        <v>1152765.01269</v>
      </c>
      <c r="H8" s="240">
        <f>'ER Diciembre 2025'!I25</f>
        <v>928494.81669000001</v>
      </c>
      <c r="I8" s="240">
        <f>'ER Diciembre 2025'!J25</f>
        <v>16226.41051</v>
      </c>
      <c r="J8" s="240">
        <f>'ER Diciembre 2025'!K25</f>
        <v>804399.97320000001</v>
      </c>
      <c r="K8" s="240">
        <f>'ER Diciembre 2025'!L25</f>
        <v>249226.40594</v>
      </c>
      <c r="L8" s="240">
        <f>'ER Diciembre 2025'!M25</f>
        <v>238855.12540000002</v>
      </c>
      <c r="M8" s="240">
        <f>'ER Diciembre 2025'!N25</f>
        <v>962513.50365999993</v>
      </c>
      <c r="N8" s="240">
        <f>'ER Diciembre 2025'!G25</f>
        <v>190834.55486999999</v>
      </c>
      <c r="O8" s="240">
        <f t="shared" ref="O8:O38" si="2">SUM(C8:N8)</f>
        <v>11115913.427739998</v>
      </c>
      <c r="Q8" s="534"/>
    </row>
    <row r="9" spans="1:17" x14ac:dyDescent="0.2">
      <c r="A9" s="242"/>
      <c r="B9" s="232" t="s">
        <v>132</v>
      </c>
      <c r="C9" s="243">
        <f>C7-C8</f>
        <v>1105325.5467400001</v>
      </c>
      <c r="D9" s="243">
        <f>D7-D8</f>
        <v>1094012.1302899998</v>
      </c>
      <c r="E9" s="243">
        <f t="shared" ref="E9:N9" si="3">E7-E8</f>
        <v>903820.23976000026</v>
      </c>
      <c r="F9" s="243">
        <f t="shared" si="3"/>
        <v>1377458.9492600001</v>
      </c>
      <c r="G9" s="243">
        <f t="shared" si="3"/>
        <v>1585310.8099399998</v>
      </c>
      <c r="H9" s="243">
        <f t="shared" si="3"/>
        <v>734984.24216999975</v>
      </c>
      <c r="I9" s="243">
        <f t="shared" si="3"/>
        <v>581195.67441000009</v>
      </c>
      <c r="J9" s="243">
        <f t="shared" si="3"/>
        <v>571655.84803999995</v>
      </c>
      <c r="K9" s="243">
        <f t="shared" si="3"/>
        <v>265172.04595000006</v>
      </c>
      <c r="L9" s="243">
        <f t="shared" si="3"/>
        <v>305832.87118999998</v>
      </c>
      <c r="M9" s="243">
        <f t="shared" si="3"/>
        <v>117759.77546000015</v>
      </c>
      <c r="N9" s="243">
        <f t="shared" si="3"/>
        <v>423293.75796999992</v>
      </c>
      <c r="O9" s="243">
        <f t="shared" si="2"/>
        <v>9065821.8911799993</v>
      </c>
    </row>
    <row r="10" spans="1:17" outlineLevel="1" x14ac:dyDescent="0.2">
      <c r="A10" s="239">
        <v>503</v>
      </c>
      <c r="B10" s="229" t="s">
        <v>133</v>
      </c>
      <c r="C10" s="240">
        <f>'ER Diciembre 2025'!C26</f>
        <v>128007.99898</v>
      </c>
      <c r="D10" s="240">
        <f>'ER Diciembre 2025'!D26</f>
        <v>48159.785909999999</v>
      </c>
      <c r="E10" s="240">
        <f>'ER Diciembre 2025'!E26</f>
        <v>29027.9202</v>
      </c>
      <c r="F10" s="240">
        <f>'ER Diciembre 2025'!F26</f>
        <v>290346.14289999998</v>
      </c>
      <c r="G10" s="240">
        <f>'ER Diciembre 2025'!H26</f>
        <v>265182.24868999998</v>
      </c>
      <c r="H10" s="240">
        <f>'ER Diciembre 2025'!I26</f>
        <v>134947.59091</v>
      </c>
      <c r="I10" s="240">
        <f>'ER Diciembre 2025'!J26</f>
        <v>132554.41462999998</v>
      </c>
      <c r="J10" s="240">
        <f>'ER Diciembre 2025'!K26</f>
        <v>123196.96433</v>
      </c>
      <c r="K10" s="240">
        <f>'ER Diciembre 2025'!L26</f>
        <v>72759.16515999999</v>
      </c>
      <c r="L10" s="240">
        <f>'ER Diciembre 2025'!M26</f>
        <v>44587.367829999996</v>
      </c>
      <c r="M10" s="240">
        <f>'ER Diciembre 2025'!N26</f>
        <v>48404.997320000002</v>
      </c>
      <c r="N10" s="240">
        <f>'ER Diciembre 2025'!G26</f>
        <v>112415.31562000001</v>
      </c>
      <c r="O10" s="240">
        <f t="shared" si="2"/>
        <v>1429589.9124800002</v>
      </c>
    </row>
    <row r="11" spans="1:17" outlineLevel="1" x14ac:dyDescent="0.2">
      <c r="A11" s="239">
        <v>403</v>
      </c>
      <c r="B11" s="229" t="s">
        <v>133</v>
      </c>
      <c r="C11" s="240">
        <f>'ER Diciembre 2025'!C14</f>
        <v>82669.7408</v>
      </c>
      <c r="D11" s="240">
        <f>'ER Diciembre 2025'!D14</f>
        <v>15357.84375</v>
      </c>
      <c r="E11" s="240">
        <f>'ER Diciembre 2025'!E14</f>
        <v>52166.217119999994</v>
      </c>
      <c r="F11" s="240">
        <f>'ER Diciembre 2025'!F14</f>
        <v>186906.23422000001</v>
      </c>
      <c r="G11" s="240">
        <f>'ER Diciembre 2025'!H14</f>
        <v>336913.99347000004</v>
      </c>
      <c r="H11" s="240">
        <f>'ER Diciembre 2025'!I14</f>
        <v>91232.187890000001</v>
      </c>
      <c r="I11" s="240">
        <f>'ER Diciembre 2025'!J14</f>
        <v>148490.80049000002</v>
      </c>
      <c r="J11" s="240">
        <f>'ER Diciembre 2025'!K14</f>
        <v>108937.73443000001</v>
      </c>
      <c r="K11" s="240">
        <f>'ER Diciembre 2025'!L14</f>
        <v>33237.792150000001</v>
      </c>
      <c r="L11" s="240">
        <f>'ER Diciembre 2025'!M14</f>
        <v>30623.865750000001</v>
      </c>
      <c r="M11" s="240">
        <f>'ER Diciembre 2025'!N14</f>
        <v>9323.4719299999997</v>
      </c>
      <c r="N11" s="240">
        <f>'ER Diciembre 2025'!G14</f>
        <v>80459.701230000006</v>
      </c>
      <c r="O11" s="240">
        <f t="shared" si="2"/>
        <v>1176319.5832300002</v>
      </c>
    </row>
    <row r="12" spans="1:17" x14ac:dyDescent="0.2">
      <c r="A12" s="242"/>
      <c r="B12" s="232" t="s">
        <v>134</v>
      </c>
      <c r="C12" s="244">
        <f>C9-C10+C11</f>
        <v>1059987.28856</v>
      </c>
      <c r="D12" s="244">
        <f>D9-D10+D11</f>
        <v>1061210.1881299997</v>
      </c>
      <c r="E12" s="244">
        <f t="shared" ref="E12:N12" si="4">E9-E10+E11</f>
        <v>926958.53668000025</v>
      </c>
      <c r="F12" s="244">
        <f t="shared" si="4"/>
        <v>1274019.0405800003</v>
      </c>
      <c r="G12" s="244">
        <f t="shared" si="4"/>
        <v>1657042.5547199999</v>
      </c>
      <c r="H12" s="244">
        <f t="shared" si="4"/>
        <v>691268.83914999967</v>
      </c>
      <c r="I12" s="244">
        <f t="shared" si="4"/>
        <v>597132.06027000013</v>
      </c>
      <c r="J12" s="244">
        <f t="shared" si="4"/>
        <v>557396.61813999992</v>
      </c>
      <c r="K12" s="244">
        <f>K9-K10+K11</f>
        <v>225650.67294000008</v>
      </c>
      <c r="L12" s="244">
        <f t="shared" si="4"/>
        <v>291869.36910999997</v>
      </c>
      <c r="M12" s="244">
        <f t="shared" si="4"/>
        <v>78678.250070000155</v>
      </c>
      <c r="N12" s="244">
        <f t="shared" si="4"/>
        <v>391338.14357999992</v>
      </c>
      <c r="O12" s="244">
        <f t="shared" si="2"/>
        <v>8812551.5619300008</v>
      </c>
    </row>
    <row r="13" spans="1:17" x14ac:dyDescent="0.2">
      <c r="A13" s="239">
        <v>402</v>
      </c>
      <c r="B13" s="229" t="s">
        <v>135</v>
      </c>
      <c r="C13" s="240">
        <f>'ER Diciembre 2025'!C13</f>
        <v>145569.17434999999</v>
      </c>
      <c r="D13" s="240">
        <f>'ER Diciembre 2025'!D13</f>
        <v>16445.07905</v>
      </c>
      <c r="E13" s="240">
        <f>'ER Diciembre 2025'!E13</f>
        <v>684891.86834000004</v>
      </c>
      <c r="F13" s="240">
        <f>'ER Diciembre 2025'!F13</f>
        <v>631564.08996000001</v>
      </c>
      <c r="G13" s="240">
        <f>'ER Diciembre 2025'!H13</f>
        <v>377924.23213999998</v>
      </c>
      <c r="H13" s="240">
        <f>'ER Diciembre 2025'!I13</f>
        <v>239846.28477999999</v>
      </c>
      <c r="I13" s="240">
        <f>'ER Diciembre 2025'!J13</f>
        <v>763.69441000000006</v>
      </c>
      <c r="J13" s="240">
        <f>'ER Diciembre 2025'!K13</f>
        <v>191763.91819</v>
      </c>
      <c r="K13" s="240">
        <f>'ER Diciembre 2025'!L13</f>
        <v>108109.91232999999</v>
      </c>
      <c r="L13" s="240">
        <f>'ER Diciembre 2025'!M13</f>
        <v>61221.127509999998</v>
      </c>
      <c r="M13" s="240">
        <f>'ER Diciembre 2025'!N13</f>
        <v>190712.26035</v>
      </c>
      <c r="N13" s="240">
        <f>'ER Diciembre 2025'!G13</f>
        <v>11419.65453</v>
      </c>
      <c r="O13" s="240">
        <f t="shared" si="2"/>
        <v>2660231.2959400006</v>
      </c>
    </row>
    <row r="14" spans="1:17" x14ac:dyDescent="0.2">
      <c r="A14" s="239">
        <v>504</v>
      </c>
      <c r="B14" s="229" t="s">
        <v>136</v>
      </c>
      <c r="C14" s="240">
        <f>'ER Diciembre 2025'!C27</f>
        <v>300649.45729000005</v>
      </c>
      <c r="D14" s="240">
        <f>'ER Diciembre 2025'!D27</f>
        <v>321412.83604999998</v>
      </c>
      <c r="E14" s="240">
        <f>'ER Diciembre 2025'!E27</f>
        <v>607771.46380999999</v>
      </c>
      <c r="F14" s="240">
        <f>'ER Diciembre 2025'!F27</f>
        <v>460207.35801999999</v>
      </c>
      <c r="G14" s="240">
        <f>'ER Diciembre 2025'!H27</f>
        <v>215148.35345</v>
      </c>
      <c r="H14" s="240">
        <f>'ER Diciembre 2025'!I27</f>
        <v>235808.37425999998</v>
      </c>
      <c r="I14" s="240">
        <f>'ER Diciembre 2025'!J27</f>
        <v>9854.8842299999997</v>
      </c>
      <c r="J14" s="240">
        <f>'ER Diciembre 2025'!K27</f>
        <v>138524.97544000001</v>
      </c>
      <c r="K14" s="240">
        <f>'ER Diciembre 2025'!L27</f>
        <v>84531.445370000001</v>
      </c>
      <c r="L14" s="240">
        <f>'ER Diciembre 2025'!M27</f>
        <v>40594.442609999998</v>
      </c>
      <c r="M14" s="240">
        <f>'ER Diciembre 2025'!N27</f>
        <v>134771.12828</v>
      </c>
      <c r="N14" s="240">
        <f>'ER Diciembre 2025'!G27</f>
        <v>71354.792079999999</v>
      </c>
      <c r="O14" s="240">
        <f t="shared" si="2"/>
        <v>2620629.5108899996</v>
      </c>
    </row>
    <row r="15" spans="1:17" x14ac:dyDescent="0.2">
      <c r="A15" s="242"/>
      <c r="B15" s="232" t="s">
        <v>137</v>
      </c>
      <c r="C15" s="244">
        <f>C12+C13-C14</f>
        <v>904907.00561999995</v>
      </c>
      <c r="D15" s="244">
        <f>D12+D13-D14</f>
        <v>756242.43112999969</v>
      </c>
      <c r="E15" s="244">
        <f t="shared" ref="E15:N15" si="5">E12+E13-E14</f>
        <v>1004078.9412100004</v>
      </c>
      <c r="F15" s="244">
        <f t="shared" si="5"/>
        <v>1445375.7725200003</v>
      </c>
      <c r="G15" s="244">
        <f t="shared" si="5"/>
        <v>1819818.4334099998</v>
      </c>
      <c r="H15" s="244">
        <f t="shared" si="5"/>
        <v>695306.7496699997</v>
      </c>
      <c r="I15" s="244">
        <f t="shared" si="5"/>
        <v>588040.87045000016</v>
      </c>
      <c r="J15" s="244">
        <f t="shared" si="5"/>
        <v>610635.56088999985</v>
      </c>
      <c r="K15" s="244">
        <f t="shared" si="5"/>
        <v>249229.13990000004</v>
      </c>
      <c r="L15" s="244">
        <f t="shared" si="5"/>
        <v>312496.05400999996</v>
      </c>
      <c r="M15" s="244">
        <f t="shared" si="5"/>
        <v>134619.38214000018</v>
      </c>
      <c r="N15" s="244">
        <f t="shared" si="5"/>
        <v>331403.00602999993</v>
      </c>
      <c r="O15" s="244">
        <f t="shared" si="2"/>
        <v>8852153.3469800018</v>
      </c>
      <c r="P15" s="250"/>
      <c r="Q15" s="250"/>
    </row>
    <row r="16" spans="1:17" outlineLevel="1" x14ac:dyDescent="0.2">
      <c r="A16" s="239">
        <v>404</v>
      </c>
      <c r="B16" s="229" t="s">
        <v>138</v>
      </c>
      <c r="C16" s="240">
        <f>'ER Diciembre 2025'!C15</f>
        <v>209962.96275000001</v>
      </c>
      <c r="D16" s="240">
        <f>'ER Diciembre 2025'!D15</f>
        <v>208059.06746000002</v>
      </c>
      <c r="E16" s="240">
        <f>'ER Diciembre 2025'!E15</f>
        <v>606842.93497000006</v>
      </c>
      <c r="F16" s="240">
        <f>'ER Diciembre 2025'!F15</f>
        <v>1222930.17447</v>
      </c>
      <c r="G16" s="240">
        <f>'ER Diciembre 2025'!H15</f>
        <v>302789.96838999999</v>
      </c>
      <c r="H16" s="240">
        <f>'ER Diciembre 2025'!I15</f>
        <v>288582.49057999998</v>
      </c>
      <c r="I16" s="240">
        <f>'ER Diciembre 2025'!J15</f>
        <v>46570.307540000002</v>
      </c>
      <c r="J16" s="240">
        <f>'ER Diciembre 2025'!K15</f>
        <v>314914.2341</v>
      </c>
      <c r="K16" s="240">
        <f>'ER Diciembre 2025'!L15</f>
        <v>40847.752759999996</v>
      </c>
      <c r="L16" s="240">
        <f>'ER Diciembre 2025'!M15</f>
        <v>113392.53290999999</v>
      </c>
      <c r="M16" s="240">
        <f>'ER Diciembre 2025'!N15</f>
        <v>1410501.8832400001</v>
      </c>
      <c r="N16" s="240">
        <f>'ER Diciembre 2025'!G15</f>
        <v>20779.796569999999</v>
      </c>
      <c r="O16" s="240">
        <f t="shared" si="2"/>
        <v>4786174.1057400005</v>
      </c>
    </row>
    <row r="17" spans="1:16" outlineLevel="1" x14ac:dyDescent="0.2">
      <c r="A17" s="239">
        <v>405</v>
      </c>
      <c r="B17" s="229" t="s">
        <v>139</v>
      </c>
      <c r="C17" s="240">
        <f>'ER Diciembre 2025'!C16</f>
        <v>52158.335209999997</v>
      </c>
      <c r="D17" s="240">
        <f>'ER Diciembre 2025'!D16</f>
        <v>0</v>
      </c>
      <c r="E17" s="240">
        <f>'ER Diciembre 2025'!E16</f>
        <v>47869.480450000003</v>
      </c>
      <c r="F17" s="240">
        <f>'ER Diciembre 2025'!F16</f>
        <v>77572.825290000008</v>
      </c>
      <c r="G17" s="240">
        <f>'ER Diciembre 2025'!H16</f>
        <v>80733.647870000001</v>
      </c>
      <c r="H17" s="240">
        <f>'ER Diciembre 2025'!I16</f>
        <v>61916.486020000004</v>
      </c>
      <c r="I17" s="240">
        <f>'ER Diciembre 2025'!J16</f>
        <v>2124.6269600000001</v>
      </c>
      <c r="J17" s="240">
        <f>'ER Diciembre 2025'!K16</f>
        <v>47657.134460000001</v>
      </c>
      <c r="K17" s="240">
        <f>'ER Diciembre 2025'!L16</f>
        <v>16224.28557</v>
      </c>
      <c r="L17" s="240">
        <f>'ER Diciembre 2025'!M16</f>
        <v>13438.7727</v>
      </c>
      <c r="M17" s="240">
        <f>'ER Diciembre 2025'!N16</f>
        <v>4620.29943</v>
      </c>
      <c r="N17" s="240">
        <f>'ER Diciembre 2025'!G16</f>
        <v>43487.980060000002</v>
      </c>
      <c r="O17" s="240">
        <f t="shared" si="2"/>
        <v>447803.8740200001</v>
      </c>
    </row>
    <row r="18" spans="1:16" outlineLevel="1" x14ac:dyDescent="0.2">
      <c r="A18" s="239">
        <v>501</v>
      </c>
      <c r="B18" s="229" t="s">
        <v>140</v>
      </c>
      <c r="C18" s="240">
        <f>'ER Diciembre 2025'!C24</f>
        <v>671481.64197</v>
      </c>
      <c r="D18" s="240">
        <f>'ER Diciembre 2025'!D24</f>
        <v>587675.16532000003</v>
      </c>
      <c r="E18" s="240">
        <f>'ER Diciembre 2025'!E24</f>
        <v>1065711.9155900001</v>
      </c>
      <c r="F18" s="240">
        <f>'ER Diciembre 2025'!F24</f>
        <v>1773069.30562</v>
      </c>
      <c r="G18" s="240">
        <f>'ER Diciembre 2025'!H24</f>
        <v>1200002.82623</v>
      </c>
      <c r="H18" s="240">
        <f>'ER Diciembre 2025'!I24</f>
        <v>677590.38303000003</v>
      </c>
      <c r="I18" s="240">
        <f>'ER Diciembre 2025'!J24</f>
        <v>336422.71480999998</v>
      </c>
      <c r="J18" s="240">
        <f>'ER Diciembre 2025'!K24</f>
        <v>638841.10048999998</v>
      </c>
      <c r="K18" s="240">
        <f>'ER Diciembre 2025'!L24</f>
        <v>149506.94697999998</v>
      </c>
      <c r="L18" s="240">
        <f>'ER Diciembre 2025'!M24</f>
        <v>254945.78109999999</v>
      </c>
      <c r="M18" s="240">
        <f>'ER Diciembre 2025'!N24</f>
        <v>1434212.6344699999</v>
      </c>
      <c r="N18" s="240">
        <f>'ER Diciembre 2025'!G24</f>
        <v>237851.34236000001</v>
      </c>
      <c r="O18" s="240">
        <f t="shared" si="2"/>
        <v>9027311.7579699997</v>
      </c>
      <c r="P18" s="250"/>
    </row>
    <row r="19" spans="1:16" outlineLevel="1" x14ac:dyDescent="0.2">
      <c r="A19" s="239">
        <v>506</v>
      </c>
      <c r="B19" s="229" t="s">
        <v>141</v>
      </c>
      <c r="C19" s="240">
        <f>'ER Diciembre 2025'!C29</f>
        <v>0</v>
      </c>
      <c r="D19" s="240">
        <f>'ER Diciembre 2025'!D29</f>
        <v>0</v>
      </c>
      <c r="E19" s="240">
        <f>'ER Diciembre 2025'!E29</f>
        <v>0</v>
      </c>
      <c r="F19" s="240">
        <f>'ER Diciembre 2025'!F29</f>
        <v>16767.052889999999</v>
      </c>
      <c r="G19" s="240">
        <f>'ER Diciembre 2025'!H29</f>
        <v>0</v>
      </c>
      <c r="H19" s="240">
        <f>'ER Diciembre 2025'!I29</f>
        <v>0</v>
      </c>
      <c r="I19" s="240">
        <f>'ER Diciembre 2025'!J29</f>
        <v>0</v>
      </c>
      <c r="J19" s="240">
        <f>'ER Diciembre 2025'!K29</f>
        <v>2311.3006600000003</v>
      </c>
      <c r="K19" s="240">
        <f>'ER Diciembre 2025'!L29</f>
        <v>0</v>
      </c>
      <c r="L19" s="240">
        <f>'ER Diciembre 2025'!M29</f>
        <v>0</v>
      </c>
      <c r="M19" s="240">
        <f>'ER Diciembre 2025'!N29</f>
        <v>4012.7168900000001</v>
      </c>
      <c r="N19" s="240">
        <f>'ER Diciembre 2025'!G29</f>
        <v>0</v>
      </c>
      <c r="O19" s="240">
        <f t="shared" si="2"/>
        <v>23091.07044</v>
      </c>
    </row>
    <row r="20" spans="1:16" x14ac:dyDescent="0.2">
      <c r="A20" s="242"/>
      <c r="B20" s="232" t="s">
        <v>142</v>
      </c>
      <c r="C20" s="245">
        <f>C18+C19-C16-C17</f>
        <v>409360.34401</v>
      </c>
      <c r="D20" s="245">
        <f>D18+D19-D16-D17</f>
        <v>379616.09785999998</v>
      </c>
      <c r="E20" s="245">
        <f t="shared" ref="E20:N20" si="6">E18+E19-E16-E17</f>
        <v>410999.50017000001</v>
      </c>
      <c r="F20" s="245">
        <f t="shared" si="6"/>
        <v>489333.35874999996</v>
      </c>
      <c r="G20" s="245">
        <f t="shared" si="6"/>
        <v>816479.20996999997</v>
      </c>
      <c r="H20" s="245">
        <f t="shared" si="6"/>
        <v>327091.40643000003</v>
      </c>
      <c r="I20" s="245">
        <f t="shared" si="6"/>
        <v>287727.78030999994</v>
      </c>
      <c r="J20" s="245">
        <f t="shared" si="6"/>
        <v>278581.03258999996</v>
      </c>
      <c r="K20" s="245">
        <f t="shared" si="6"/>
        <v>92434.908649999968</v>
      </c>
      <c r="L20" s="245">
        <f t="shared" si="6"/>
        <v>128114.47549000001</v>
      </c>
      <c r="M20" s="245">
        <f t="shared" si="6"/>
        <v>23103.16868999986</v>
      </c>
      <c r="N20" s="245">
        <f t="shared" si="6"/>
        <v>173583.56573</v>
      </c>
      <c r="O20" s="245">
        <f t="shared" si="2"/>
        <v>3816424.8486499996</v>
      </c>
    </row>
    <row r="21" spans="1:16" x14ac:dyDescent="0.2">
      <c r="A21" s="242"/>
      <c r="B21" s="232" t="s">
        <v>143</v>
      </c>
      <c r="C21" s="246">
        <f>C15-C20</f>
        <v>495546.66160999995</v>
      </c>
      <c r="D21" s="246">
        <f>D15-D20</f>
        <v>376626.33326999971</v>
      </c>
      <c r="E21" s="246">
        <f t="shared" ref="E21:N21" si="7">E15-E20</f>
        <v>593079.44104000041</v>
      </c>
      <c r="F21" s="246">
        <f t="shared" si="7"/>
        <v>956042.41377000045</v>
      </c>
      <c r="G21" s="246">
        <f t="shared" si="7"/>
        <v>1003339.2234399999</v>
      </c>
      <c r="H21" s="246">
        <f t="shared" si="7"/>
        <v>368215.34323999967</v>
      </c>
      <c r="I21" s="246">
        <f t="shared" si="7"/>
        <v>300313.09014000022</v>
      </c>
      <c r="J21" s="246">
        <f t="shared" si="7"/>
        <v>332054.52829999989</v>
      </c>
      <c r="K21" s="246">
        <f t="shared" si="7"/>
        <v>156794.23125000007</v>
      </c>
      <c r="L21" s="246">
        <f t="shared" si="7"/>
        <v>184381.57851999995</v>
      </c>
      <c r="M21" s="246">
        <f t="shared" si="7"/>
        <v>111516.21345000032</v>
      </c>
      <c r="N21" s="246">
        <f t="shared" si="7"/>
        <v>157819.44029999993</v>
      </c>
      <c r="O21" s="246">
        <f t="shared" si="2"/>
        <v>5035728.4983300017</v>
      </c>
    </row>
    <row r="22" spans="1:16" x14ac:dyDescent="0.2">
      <c r="A22" s="239">
        <v>406</v>
      </c>
      <c r="B22" s="229" t="s">
        <v>144</v>
      </c>
      <c r="C22" s="240">
        <f>'ER Diciembre 2025'!C17</f>
        <v>27896.873789999998</v>
      </c>
      <c r="D22" s="240">
        <f>'ER Diciembre 2025'!D17</f>
        <v>60038.736899999996</v>
      </c>
      <c r="E22" s="240">
        <f>'ER Diciembre 2025'!E17</f>
        <v>30535.813539999999</v>
      </c>
      <c r="F22" s="240">
        <f>'ER Diciembre 2025'!F17</f>
        <v>87675.427030000006</v>
      </c>
      <c r="G22" s="240">
        <f>'ER Diciembre 2025'!H17</f>
        <v>26774.102890000002</v>
      </c>
      <c r="H22" s="240">
        <f>'ER Diciembre 2025'!I17</f>
        <v>28122.90235</v>
      </c>
      <c r="I22" s="240">
        <f>'ER Diciembre 2025'!J17</f>
        <v>15745.03635</v>
      </c>
      <c r="J22" s="240">
        <f>'ER Diciembre 2025'!K17</f>
        <v>21304.047609999998</v>
      </c>
      <c r="K22" s="240">
        <f>'ER Diciembre 2025'!L17</f>
        <v>34032.038420000004</v>
      </c>
      <c r="L22" s="240">
        <f>'ER Diciembre 2025'!M17</f>
        <v>13728.678970000001</v>
      </c>
      <c r="M22" s="240">
        <f>'ER Diciembre 2025'!N17</f>
        <v>21910.33525</v>
      </c>
      <c r="N22" s="240">
        <f>'ER Diciembre 2025'!G17</f>
        <v>17317.837909999998</v>
      </c>
      <c r="O22" s="240">
        <f t="shared" si="2"/>
        <v>385081.83101000002</v>
      </c>
    </row>
    <row r="23" spans="1:16" x14ac:dyDescent="0.2">
      <c r="A23" s="239">
        <v>507</v>
      </c>
      <c r="B23" s="229" t="s">
        <v>145</v>
      </c>
      <c r="C23" s="240">
        <f>'ER Diciembre 2025'!C30</f>
        <v>121799.14529</v>
      </c>
      <c r="D23" s="240">
        <f>'ER Diciembre 2025'!D30</f>
        <v>158578.31769</v>
      </c>
      <c r="E23" s="240">
        <f>'ER Diciembre 2025'!E30</f>
        <v>160392.88363</v>
      </c>
      <c r="F23" s="240">
        <f>'ER Diciembre 2025'!F30</f>
        <v>314272.54783999996</v>
      </c>
      <c r="G23" s="240">
        <f>'ER Diciembre 2025'!H30</f>
        <v>298875.06289</v>
      </c>
      <c r="H23" s="240">
        <f>'ER Diciembre 2025'!I30</f>
        <v>142074.17705</v>
      </c>
      <c r="I23" s="240">
        <f>'ER Diciembre 2025'!J30</f>
        <v>139596.79848</v>
      </c>
      <c r="J23" s="240">
        <f>'ER Diciembre 2025'!K30</f>
        <v>113297.37383</v>
      </c>
      <c r="K23" s="240">
        <f>'ER Diciembre 2025'!L30</f>
        <v>45794.427439999999</v>
      </c>
      <c r="L23" s="240">
        <f>'ER Diciembre 2025'!M30</f>
        <v>83213.741689999995</v>
      </c>
      <c r="M23" s="240">
        <f>'ER Diciembre 2025'!N30</f>
        <v>43914.012130000003</v>
      </c>
      <c r="N23" s="240">
        <f>'ER Diciembre 2025'!G30</f>
        <v>73592.02906999999</v>
      </c>
      <c r="O23" s="240">
        <f t="shared" si="2"/>
        <v>1695400.51703</v>
      </c>
    </row>
    <row r="24" spans="1:16" x14ac:dyDescent="0.2">
      <c r="A24" s="242"/>
      <c r="B24" s="232" t="s">
        <v>146</v>
      </c>
      <c r="C24" s="243">
        <f>C21+C22-C23</f>
        <v>401644.39010999992</v>
      </c>
      <c r="D24" s="243">
        <f>D21+D22-D23</f>
        <v>278086.75247999973</v>
      </c>
      <c r="E24" s="243">
        <f t="shared" ref="E24:N24" si="8">E21+E22-E23</f>
        <v>463222.37095000042</v>
      </c>
      <c r="F24" s="243">
        <f t="shared" si="8"/>
        <v>729445.29296000046</v>
      </c>
      <c r="G24" s="243">
        <f t="shared" si="8"/>
        <v>731238.26343999989</v>
      </c>
      <c r="H24" s="243">
        <f t="shared" si="8"/>
        <v>254264.06853999966</v>
      </c>
      <c r="I24" s="243">
        <f t="shared" si="8"/>
        <v>176461.32801000023</v>
      </c>
      <c r="J24" s="243">
        <f t="shared" si="8"/>
        <v>240061.2020799999</v>
      </c>
      <c r="K24" s="243">
        <f t="shared" si="8"/>
        <v>145031.84223000007</v>
      </c>
      <c r="L24" s="243">
        <f t="shared" si="8"/>
        <v>114896.51579999996</v>
      </c>
      <c r="M24" s="243">
        <f t="shared" si="8"/>
        <v>89512.536570000302</v>
      </c>
      <c r="N24" s="243">
        <f t="shared" si="8"/>
        <v>101545.24913999994</v>
      </c>
      <c r="O24" s="243">
        <f t="shared" si="2"/>
        <v>3725409.8123100009</v>
      </c>
    </row>
    <row r="25" spans="1:16" x14ac:dyDescent="0.2">
      <c r="A25" s="239">
        <v>509</v>
      </c>
      <c r="B25" s="229" t="s">
        <v>147</v>
      </c>
      <c r="C25" s="240">
        <f>'ER Diciembre 2025'!C32</f>
        <v>186276.25878999999</v>
      </c>
      <c r="D25" s="240">
        <f>'ER Diciembre 2025'!D32</f>
        <v>208818.55525</v>
      </c>
      <c r="E25" s="240">
        <f>'ER Diciembre 2025'!E32</f>
        <v>356846.05893</v>
      </c>
      <c r="F25" s="240">
        <f>'ER Diciembre 2025'!F32</f>
        <v>564457.84205999994</v>
      </c>
      <c r="G25" s="240">
        <f>'ER Diciembre 2025'!H32</f>
        <v>511998.50498999999</v>
      </c>
      <c r="H25" s="240">
        <f>'ER Diciembre 2025'!I32</f>
        <v>164404.84941999998</v>
      </c>
      <c r="I25" s="240">
        <f>'ER Diciembre 2025'!J32</f>
        <v>105535.48714</v>
      </c>
      <c r="J25" s="240">
        <f>'ER Diciembre 2025'!K32</f>
        <v>128491.19231</v>
      </c>
      <c r="K25" s="240">
        <f>'ER Diciembre 2025'!L32</f>
        <v>101267.87027</v>
      </c>
      <c r="L25" s="240">
        <f>'ER Diciembre 2025'!M32</f>
        <v>92608.545620000004</v>
      </c>
      <c r="M25" s="240">
        <f>'ER Diciembre 2025'!N32</f>
        <v>78491.181079999995</v>
      </c>
      <c r="N25" s="240">
        <f>'ER Diciembre 2025'!G32</f>
        <v>135640.72224</v>
      </c>
      <c r="O25" s="240">
        <f t="shared" si="2"/>
        <v>2634837.0680999993</v>
      </c>
    </row>
    <row r="26" spans="1:16" x14ac:dyDescent="0.2">
      <c r="A26" s="242"/>
      <c r="B26" s="232" t="s">
        <v>148</v>
      </c>
      <c r="C26" s="243">
        <f>C24-C25</f>
        <v>215368.13131999993</v>
      </c>
      <c r="D26" s="243">
        <f>D24-D25</f>
        <v>69268.197229999729</v>
      </c>
      <c r="E26" s="243">
        <f t="shared" ref="E26:N26" si="9">E24-E25</f>
        <v>106376.31202000042</v>
      </c>
      <c r="F26" s="243">
        <f t="shared" si="9"/>
        <v>164987.45090000052</v>
      </c>
      <c r="G26" s="243">
        <f t="shared" si="9"/>
        <v>219239.75844999991</v>
      </c>
      <c r="H26" s="243">
        <f t="shared" si="9"/>
        <v>89859.219119999674</v>
      </c>
      <c r="I26" s="243">
        <f t="shared" si="9"/>
        <v>70925.840870000233</v>
      </c>
      <c r="J26" s="243">
        <f t="shared" si="9"/>
        <v>111570.0097699999</v>
      </c>
      <c r="K26" s="243">
        <f t="shared" si="9"/>
        <v>43763.971960000068</v>
      </c>
      <c r="L26" s="243">
        <f t="shared" si="9"/>
        <v>22287.97017999996</v>
      </c>
      <c r="M26" s="243">
        <f t="shared" si="9"/>
        <v>11021.355490000307</v>
      </c>
      <c r="N26" s="243">
        <f t="shared" si="9"/>
        <v>-34095.473100000061</v>
      </c>
      <c r="O26" s="243">
        <f t="shared" si="2"/>
        <v>1090572.7442100004</v>
      </c>
    </row>
    <row r="27" spans="1:16" x14ac:dyDescent="0.2">
      <c r="A27" s="239">
        <v>407</v>
      </c>
      <c r="B27" s="229" t="s">
        <v>149</v>
      </c>
      <c r="C27" s="240">
        <f>'ER Diciembre 2025'!C18</f>
        <v>230255.60188</v>
      </c>
      <c r="D27" s="240">
        <f>'ER Diciembre 2025'!D18</f>
        <v>183843.55442</v>
      </c>
      <c r="E27" s="240">
        <f>'ER Diciembre 2025'!E18</f>
        <v>198090.11009</v>
      </c>
      <c r="F27" s="240">
        <f>'ER Diciembre 2025'!F18</f>
        <v>276346.83773999999</v>
      </c>
      <c r="G27" s="240">
        <f>'ER Diciembre 2025'!H18</f>
        <v>250830.50366999998</v>
      </c>
      <c r="H27" s="240">
        <f>'ER Diciembre 2025'!I18</f>
        <v>128954.38165000001</v>
      </c>
      <c r="I27" s="240">
        <f>'ER Diciembre 2025'!J18</f>
        <v>116146.58739</v>
      </c>
      <c r="J27" s="240">
        <f>'ER Diciembre 2025'!K18</f>
        <v>119840.77129999999</v>
      </c>
      <c r="K27" s="240">
        <f>'ER Diciembre 2025'!L18</f>
        <v>69972.686189999993</v>
      </c>
      <c r="L27" s="240">
        <f>'ER Diciembre 2025'!M18</f>
        <v>83931.480290000007</v>
      </c>
      <c r="M27" s="240">
        <f>'ER Diciembre 2025'!N18</f>
        <v>29748.84029</v>
      </c>
      <c r="N27" s="240">
        <f>'ER Diciembre 2025'!G18</f>
        <v>114465.78135999999</v>
      </c>
      <c r="O27" s="240">
        <f t="shared" si="2"/>
        <v>1802427.1362699999</v>
      </c>
    </row>
    <row r="28" spans="1:16" x14ac:dyDescent="0.2">
      <c r="A28" s="239">
        <v>508</v>
      </c>
      <c r="B28" s="229" t="s">
        <v>150</v>
      </c>
      <c r="C28" s="241">
        <f>'ER Diciembre 2025'!C31</f>
        <v>43433.677380000001</v>
      </c>
      <c r="D28" s="241">
        <f>'ER Diciembre 2025'!D31</f>
        <v>18200.6034</v>
      </c>
      <c r="E28" s="241">
        <f>'ER Diciembre 2025'!E31</f>
        <v>52764.894610000003</v>
      </c>
      <c r="F28" s="241">
        <f>'ER Diciembre 2025'!F31</f>
        <v>24060.166249999998</v>
      </c>
      <c r="G28" s="241">
        <f>'ER Diciembre 2025'!H31</f>
        <v>15493.51606</v>
      </c>
      <c r="H28" s="241">
        <f>'ER Diciembre 2025'!I31</f>
        <v>34544.443359999997</v>
      </c>
      <c r="I28" s="241">
        <f>'ER Diciembre 2025'!J31</f>
        <v>974.07507999999996</v>
      </c>
      <c r="J28" s="241">
        <f>'ER Diciembre 2025'!K31</f>
        <v>6825.3270199999997</v>
      </c>
      <c r="K28" s="241">
        <f>'ER Diciembre 2025'!L31</f>
        <v>14030.043529999999</v>
      </c>
      <c r="L28" s="241">
        <f>'ER Diciembre 2025'!M31</f>
        <v>2190.8083900000001</v>
      </c>
      <c r="M28" s="241">
        <f>'ER Diciembre 2025'!N31</f>
        <v>4135.1170600000005</v>
      </c>
      <c r="N28" s="241">
        <f>'ER Diciembre 2025'!G31</f>
        <v>39455.142679999997</v>
      </c>
      <c r="O28" s="241">
        <f t="shared" si="2"/>
        <v>256107.81481999997</v>
      </c>
    </row>
    <row r="29" spans="1:16" x14ac:dyDescent="0.2">
      <c r="A29" s="242"/>
      <c r="B29" s="232" t="s">
        <v>151</v>
      </c>
      <c r="C29" s="243">
        <f>C27-C28</f>
        <v>186821.92449999999</v>
      </c>
      <c r="D29" s="243">
        <f>D27-D28</f>
        <v>165642.95102000001</v>
      </c>
      <c r="E29" s="243">
        <f t="shared" ref="E29:N29" si="10">E27-E28</f>
        <v>145325.21548000001</v>
      </c>
      <c r="F29" s="243">
        <f t="shared" si="10"/>
        <v>252286.67148999998</v>
      </c>
      <c r="G29" s="243">
        <f t="shared" si="10"/>
        <v>235336.98760999998</v>
      </c>
      <c r="H29" s="243">
        <f t="shared" si="10"/>
        <v>94409.93829000002</v>
      </c>
      <c r="I29" s="243">
        <f t="shared" si="10"/>
        <v>115172.51231000001</v>
      </c>
      <c r="J29" s="243">
        <f t="shared" si="10"/>
        <v>113015.44428</v>
      </c>
      <c r="K29" s="243">
        <f t="shared" si="10"/>
        <v>55942.642659999998</v>
      </c>
      <c r="L29" s="243">
        <f t="shared" si="10"/>
        <v>81740.671900000001</v>
      </c>
      <c r="M29" s="243">
        <f t="shared" si="10"/>
        <v>25613.72323</v>
      </c>
      <c r="N29" s="243">
        <f t="shared" si="10"/>
        <v>75010.638680000004</v>
      </c>
      <c r="O29" s="243">
        <f t="shared" si="2"/>
        <v>1546319.3214499997</v>
      </c>
    </row>
    <row r="30" spans="1:16" x14ac:dyDescent="0.2">
      <c r="A30" s="239">
        <v>408</v>
      </c>
      <c r="B30" s="229" t="s">
        <v>152</v>
      </c>
      <c r="C30" s="240">
        <f>'ER Diciembre 2025'!C20</f>
        <v>13748.973900000001</v>
      </c>
      <c r="D30" s="240">
        <f>'ER Diciembre 2025'!D20</f>
        <v>3794.06799</v>
      </c>
      <c r="E30" s="240">
        <f>'ER Diciembre 2025'!E20</f>
        <v>9945.7917699999998</v>
      </c>
      <c r="F30" s="240">
        <f>'ER Diciembre 2025'!F20</f>
        <v>23139.123399999997</v>
      </c>
      <c r="G30" s="240">
        <f>'ER Diciembre 2025'!H20</f>
        <v>7504.3655099999996</v>
      </c>
      <c r="H30" s="240">
        <f>'ER Diciembre 2025'!I20</f>
        <v>5384.8954899999999</v>
      </c>
      <c r="I30" s="240">
        <f>'ER Diciembre 2025'!J20</f>
        <v>3234.8532300000002</v>
      </c>
      <c r="J30" s="240">
        <f>'ER Diciembre 2025'!K20</f>
        <v>5207.2053099999994</v>
      </c>
      <c r="K30" s="240">
        <f>'ER Diciembre 2025'!L20</f>
        <v>1107.84312</v>
      </c>
      <c r="L30" s="240">
        <f>'ER Diciembre 2025'!M20</f>
        <v>748.12088000000006</v>
      </c>
      <c r="M30" s="240">
        <f>'ER Diciembre 2025'!N20</f>
        <v>9513.7389199999998</v>
      </c>
      <c r="N30" s="240">
        <f>'ER Diciembre 2025'!G20</f>
        <v>9166.7532699999992</v>
      </c>
      <c r="O30" s="240">
        <f t="shared" si="2"/>
        <v>92495.732790000024</v>
      </c>
    </row>
    <row r="31" spans="1:16" x14ac:dyDescent="0.2">
      <c r="A31" s="239">
        <v>510</v>
      </c>
      <c r="B31" s="229" t="s">
        <v>153</v>
      </c>
      <c r="C31" s="241">
        <f>'ER Diciembre 2025'!C35</f>
        <v>0</v>
      </c>
      <c r="D31" s="241">
        <f>'ER Diciembre 2025'!D35</f>
        <v>0</v>
      </c>
      <c r="E31" s="241">
        <f>'ER Diciembre 2025'!E35</f>
        <v>34433.554490000002</v>
      </c>
      <c r="F31" s="241">
        <f>'ER Diciembre 2025'!F35</f>
        <v>1411.2793899999999</v>
      </c>
      <c r="G31" s="241">
        <f>'ER Diciembre 2025'!H35</f>
        <v>2.14541</v>
      </c>
      <c r="H31" s="241">
        <f>'ER Diciembre 2025'!I35</f>
        <v>8976.7476600000009</v>
      </c>
      <c r="I31" s="241">
        <f>'ER Diciembre 2025'!J35</f>
        <v>0</v>
      </c>
      <c r="J31" s="241">
        <f>'ER Diciembre 2025'!K35</f>
        <v>33.169530000000002</v>
      </c>
      <c r="K31" s="241">
        <f>'ER Diciembre 2025'!L35</f>
        <v>19.757900000000003</v>
      </c>
      <c r="L31" s="241">
        <f>'ER Diciembre 2025'!M35</f>
        <v>0</v>
      </c>
      <c r="M31" s="241">
        <f>'ER Diciembre 2025'!N35</f>
        <v>60.039029999999997</v>
      </c>
      <c r="N31" s="241">
        <f>'ER Diciembre 2025'!G35</f>
        <v>596.18498999999997</v>
      </c>
      <c r="O31" s="241">
        <f t="shared" si="2"/>
        <v>45532.878400000001</v>
      </c>
    </row>
    <row r="32" spans="1:16" x14ac:dyDescent="0.2">
      <c r="A32" s="242"/>
      <c r="B32" s="232" t="s">
        <v>154</v>
      </c>
      <c r="C32" s="244">
        <f>C26+C29+C30-C31</f>
        <v>415939.02971999987</v>
      </c>
      <c r="D32" s="244">
        <f>D26+D29+D30-D31</f>
        <v>238705.21623999975</v>
      </c>
      <c r="E32" s="244">
        <f t="shared" ref="E32:N32" si="11">E26+E29+E30-E31</f>
        <v>227213.76478000043</v>
      </c>
      <c r="F32" s="244">
        <f t="shared" si="11"/>
        <v>439001.9664000005</v>
      </c>
      <c r="G32" s="244">
        <f t="shared" si="11"/>
        <v>462078.96615999989</v>
      </c>
      <c r="H32" s="244">
        <f t="shared" si="11"/>
        <v>180677.3052399997</v>
      </c>
      <c r="I32" s="244">
        <f t="shared" si="11"/>
        <v>189333.20641000025</v>
      </c>
      <c r="J32" s="244">
        <f t="shared" si="11"/>
        <v>229759.48982999986</v>
      </c>
      <c r="K32" s="244">
        <f t="shared" si="11"/>
        <v>100794.69984000007</v>
      </c>
      <c r="L32" s="244">
        <f t="shared" si="11"/>
        <v>104776.76295999996</v>
      </c>
      <c r="M32" s="244">
        <f t="shared" si="11"/>
        <v>46088.778610000314</v>
      </c>
      <c r="N32" s="244">
        <f t="shared" si="11"/>
        <v>49485.733859999942</v>
      </c>
      <c r="O32" s="244">
        <f t="shared" si="2"/>
        <v>2683854.9200500003</v>
      </c>
    </row>
    <row r="33" spans="1:18" x14ac:dyDescent="0.2">
      <c r="A33" s="239">
        <v>419</v>
      </c>
      <c r="B33" s="229" t="s">
        <v>155</v>
      </c>
      <c r="C33" s="240">
        <f>'ER Diciembre 2025'!C19</f>
        <v>1388.6252299999999</v>
      </c>
      <c r="D33" s="240">
        <f>'ER Diciembre 2025'!D19</f>
        <v>0</v>
      </c>
      <c r="E33" s="240">
        <f>'ER Diciembre 2025'!E19</f>
        <v>13386.479660000001</v>
      </c>
      <c r="F33" s="240">
        <f>'ER Diciembre 2025'!F19</f>
        <v>19246.181539999998</v>
      </c>
      <c r="G33" s="240">
        <f>'ER Diciembre 2025'!H19</f>
        <v>3053.1031200000002</v>
      </c>
      <c r="H33" s="240">
        <f>'ER Diciembre 2025'!I19</f>
        <v>1197.24071</v>
      </c>
      <c r="I33" s="240">
        <f>'ER Diciembre 2025'!J19</f>
        <v>0</v>
      </c>
      <c r="J33" s="240">
        <f>'ER Diciembre 2025'!K19</f>
        <v>0</v>
      </c>
      <c r="K33" s="240">
        <f>'ER Diciembre 2025'!L19</f>
        <v>1089.1225900000002</v>
      </c>
      <c r="L33" s="240">
        <f>'ER Diciembre 2025'!M19</f>
        <v>660.78814999999997</v>
      </c>
      <c r="M33" s="240">
        <f>'ER Diciembre 2025'!N19</f>
        <v>6.4170400000000001</v>
      </c>
      <c r="N33" s="240">
        <f>'ER Diciembre 2025'!G19</f>
        <v>0</v>
      </c>
      <c r="O33" s="240">
        <f t="shared" si="2"/>
        <v>40027.958039999998</v>
      </c>
    </row>
    <row r="34" spans="1:18" x14ac:dyDescent="0.2">
      <c r="A34" s="239">
        <v>598</v>
      </c>
      <c r="B34" s="229" t="s">
        <v>156</v>
      </c>
      <c r="C34" s="241">
        <f>'ER Diciembre 2025'!C33</f>
        <v>0</v>
      </c>
      <c r="D34" s="241">
        <f>'ER Diciembre 2025'!D33</f>
        <v>1593.55801</v>
      </c>
      <c r="E34" s="241">
        <f>'ER Diciembre 2025'!E33</f>
        <v>1845.0128500000001</v>
      </c>
      <c r="F34" s="241">
        <f>'ER Diciembre 2025'!F33</f>
        <v>417.48631</v>
      </c>
      <c r="G34" s="241">
        <f>'ER Diciembre 2025'!H33</f>
        <v>2891.1762699999999</v>
      </c>
      <c r="H34" s="241">
        <f>'ER Diciembre 2025'!I33</f>
        <v>5295.3060400000004</v>
      </c>
      <c r="I34" s="241">
        <f>'ER Diciembre 2025'!J33</f>
        <v>0</v>
      </c>
      <c r="J34" s="241">
        <f>'ER Diciembre 2025'!K33</f>
        <v>0</v>
      </c>
      <c r="K34" s="241">
        <f>'ER Diciembre 2025'!L33</f>
        <v>576.51823000000002</v>
      </c>
      <c r="L34" s="241">
        <f>'ER Diciembre 2025'!M33</f>
        <v>4965.9205400000001</v>
      </c>
      <c r="M34" s="241">
        <f>'ER Diciembre 2025'!N33</f>
        <v>0.61046</v>
      </c>
      <c r="N34" s="241">
        <f>'ER Diciembre 2025'!G33</f>
        <v>115.37598</v>
      </c>
      <c r="O34" s="241">
        <f t="shared" si="2"/>
        <v>17700.964690000001</v>
      </c>
    </row>
    <row r="35" spans="1:18" x14ac:dyDescent="0.2">
      <c r="A35" s="242"/>
      <c r="B35" s="232" t="s">
        <v>157</v>
      </c>
      <c r="C35" s="244">
        <f>C32+C33-C34</f>
        <v>417327.65494999988</v>
      </c>
      <c r="D35" s="244">
        <f>D32+D33-D34</f>
        <v>237111.65822999974</v>
      </c>
      <c r="E35" s="244">
        <f t="shared" ref="E35:N35" si="12">E32+E33-E34</f>
        <v>238755.23159000045</v>
      </c>
      <c r="F35" s="244">
        <f t="shared" si="12"/>
        <v>457830.66163000051</v>
      </c>
      <c r="G35" s="244">
        <f t="shared" si="12"/>
        <v>462240.89300999988</v>
      </c>
      <c r="H35" s="244">
        <f t="shared" si="12"/>
        <v>176579.23990999971</v>
      </c>
      <c r="I35" s="244">
        <f t="shared" si="12"/>
        <v>189333.20641000025</v>
      </c>
      <c r="J35" s="244">
        <f t="shared" si="12"/>
        <v>229759.48982999986</v>
      </c>
      <c r="K35" s="244">
        <f t="shared" si="12"/>
        <v>101307.30420000007</v>
      </c>
      <c r="L35" s="244">
        <f t="shared" si="12"/>
        <v>100471.63056999995</v>
      </c>
      <c r="M35" s="244">
        <f t="shared" si="12"/>
        <v>46094.585190000311</v>
      </c>
      <c r="N35" s="244">
        <f t="shared" si="12"/>
        <v>49370.357879999945</v>
      </c>
      <c r="O35" s="244">
        <f t="shared" si="2"/>
        <v>2706181.9134000009</v>
      </c>
    </row>
    <row r="36" spans="1:18" x14ac:dyDescent="0.2">
      <c r="A36" s="239">
        <v>599</v>
      </c>
      <c r="B36" s="229" t="s">
        <v>158</v>
      </c>
      <c r="C36" s="241">
        <f>'ER Diciembre 2025'!C34</f>
        <v>88958.511270000003</v>
      </c>
      <c r="D36" s="241">
        <f>'ER Diciembre 2025'!D34</f>
        <v>48798.246429999999</v>
      </c>
      <c r="E36" s="241">
        <f>'ER Diciembre 2025'!E34</f>
        <v>67407.284360000005</v>
      </c>
      <c r="F36" s="241">
        <f>'ER Diciembre 2025'!F34</f>
        <v>104312.25964</v>
      </c>
      <c r="G36" s="241">
        <f>'ER Diciembre 2025'!H34</f>
        <v>113578.42103</v>
      </c>
      <c r="H36" s="241">
        <f>'ER Diciembre 2025'!I34</f>
        <v>44708.578179999997</v>
      </c>
      <c r="I36" s="241">
        <f>'ER Diciembre 2025'!J34</f>
        <v>34149.618289999999</v>
      </c>
      <c r="J36" s="241">
        <f>'ER Diciembre 2025'!K34</f>
        <v>46894.06134</v>
      </c>
      <c r="K36" s="241">
        <f>'ER Diciembre 2025'!L34</f>
        <v>23106.985760000003</v>
      </c>
      <c r="L36" s="241">
        <f>'ER Diciembre 2025'!M34</f>
        <v>16083.983179999999</v>
      </c>
      <c r="M36" s="241">
        <f>'ER Diciembre 2025'!N34</f>
        <v>28734.416519999999</v>
      </c>
      <c r="N36" s="241">
        <f>'ER Diciembre 2025'!G34</f>
        <v>9199.4118800000015</v>
      </c>
      <c r="O36" s="241">
        <f t="shared" si="2"/>
        <v>625931.77787999995</v>
      </c>
    </row>
    <row r="37" spans="1:18" x14ac:dyDescent="0.2">
      <c r="A37" s="242"/>
      <c r="B37" s="232" t="s">
        <v>159</v>
      </c>
      <c r="C37" s="244">
        <f>C35-C36</f>
        <v>328369.14367999986</v>
      </c>
      <c r="D37" s="244">
        <f>D35-D36</f>
        <v>188313.41179999974</v>
      </c>
      <c r="E37" s="244">
        <f t="shared" ref="E37:N37" si="13">E35-E36</f>
        <v>171347.94723000046</v>
      </c>
      <c r="F37" s="244">
        <f t="shared" si="13"/>
        <v>353518.40199000051</v>
      </c>
      <c r="G37" s="244">
        <f t="shared" si="13"/>
        <v>348662.47197999991</v>
      </c>
      <c r="H37" s="244">
        <f t="shared" si="13"/>
        <v>131870.6617299997</v>
      </c>
      <c r="I37" s="244">
        <f t="shared" si="13"/>
        <v>155183.58812000026</v>
      </c>
      <c r="J37" s="244">
        <f t="shared" si="13"/>
        <v>182865.42848999985</v>
      </c>
      <c r="K37" s="244">
        <f t="shared" si="13"/>
        <v>78200.318440000061</v>
      </c>
      <c r="L37" s="244">
        <f t="shared" si="13"/>
        <v>84387.647389999955</v>
      </c>
      <c r="M37" s="244">
        <f t="shared" si="13"/>
        <v>17360.168670000312</v>
      </c>
      <c r="N37" s="244">
        <f t="shared" si="13"/>
        <v>40170.945999999945</v>
      </c>
      <c r="O37" s="244">
        <f t="shared" si="2"/>
        <v>2080250.1355200009</v>
      </c>
      <c r="Q37" s="247"/>
      <c r="R37" s="247"/>
    </row>
    <row r="38" spans="1:18" hidden="1" x14ac:dyDescent="0.2">
      <c r="C38" s="248">
        <v>5529.469900000011</v>
      </c>
      <c r="D38" s="248">
        <v>-7579.5528900000063</v>
      </c>
      <c r="E38" s="248">
        <v>-9529.3087499999674</v>
      </c>
      <c r="F38" s="248">
        <v>16322.979859999963</v>
      </c>
      <c r="G38" s="248">
        <v>56932.405440000002</v>
      </c>
      <c r="H38" s="248">
        <v>11544.127409999986</v>
      </c>
      <c r="I38" s="248">
        <v>6867.153959999996</v>
      </c>
      <c r="J38" s="248">
        <v>11050.022700000001</v>
      </c>
      <c r="K38" s="248">
        <v>1841.2233400000041</v>
      </c>
      <c r="L38" s="248">
        <v>4567.4104599999955</v>
      </c>
      <c r="M38" s="248"/>
      <c r="N38" s="248">
        <v>2472.2251500000712</v>
      </c>
      <c r="O38" s="248">
        <f t="shared" si="2"/>
        <v>100018.15658000005</v>
      </c>
      <c r="R38" s="247"/>
    </row>
    <row r="39" spans="1:18" hidden="1" x14ac:dyDescent="0.2">
      <c r="C39" s="248">
        <f>C37-C38</f>
        <v>322839.67377999984</v>
      </c>
      <c r="D39" s="248">
        <f t="shared" ref="D39:N39" si="14">D37-D38</f>
        <v>195892.96468999976</v>
      </c>
      <c r="E39" s="248">
        <f t="shared" si="14"/>
        <v>180877.25598000042</v>
      </c>
      <c r="F39" s="248">
        <f t="shared" si="14"/>
        <v>337195.42213000054</v>
      </c>
      <c r="G39" s="248">
        <f t="shared" si="14"/>
        <v>291730.06653999991</v>
      </c>
      <c r="H39" s="248">
        <f t="shared" si="14"/>
        <v>120326.53431999972</v>
      </c>
      <c r="I39" s="248">
        <f t="shared" si="14"/>
        <v>148316.43416000027</v>
      </c>
      <c r="J39" s="248">
        <f t="shared" si="14"/>
        <v>171815.40578999984</v>
      </c>
      <c r="K39" s="248">
        <f t="shared" si="14"/>
        <v>76359.095100000064</v>
      </c>
      <c r="L39" s="248">
        <f t="shared" si="14"/>
        <v>79820.236929999955</v>
      </c>
      <c r="M39" s="248"/>
      <c r="N39" s="248">
        <f t="shared" si="14"/>
        <v>37698.720849999874</v>
      </c>
      <c r="O39" s="248"/>
      <c r="R39" s="247"/>
    </row>
    <row r="40" spans="1:18" x14ac:dyDescent="0.2">
      <c r="C40" s="263">
        <f>C37-'ER Diciembre 2025'!C37</f>
        <v>0</v>
      </c>
      <c r="D40" s="263">
        <f>D37-'ER Diciembre 2025'!D37</f>
        <v>0</v>
      </c>
      <c r="E40" s="263">
        <f>E37-'ER Diciembre 2025'!E37</f>
        <v>0</v>
      </c>
      <c r="F40" s="263">
        <f>F37-'ER Diciembre 2025'!F37</f>
        <v>1.6880221664905548E-9</v>
      </c>
      <c r="G40" s="263">
        <f>G37-'ER Diciembre 2025'!H37</f>
        <v>-1.5133991837501526E-9</v>
      </c>
      <c r="H40" s="263">
        <f>H37-'ER Diciembre 2025'!I37</f>
        <v>0</v>
      </c>
      <c r="I40" s="263">
        <f>I37-'ER Diciembre 2025'!J37</f>
        <v>2.6193447411060333E-10</v>
      </c>
      <c r="J40" s="263">
        <f>J37-'ER Diciembre 2025'!K37</f>
        <v>0</v>
      </c>
      <c r="K40" s="263">
        <f>K37-'ER Diciembre 2025'!L37</f>
        <v>-1.1641532182693481E-10</v>
      </c>
      <c r="L40" s="263">
        <f>L37-'ER Diciembre 2025'!M37</f>
        <v>0</v>
      </c>
      <c r="M40" s="263">
        <f>M37-'ER Diciembre 2025'!N37</f>
        <v>1.1896190699189901E-9</v>
      </c>
      <c r="N40" s="263">
        <f>N37-'ER Diciembre 2025'!G37</f>
        <v>-5.8207660913467407E-11</v>
      </c>
      <c r="O40" s="250">
        <f>O37-'ER Diciembre 2025'!B37</f>
        <v>0</v>
      </c>
      <c r="R40" s="247"/>
    </row>
    <row r="41" spans="1:18" hidden="1" x14ac:dyDescent="0.2">
      <c r="C41" s="263"/>
      <c r="D41" s="263"/>
      <c r="E41" s="263"/>
      <c r="F41" s="263"/>
      <c r="G41" s="263"/>
      <c r="H41" s="263"/>
      <c r="I41" s="263"/>
      <c r="J41" s="263"/>
      <c r="K41" s="263"/>
      <c r="L41" s="263"/>
      <c r="M41" s="263"/>
      <c r="N41" s="263"/>
      <c r="O41" s="250"/>
      <c r="R41" s="247"/>
    </row>
    <row r="42" spans="1:18" hidden="1" x14ac:dyDescent="0.2">
      <c r="C42" s="263"/>
      <c r="D42" s="263"/>
      <c r="E42" s="263"/>
      <c r="F42" s="263"/>
      <c r="G42" s="263"/>
      <c r="H42" s="263"/>
      <c r="I42" s="263"/>
      <c r="J42" s="263"/>
      <c r="K42" s="263"/>
      <c r="L42" s="263"/>
      <c r="M42" s="263"/>
      <c r="N42" s="263"/>
      <c r="O42" s="250"/>
      <c r="R42" s="247"/>
    </row>
    <row r="43" spans="1:18" x14ac:dyDescent="0.2">
      <c r="N43" s="250"/>
      <c r="R43" s="247"/>
    </row>
    <row r="44" spans="1:18" ht="25.5" x14ac:dyDescent="0.2">
      <c r="B44" s="251" t="s">
        <v>160</v>
      </c>
      <c r="C44" s="252" t="str">
        <f t="shared" ref="C44:O44" si="15">C4</f>
        <v>SEGUROS DAVIVIENDA</v>
      </c>
      <c r="D44" s="252" t="str">
        <f t="shared" si="15"/>
        <v>PALIC</v>
      </c>
      <c r="E44" s="252" t="str">
        <f t="shared" si="15"/>
        <v>MAPFRE SEGUROS</v>
      </c>
      <c r="F44" s="252" t="str">
        <f t="shared" si="15"/>
        <v>FICOHSA SEGUROS</v>
      </c>
      <c r="G44" s="252" t="str">
        <f t="shared" si="15"/>
        <v>SEGUROS ATLÁNTIDA</v>
      </c>
      <c r="H44" s="252" t="str">
        <f t="shared" si="15"/>
        <v>CREFISA</v>
      </c>
      <c r="I44" s="252" t="str">
        <f t="shared" si="15"/>
        <v>SEGUROS EQUIDAD</v>
      </c>
      <c r="J44" s="252" t="str">
        <f t="shared" si="15"/>
        <v>SEGUROS DEL PAÍS</v>
      </c>
      <c r="K44" s="252" t="str">
        <f t="shared" si="15"/>
        <v>SEGUROS LAFISE</v>
      </c>
      <c r="L44" s="252" t="str">
        <f t="shared" si="15"/>
        <v>ASEGURADORA RURAL</v>
      </c>
      <c r="M44" s="252" t="s">
        <v>126</v>
      </c>
      <c r="N44" s="252" t="str">
        <f t="shared" si="15"/>
        <v>SEGUROS CONTINENTAL</v>
      </c>
      <c r="O44" s="252" t="str">
        <f t="shared" si="15"/>
        <v>TOTAL</v>
      </c>
    </row>
    <row r="45" spans="1:18" x14ac:dyDescent="0.2">
      <c r="B45" s="253" t="s">
        <v>161</v>
      </c>
      <c r="C45" s="254">
        <f>C7</f>
        <v>1624843.28211</v>
      </c>
      <c r="D45" s="254">
        <f t="shared" ref="D45:O45" si="16">D7</f>
        <v>1450081.4752199999</v>
      </c>
      <c r="E45" s="254">
        <f t="shared" si="16"/>
        <v>3127486.4577299999</v>
      </c>
      <c r="F45" s="254">
        <f t="shared" si="16"/>
        <v>4850803.2757700002</v>
      </c>
      <c r="G45" s="254">
        <f t="shared" si="16"/>
        <v>2738075.8226299998</v>
      </c>
      <c r="H45" s="254">
        <f t="shared" si="16"/>
        <v>1663479.0588599998</v>
      </c>
      <c r="I45" s="254">
        <f t="shared" si="16"/>
        <v>597422.08492000005</v>
      </c>
      <c r="J45" s="254">
        <f t="shared" si="16"/>
        <v>1376055.82124</v>
      </c>
      <c r="K45" s="254">
        <f t="shared" si="16"/>
        <v>514398.45189000008</v>
      </c>
      <c r="L45" s="254">
        <f t="shared" si="16"/>
        <v>544687.99659</v>
      </c>
      <c r="M45" s="254">
        <f>M7</f>
        <v>1080273.2791200001</v>
      </c>
      <c r="N45" s="254">
        <f>N7</f>
        <v>614128.31283999991</v>
      </c>
      <c r="O45" s="254">
        <f t="shared" si="16"/>
        <v>20181735.318920001</v>
      </c>
    </row>
    <row r="46" spans="1:18" x14ac:dyDescent="0.2">
      <c r="B46" s="253" t="s">
        <v>162</v>
      </c>
      <c r="C46" s="254">
        <f t="shared" ref="C46:O46" si="17">C9</f>
        <v>1105325.5467400001</v>
      </c>
      <c r="D46" s="254">
        <f t="shared" si="17"/>
        <v>1094012.1302899998</v>
      </c>
      <c r="E46" s="254">
        <f t="shared" si="17"/>
        <v>903820.23976000026</v>
      </c>
      <c r="F46" s="254">
        <f t="shared" si="17"/>
        <v>1377458.9492600001</v>
      </c>
      <c r="G46" s="254">
        <f t="shared" si="17"/>
        <v>1585310.8099399998</v>
      </c>
      <c r="H46" s="254">
        <f t="shared" si="17"/>
        <v>734984.24216999975</v>
      </c>
      <c r="I46" s="254">
        <f t="shared" si="17"/>
        <v>581195.67441000009</v>
      </c>
      <c r="J46" s="254">
        <f t="shared" si="17"/>
        <v>571655.84803999995</v>
      </c>
      <c r="K46" s="254">
        <f t="shared" si="17"/>
        <v>265172.04595000006</v>
      </c>
      <c r="L46" s="254">
        <f t="shared" si="17"/>
        <v>305832.87118999998</v>
      </c>
      <c r="M46" s="254">
        <f>M9</f>
        <v>117759.77546000015</v>
      </c>
      <c r="N46" s="254">
        <f>N9</f>
        <v>423293.75796999992</v>
      </c>
      <c r="O46" s="254">
        <f t="shared" si="17"/>
        <v>9065821.8911799993</v>
      </c>
    </row>
    <row r="47" spans="1:18" x14ac:dyDescent="0.2">
      <c r="B47" s="253" t="s">
        <v>163</v>
      </c>
      <c r="C47" s="254">
        <f t="shared" ref="C47:O47" si="18">C12</f>
        <v>1059987.28856</v>
      </c>
      <c r="D47" s="254">
        <f t="shared" si="18"/>
        <v>1061210.1881299997</v>
      </c>
      <c r="E47" s="254">
        <f t="shared" si="18"/>
        <v>926958.53668000025</v>
      </c>
      <c r="F47" s="254">
        <f t="shared" si="18"/>
        <v>1274019.0405800003</v>
      </c>
      <c r="G47" s="254">
        <f t="shared" si="18"/>
        <v>1657042.5547199999</v>
      </c>
      <c r="H47" s="254">
        <f t="shared" si="18"/>
        <v>691268.83914999967</v>
      </c>
      <c r="I47" s="254">
        <f t="shared" si="18"/>
        <v>597132.06027000013</v>
      </c>
      <c r="J47" s="254">
        <f t="shared" si="18"/>
        <v>557396.61813999992</v>
      </c>
      <c r="K47" s="254">
        <f t="shared" si="18"/>
        <v>225650.67294000008</v>
      </c>
      <c r="L47" s="254">
        <f t="shared" si="18"/>
        <v>291869.36910999997</v>
      </c>
      <c r="M47" s="254">
        <f>M12</f>
        <v>78678.250070000155</v>
      </c>
      <c r="N47" s="254">
        <f>N12</f>
        <v>391338.14357999992</v>
      </c>
      <c r="O47" s="254">
        <f t="shared" si="18"/>
        <v>8812551.5619300008</v>
      </c>
    </row>
    <row r="48" spans="1:18" x14ac:dyDescent="0.2">
      <c r="B48" s="253" t="s">
        <v>164</v>
      </c>
      <c r="C48" s="254">
        <f t="shared" ref="C48:O48" si="19">C20</f>
        <v>409360.34401</v>
      </c>
      <c r="D48" s="254">
        <f t="shared" si="19"/>
        <v>379616.09785999998</v>
      </c>
      <c r="E48" s="254">
        <f t="shared" si="19"/>
        <v>410999.50017000001</v>
      </c>
      <c r="F48" s="254">
        <f t="shared" si="19"/>
        <v>489333.35874999996</v>
      </c>
      <c r="G48" s="254">
        <f t="shared" si="19"/>
        <v>816479.20996999997</v>
      </c>
      <c r="H48" s="254">
        <f t="shared" si="19"/>
        <v>327091.40643000003</v>
      </c>
      <c r="I48" s="254">
        <f t="shared" si="19"/>
        <v>287727.78030999994</v>
      </c>
      <c r="J48" s="254">
        <f t="shared" si="19"/>
        <v>278581.03258999996</v>
      </c>
      <c r="K48" s="254">
        <f t="shared" si="19"/>
        <v>92434.908649999968</v>
      </c>
      <c r="L48" s="254">
        <f t="shared" si="19"/>
        <v>128114.47549000001</v>
      </c>
      <c r="M48" s="254">
        <f>M20</f>
        <v>23103.16868999986</v>
      </c>
      <c r="N48" s="254">
        <f>N20</f>
        <v>173583.56573</v>
      </c>
      <c r="O48" s="254">
        <f t="shared" si="19"/>
        <v>3816424.8486499996</v>
      </c>
    </row>
    <row r="49" spans="2:15" x14ac:dyDescent="0.2">
      <c r="B49" s="253" t="s">
        <v>165</v>
      </c>
      <c r="C49" s="254">
        <f t="shared" ref="C49:O49" si="20">C14-C13</f>
        <v>155080.28294000006</v>
      </c>
      <c r="D49" s="254">
        <f t="shared" si="20"/>
        <v>304967.75699999998</v>
      </c>
      <c r="E49" s="254">
        <f t="shared" si="20"/>
        <v>-77120.404530000058</v>
      </c>
      <c r="F49" s="254">
        <f t="shared" si="20"/>
        <v>-171356.73194000003</v>
      </c>
      <c r="G49" s="254">
        <f t="shared" si="20"/>
        <v>-162775.87868999998</v>
      </c>
      <c r="H49" s="254">
        <f t="shared" si="20"/>
        <v>-4037.9105200000049</v>
      </c>
      <c r="I49" s="254">
        <f t="shared" si="20"/>
        <v>9091.1898199999996</v>
      </c>
      <c r="J49" s="254">
        <f t="shared" si="20"/>
        <v>-53238.942749999987</v>
      </c>
      <c r="K49" s="254">
        <f t="shared" si="20"/>
        <v>-23578.466959999991</v>
      </c>
      <c r="L49" s="254">
        <f t="shared" si="20"/>
        <v>-20626.6849</v>
      </c>
      <c r="M49" s="254">
        <f>M14-M13</f>
        <v>-55941.132069999992</v>
      </c>
      <c r="N49" s="254">
        <f>N14-N13</f>
        <v>59935.137549999999</v>
      </c>
      <c r="O49" s="254">
        <f t="shared" si="20"/>
        <v>-39601.785050000995</v>
      </c>
    </row>
    <row r="50" spans="2:15" x14ac:dyDescent="0.2">
      <c r="B50" s="253" t="s">
        <v>166</v>
      </c>
      <c r="C50" s="254">
        <f t="shared" ref="C50:O50" si="21">C25</f>
        <v>186276.25878999999</v>
      </c>
      <c r="D50" s="254">
        <f t="shared" si="21"/>
        <v>208818.55525</v>
      </c>
      <c r="E50" s="254">
        <f t="shared" si="21"/>
        <v>356846.05893</v>
      </c>
      <c r="F50" s="254">
        <f t="shared" si="21"/>
        <v>564457.84205999994</v>
      </c>
      <c r="G50" s="254">
        <f t="shared" si="21"/>
        <v>511998.50498999999</v>
      </c>
      <c r="H50" s="254">
        <f t="shared" si="21"/>
        <v>164404.84941999998</v>
      </c>
      <c r="I50" s="254">
        <f t="shared" si="21"/>
        <v>105535.48714</v>
      </c>
      <c r="J50" s="254">
        <f t="shared" si="21"/>
        <v>128491.19231</v>
      </c>
      <c r="K50" s="254">
        <f t="shared" si="21"/>
        <v>101267.87027</v>
      </c>
      <c r="L50" s="254">
        <f t="shared" si="21"/>
        <v>92608.545620000004</v>
      </c>
      <c r="M50" s="254">
        <f>M25</f>
        <v>78491.181079999995</v>
      </c>
      <c r="N50" s="254">
        <f>N25</f>
        <v>135640.72224</v>
      </c>
      <c r="O50" s="254">
        <f t="shared" si="21"/>
        <v>2634837.0680999993</v>
      </c>
    </row>
    <row r="51" spans="2:15" x14ac:dyDescent="0.2">
      <c r="B51" s="253" t="s">
        <v>167</v>
      </c>
      <c r="C51" s="254">
        <f t="shared" ref="C51:O51" si="22">C23-C22</f>
        <v>93902.271500000003</v>
      </c>
      <c r="D51" s="254">
        <f t="shared" si="22"/>
        <v>98539.580790000007</v>
      </c>
      <c r="E51" s="254">
        <f t="shared" si="22"/>
        <v>129857.07008999999</v>
      </c>
      <c r="F51" s="254">
        <f t="shared" si="22"/>
        <v>226597.12080999993</v>
      </c>
      <c r="G51" s="254">
        <f t="shared" si="22"/>
        <v>272100.96000000002</v>
      </c>
      <c r="H51" s="254">
        <f t="shared" si="22"/>
        <v>113951.27469999999</v>
      </c>
      <c r="I51" s="254">
        <f t="shared" si="22"/>
        <v>123851.76213</v>
      </c>
      <c r="J51" s="254">
        <f t="shared" si="22"/>
        <v>91993.326220000003</v>
      </c>
      <c r="K51" s="254">
        <f t="shared" si="22"/>
        <v>11762.389019999995</v>
      </c>
      <c r="L51" s="254">
        <f t="shared" si="22"/>
        <v>69485.062719999987</v>
      </c>
      <c r="M51" s="254">
        <f>M23-M22</f>
        <v>22003.676880000003</v>
      </c>
      <c r="N51" s="254">
        <f>N23-N22</f>
        <v>56274.191159999988</v>
      </c>
      <c r="O51" s="254">
        <f t="shared" si="22"/>
        <v>1310318.6860199999</v>
      </c>
    </row>
    <row r="52" spans="2:15" x14ac:dyDescent="0.2">
      <c r="B52" s="253" t="s">
        <v>168</v>
      </c>
      <c r="C52" s="254">
        <f t="shared" ref="C52:O52" si="23">C24</f>
        <v>401644.39010999992</v>
      </c>
      <c r="D52" s="254">
        <f t="shared" si="23"/>
        <v>278086.75247999973</v>
      </c>
      <c r="E52" s="254">
        <f t="shared" si="23"/>
        <v>463222.37095000042</v>
      </c>
      <c r="F52" s="254">
        <f t="shared" si="23"/>
        <v>729445.29296000046</v>
      </c>
      <c r="G52" s="254">
        <f t="shared" si="23"/>
        <v>731238.26343999989</v>
      </c>
      <c r="H52" s="254">
        <f t="shared" si="23"/>
        <v>254264.06853999966</v>
      </c>
      <c r="I52" s="254">
        <f t="shared" si="23"/>
        <v>176461.32801000023</v>
      </c>
      <c r="J52" s="254">
        <f t="shared" si="23"/>
        <v>240061.2020799999</v>
      </c>
      <c r="K52" s="254">
        <f t="shared" si="23"/>
        <v>145031.84223000007</v>
      </c>
      <c r="L52" s="254">
        <f t="shared" si="23"/>
        <v>114896.51579999996</v>
      </c>
      <c r="M52" s="254">
        <f>M24</f>
        <v>89512.536570000302</v>
      </c>
      <c r="N52" s="254">
        <f>N24</f>
        <v>101545.24913999994</v>
      </c>
      <c r="O52" s="254">
        <f t="shared" si="23"/>
        <v>3725409.8123100009</v>
      </c>
    </row>
    <row r="53" spans="2:15" x14ac:dyDescent="0.2">
      <c r="B53" s="253" t="s">
        <v>169</v>
      </c>
      <c r="C53" s="254">
        <f t="shared" ref="C53:O53" si="24">C26</f>
        <v>215368.13131999993</v>
      </c>
      <c r="D53" s="254">
        <f t="shared" si="24"/>
        <v>69268.197229999729</v>
      </c>
      <c r="E53" s="254">
        <f t="shared" si="24"/>
        <v>106376.31202000042</v>
      </c>
      <c r="F53" s="254">
        <f t="shared" si="24"/>
        <v>164987.45090000052</v>
      </c>
      <c r="G53" s="254">
        <f t="shared" si="24"/>
        <v>219239.75844999991</v>
      </c>
      <c r="H53" s="254">
        <f t="shared" si="24"/>
        <v>89859.219119999674</v>
      </c>
      <c r="I53" s="254">
        <f t="shared" si="24"/>
        <v>70925.840870000233</v>
      </c>
      <c r="J53" s="254">
        <f t="shared" si="24"/>
        <v>111570.0097699999</v>
      </c>
      <c r="K53" s="254">
        <f t="shared" si="24"/>
        <v>43763.971960000068</v>
      </c>
      <c r="L53" s="254">
        <f t="shared" si="24"/>
        <v>22287.97017999996</v>
      </c>
      <c r="M53" s="254">
        <f>M26</f>
        <v>11021.355490000307</v>
      </c>
      <c r="N53" s="254">
        <f>N26</f>
        <v>-34095.473100000061</v>
      </c>
      <c r="O53" s="254">
        <f t="shared" si="24"/>
        <v>1090572.7442100004</v>
      </c>
    </row>
    <row r="54" spans="2:15" x14ac:dyDescent="0.2">
      <c r="B54" s="255" t="s">
        <v>170</v>
      </c>
      <c r="C54" s="256">
        <f>C45/$O$45</f>
        <v>8.0510583279067169E-2</v>
      </c>
      <c r="D54" s="256">
        <f t="shared" ref="D54:O54" si="25">D45/$O$45</f>
        <v>7.1851178915252917E-2</v>
      </c>
      <c r="E54" s="256">
        <f t="shared" si="25"/>
        <v>0.15496618146597332</v>
      </c>
      <c r="F54" s="256">
        <f t="shared" si="25"/>
        <v>0.2403561041266091</v>
      </c>
      <c r="G54" s="256">
        <f t="shared" si="25"/>
        <v>0.13567098068435696</v>
      </c>
      <c r="H54" s="256">
        <f t="shared" si="25"/>
        <v>8.2424976473679107E-2</v>
      </c>
      <c r="I54" s="256">
        <f t="shared" si="25"/>
        <v>2.9602116739680356E-2</v>
      </c>
      <c r="J54" s="256">
        <f t="shared" si="25"/>
        <v>6.8183226045481493E-2</v>
      </c>
      <c r="K54" s="256">
        <f t="shared" si="25"/>
        <v>2.5488316230555315E-2</v>
      </c>
      <c r="L54" s="256">
        <f t="shared" si="25"/>
        <v>2.6989155688676839E-2</v>
      </c>
      <c r="M54" s="256">
        <f>M45/$O$45</f>
        <v>5.3527274144124962E-2</v>
      </c>
      <c r="N54" s="256">
        <f>N45/$O$45</f>
        <v>3.0429906206542411E-2</v>
      </c>
      <c r="O54" s="256">
        <f t="shared" si="25"/>
        <v>1</v>
      </c>
    </row>
    <row r="55" spans="2:15" x14ac:dyDescent="0.2">
      <c r="B55" s="255" t="s">
        <v>171</v>
      </c>
      <c r="C55" s="257">
        <f>SUM(C7,C11,C13,C16:C17,C22,C27,C30,C33)</f>
        <v>2388493.57002</v>
      </c>
      <c r="D55" s="257">
        <f t="shared" ref="D55:O55" si="26">SUM(D7,D11,D13,D16:D17,D22,D27,D30,D33)</f>
        <v>1937619.8247899998</v>
      </c>
      <c r="E55" s="257">
        <f t="shared" si="26"/>
        <v>4771215.153669999</v>
      </c>
      <c r="F55" s="257">
        <f t="shared" si="26"/>
        <v>7376184.1694200011</v>
      </c>
      <c r="G55" s="257">
        <f t="shared" si="26"/>
        <v>4124599.7396900002</v>
      </c>
      <c r="H55" s="257">
        <f t="shared" si="26"/>
        <v>2508715.92833</v>
      </c>
      <c r="I55" s="257">
        <f t="shared" si="26"/>
        <v>930497.99129000003</v>
      </c>
      <c r="J55" s="257">
        <f t="shared" si="26"/>
        <v>2185680.8666400001</v>
      </c>
      <c r="K55" s="257">
        <f t="shared" si="26"/>
        <v>819019.88502000005</v>
      </c>
      <c r="L55" s="257">
        <f t="shared" si="26"/>
        <v>862433.3637499999</v>
      </c>
      <c r="M55" s="257">
        <f>SUM(M7,M11,M13,M16:M17,M22,M27,M30,M33)</f>
        <v>2756610.525570001</v>
      </c>
      <c r="N55" s="257">
        <f>SUM(N7,N11,N13,N16:N17,N22,N27,N30,N33)</f>
        <v>911225.81776999997</v>
      </c>
      <c r="O55" s="257">
        <f t="shared" si="26"/>
        <v>31572296.835960001</v>
      </c>
    </row>
    <row r="56" spans="2:15" x14ac:dyDescent="0.2">
      <c r="B56" s="255" t="s">
        <v>172</v>
      </c>
      <c r="C56" s="256">
        <f t="shared" ref="C56:O56" si="27">C9/C7</f>
        <v>0.68026594251270744</v>
      </c>
      <c r="D56" s="256">
        <f t="shared" si="27"/>
        <v>0.75444873200936602</v>
      </c>
      <c r="E56" s="256">
        <f t="shared" si="27"/>
        <v>0.28899253505193861</v>
      </c>
      <c r="F56" s="256">
        <f t="shared" si="27"/>
        <v>0.28396512308393851</v>
      </c>
      <c r="G56" s="256">
        <f t="shared" si="27"/>
        <v>0.57898718393315485</v>
      </c>
      <c r="H56" s="256">
        <f t="shared" si="27"/>
        <v>0.4418355844369285</v>
      </c>
      <c r="I56" s="256">
        <f t="shared" si="27"/>
        <v>0.97283928579209988</v>
      </c>
      <c r="J56" s="256">
        <f t="shared" si="27"/>
        <v>0.41543071088850586</v>
      </c>
      <c r="K56" s="256">
        <f t="shared" si="27"/>
        <v>0.51549930793085852</v>
      </c>
      <c r="L56" s="256">
        <f t="shared" si="27"/>
        <v>0.56148267100552218</v>
      </c>
      <c r="M56" s="256">
        <f>M9/M7</f>
        <v>0.10900924584187464</v>
      </c>
      <c r="N56" s="256">
        <f>N9/N7</f>
        <v>0.68925947415207589</v>
      </c>
      <c r="O56" s="256">
        <f t="shared" si="27"/>
        <v>0.44920923537635338</v>
      </c>
    </row>
    <row r="57" spans="2:15" x14ac:dyDescent="0.2">
      <c r="B57" s="255" t="s">
        <v>173</v>
      </c>
      <c r="C57" s="256">
        <f>C12/C9</f>
        <v>0.95898198651635358</v>
      </c>
      <c r="D57" s="256">
        <f t="shared" ref="D57:O57" si="28">D12/D9</f>
        <v>0.97001683870607081</v>
      </c>
      <c r="E57" s="256">
        <f t="shared" si="28"/>
        <v>1.0256005518598965</v>
      </c>
      <c r="F57" s="256">
        <f t="shared" si="28"/>
        <v>0.9249052694197748</v>
      </c>
      <c r="G57" s="256">
        <f t="shared" si="28"/>
        <v>1.0452477484731937</v>
      </c>
      <c r="H57" s="256">
        <f t="shared" si="28"/>
        <v>0.94052198603478521</v>
      </c>
      <c r="I57" s="256">
        <f t="shared" si="28"/>
        <v>1.0274200008046823</v>
      </c>
      <c r="J57" s="256">
        <f t="shared" si="28"/>
        <v>0.97505626864679207</v>
      </c>
      <c r="K57" s="256">
        <f t="shared" si="28"/>
        <v>0.85095950491911199</v>
      </c>
      <c r="L57" s="256">
        <f t="shared" si="28"/>
        <v>0.95434270349793393</v>
      </c>
      <c r="M57" s="256">
        <f>M12/M9</f>
        <v>0.6681250007709556</v>
      </c>
      <c r="N57" s="256">
        <f>N12/N9</f>
        <v>0.92450723926747624</v>
      </c>
      <c r="O57" s="256">
        <f t="shared" si="28"/>
        <v>0.97206316952946081</v>
      </c>
    </row>
    <row r="58" spans="2:15" x14ac:dyDescent="0.2">
      <c r="B58" s="255" t="s">
        <v>174</v>
      </c>
      <c r="C58" s="256">
        <f>C14/C7</f>
        <v>0.18503289554151994</v>
      </c>
      <c r="D58" s="256">
        <f t="shared" ref="D58:O58" si="29">D14/D7</f>
        <v>0.22165157030313531</v>
      </c>
      <c r="E58" s="256">
        <f t="shared" si="29"/>
        <v>0.19433224476729924</v>
      </c>
      <c r="F58" s="256">
        <f t="shared" si="29"/>
        <v>9.4872401921297922E-2</v>
      </c>
      <c r="G58" s="256">
        <f t="shared" si="29"/>
        <v>7.8576477565673791E-2</v>
      </c>
      <c r="H58" s="256">
        <f t="shared" si="29"/>
        <v>0.14175614234759409</v>
      </c>
      <c r="I58" s="256">
        <f t="shared" si="29"/>
        <v>1.6495681158689761E-2</v>
      </c>
      <c r="J58" s="256">
        <f t="shared" si="29"/>
        <v>0.10066813664228499</v>
      </c>
      <c r="K58" s="256">
        <f t="shared" si="29"/>
        <v>0.16433067607302279</v>
      </c>
      <c r="L58" s="256">
        <f t="shared" si="29"/>
        <v>7.4527881767433968E-2</v>
      </c>
      <c r="M58" s="256">
        <f>M14/M7</f>
        <v>0.12475651382378515</v>
      </c>
      <c r="N58" s="256">
        <f>N14/N7</f>
        <v>0.11618873546152594</v>
      </c>
      <c r="O58" s="256">
        <f t="shared" si="29"/>
        <v>0.12985154494783252</v>
      </c>
    </row>
    <row r="59" spans="2:15" x14ac:dyDescent="0.2">
      <c r="B59" s="255" t="s">
        <v>175</v>
      </c>
      <c r="C59" s="256">
        <f t="shared" ref="C59:O59" si="30">C13/C8</f>
        <v>0.28020058688915744</v>
      </c>
      <c r="D59" s="256">
        <f t="shared" si="30"/>
        <v>4.618504593040143E-2</v>
      </c>
      <c r="E59" s="256">
        <f t="shared" si="30"/>
        <v>0.30800120216119603</v>
      </c>
      <c r="F59" s="256">
        <f t="shared" si="30"/>
        <v>0.18183169608024224</v>
      </c>
      <c r="G59" s="256">
        <f t="shared" si="30"/>
        <v>0.32784151841849041</v>
      </c>
      <c r="H59" s="256">
        <f t="shared" si="30"/>
        <v>0.25831731149025722</v>
      </c>
      <c r="I59" s="256">
        <f t="shared" si="30"/>
        <v>4.7064901355068703E-2</v>
      </c>
      <c r="J59" s="256">
        <f t="shared" si="30"/>
        <v>0.23839374015284961</v>
      </c>
      <c r="K59" s="256">
        <f t="shared" si="30"/>
        <v>0.43378193382938285</v>
      </c>
      <c r="L59" s="256">
        <f t="shared" si="30"/>
        <v>0.25631071306288994</v>
      </c>
      <c r="M59" s="256">
        <f>M13/M8</f>
        <v>0.19813982829831295</v>
      </c>
      <c r="N59" s="256">
        <f>N13/N8</f>
        <v>5.984060139307202E-2</v>
      </c>
      <c r="O59" s="256">
        <f t="shared" si="30"/>
        <v>0.23931738162887603</v>
      </c>
    </row>
    <row r="60" spans="2:15" x14ac:dyDescent="0.2">
      <c r="B60" s="258" t="s">
        <v>176</v>
      </c>
      <c r="C60" s="259">
        <f>C48/C47</f>
        <v>0.38619363498794296</v>
      </c>
      <c r="D60" s="259">
        <f t="shared" ref="D60:L60" si="31">D48/D47</f>
        <v>0.3577199899757243</v>
      </c>
      <c r="E60" s="259">
        <f t="shared" si="31"/>
        <v>0.44338498854764102</v>
      </c>
      <c r="F60" s="259">
        <f t="shared" si="31"/>
        <v>0.38408637796121931</v>
      </c>
      <c r="G60" s="259">
        <f t="shared" si="31"/>
        <v>0.49273279533123709</v>
      </c>
      <c r="H60" s="259">
        <f t="shared" si="31"/>
        <v>0.47317539559890948</v>
      </c>
      <c r="I60" s="259">
        <f t="shared" si="31"/>
        <v>0.48184949268994287</v>
      </c>
      <c r="J60" s="259">
        <f t="shared" si="31"/>
        <v>0.49978959958459857</v>
      </c>
      <c r="K60" s="259">
        <f t="shared" si="31"/>
        <v>0.40963719472078935</v>
      </c>
      <c r="L60" s="259">
        <f t="shared" si="31"/>
        <v>0.4389445726376176</v>
      </c>
      <c r="M60" s="259">
        <f>M48/M47</f>
        <v>0.29364111008372629</v>
      </c>
      <c r="N60" s="259">
        <f>N48/N47</f>
        <v>0.44356413648319692</v>
      </c>
      <c r="O60" s="259">
        <f>O48/O47</f>
        <v>0.43306695249726063</v>
      </c>
    </row>
    <row r="61" spans="2:15" x14ac:dyDescent="0.2">
      <c r="B61" s="258" t="s">
        <v>177</v>
      </c>
      <c r="C61" s="259">
        <f>(C23-C22+C14-C13)/C47</f>
        <v>0.23489201910925234</v>
      </c>
      <c r="D61" s="259">
        <f t="shared" ref="D61:O61" si="32">(D23-D22+D14-D13)/D47</f>
        <v>0.38023319254127796</v>
      </c>
      <c r="E61" s="259">
        <f t="shared" si="32"/>
        <v>5.6892151561473078E-2</v>
      </c>
      <c r="F61" s="259">
        <f t="shared" si="32"/>
        <v>4.3359154855999317E-2</v>
      </c>
      <c r="G61" s="259">
        <f t="shared" si="32"/>
        <v>6.5976025177261269E-2</v>
      </c>
      <c r="H61" s="259">
        <f t="shared" si="32"/>
        <v>0.1590023417157817</v>
      </c>
      <c r="I61" s="259">
        <f t="shared" si="32"/>
        <v>0.2226357631675116</v>
      </c>
      <c r="J61" s="259">
        <f t="shared" si="32"/>
        <v>6.9527482242933453E-2</v>
      </c>
      <c r="K61" s="259">
        <f>(K23-K22+K14-K13)/K47</f>
        <v>-5.236447020542169E-2</v>
      </c>
      <c r="L61" s="259">
        <f t="shared" si="32"/>
        <v>0.16739809994102603</v>
      </c>
      <c r="M61" s="259">
        <f>(M23-M22+M14-M13)/M47</f>
        <v>-0.43134481460639723</v>
      </c>
      <c r="N61" s="259">
        <f>(N23-N22+N14-N13)/N47</f>
        <v>0.29695374860959267</v>
      </c>
      <c r="O61" s="259">
        <f t="shared" si="32"/>
        <v>0.14419398196311994</v>
      </c>
    </row>
    <row r="62" spans="2:15" x14ac:dyDescent="0.2">
      <c r="B62" s="258" t="s">
        <v>178</v>
      </c>
      <c r="C62" s="259">
        <f>C50/C47</f>
        <v>0.17573442700719324</v>
      </c>
      <c r="D62" s="259">
        <f t="shared" ref="D62:O62" si="33">D50/D47</f>
        <v>0.19677398274696875</v>
      </c>
      <c r="E62" s="259">
        <f t="shared" si="33"/>
        <v>0.38496442376816742</v>
      </c>
      <c r="F62" s="259">
        <f t="shared" si="33"/>
        <v>0.443052909007568</v>
      </c>
      <c r="G62" s="259">
        <f t="shared" si="33"/>
        <v>0.30898331701355453</v>
      </c>
      <c r="H62" s="259">
        <f t="shared" si="33"/>
        <v>0.23783055174620055</v>
      </c>
      <c r="I62" s="259">
        <f t="shared" si="33"/>
        <v>0.1767372649398207</v>
      </c>
      <c r="J62" s="259">
        <f t="shared" si="33"/>
        <v>0.2305202222768549</v>
      </c>
      <c r="K62" s="259">
        <f t="shared" si="33"/>
        <v>0.44878160100558112</v>
      </c>
      <c r="L62" s="259">
        <f t="shared" si="33"/>
        <v>0.31729450028412409</v>
      </c>
      <c r="M62" s="259">
        <f>M50/M47</f>
        <v>0.99762235446475078</v>
      </c>
      <c r="N62" s="259">
        <f>N50/N47</f>
        <v>0.34660746585841418</v>
      </c>
      <c r="O62" s="259">
        <f t="shared" si="33"/>
        <v>0.29898685410051146</v>
      </c>
    </row>
    <row r="63" spans="2:15" x14ac:dyDescent="0.2">
      <c r="B63" s="258" t="s">
        <v>179</v>
      </c>
      <c r="C63" s="259">
        <f>SUM(C60:C62)</f>
        <v>0.79682008110438851</v>
      </c>
      <c r="D63" s="259">
        <f t="shared" ref="D63:O63" si="34">SUM(D60:D62)</f>
        <v>0.93472716526397104</v>
      </c>
      <c r="E63" s="259">
        <f t="shared" si="34"/>
        <v>0.88524156387728148</v>
      </c>
      <c r="F63" s="259">
        <f t="shared" si="34"/>
        <v>0.87049844182478664</v>
      </c>
      <c r="G63" s="259">
        <f t="shared" si="34"/>
        <v>0.86769213752205288</v>
      </c>
      <c r="H63" s="259">
        <f>SUM(H60:H62)</f>
        <v>0.87000828906089178</v>
      </c>
      <c r="I63" s="259">
        <f t="shared" si="34"/>
        <v>0.88122252079727514</v>
      </c>
      <c r="J63" s="259">
        <f t="shared" si="34"/>
        <v>0.79983730410438691</v>
      </c>
      <c r="K63" s="259">
        <f t="shared" si="34"/>
        <v>0.8060543255209488</v>
      </c>
      <c r="L63" s="259">
        <f t="shared" si="34"/>
        <v>0.9236371728627677</v>
      </c>
      <c r="M63" s="259">
        <f>SUM(M60:M62)</f>
        <v>0.85991864994207989</v>
      </c>
      <c r="N63" s="259">
        <f>SUM(N60:N62)</f>
        <v>1.0871253509512038</v>
      </c>
      <c r="O63" s="259">
        <f t="shared" si="34"/>
        <v>0.87624778856089192</v>
      </c>
    </row>
    <row r="65" spans="3:15" x14ac:dyDescent="0.2">
      <c r="N65" s="249"/>
    </row>
    <row r="67" spans="3:15" x14ac:dyDescent="0.2">
      <c r="N67" s="249"/>
    </row>
    <row r="68" spans="3:15" s="262" customFormat="1" x14ac:dyDescent="0.2">
      <c r="C68" s="260"/>
      <c r="D68" s="260"/>
      <c r="E68" s="260"/>
      <c r="F68" s="260"/>
      <c r="G68" s="260"/>
      <c r="H68" s="260"/>
      <c r="I68" s="260"/>
      <c r="J68" s="260"/>
      <c r="K68" s="260"/>
      <c r="L68" s="260"/>
      <c r="M68" s="260"/>
      <c r="N68" s="261"/>
    </row>
    <row r="69" spans="3:15" x14ac:dyDescent="0.2">
      <c r="C69" s="231"/>
      <c r="N69" s="231"/>
    </row>
    <row r="70" spans="3:15" x14ac:dyDescent="0.2">
      <c r="N70" s="249"/>
    </row>
    <row r="72" spans="3:15" x14ac:dyDescent="0.2">
      <c r="C72" s="231"/>
      <c r="D72" s="231"/>
      <c r="E72" s="231"/>
      <c r="F72" s="231"/>
      <c r="G72" s="231"/>
      <c r="H72" s="231"/>
      <c r="I72" s="231"/>
      <c r="J72" s="231"/>
      <c r="K72" s="231"/>
      <c r="L72" s="231"/>
      <c r="M72" s="231"/>
      <c r="N72" s="250"/>
      <c r="O72" s="250"/>
    </row>
    <row r="73" spans="3:15" x14ac:dyDescent="0.2">
      <c r="N73" s="249"/>
      <c r="O73" s="250"/>
    </row>
  </sheetData>
  <conditionalFormatting sqref="C63:O63">
    <cfRule type="cellIs" dxfId="0" priority="2" operator="greaterThan">
      <formula>1</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tabColor rgb="FFFFC000"/>
  </sheetPr>
  <dimension ref="A3:BE80"/>
  <sheetViews>
    <sheetView zoomScale="107" zoomScaleNormal="107" workbookViewId="0">
      <pane xSplit="2" ySplit="11" topLeftCell="G12" activePane="bottomRight" state="frozen"/>
      <selection activeCell="D4" sqref="D4"/>
      <selection pane="topRight" activeCell="D4" sqref="D4"/>
      <selection pane="bottomLeft" activeCell="D4" sqref="D4"/>
      <selection pane="bottomRight" activeCell="F8" sqref="F8"/>
    </sheetView>
  </sheetViews>
  <sheetFormatPr baseColWidth="10" defaultColWidth="20.7109375" defaultRowHeight="15" x14ac:dyDescent="0.25"/>
  <cols>
    <col min="1" max="1" width="35.5703125" style="48" customWidth="1"/>
    <col min="2" max="2" width="23.85546875" style="48" customWidth="1"/>
    <col min="3" max="3" width="20.85546875" style="48" customWidth="1"/>
    <col min="4" max="4" width="18.85546875" style="48" customWidth="1"/>
    <col min="5" max="5" width="16" style="48" customWidth="1"/>
    <col min="6" max="6" width="16.5703125" style="48" customWidth="1"/>
    <col min="7" max="8" width="20.85546875" style="48" customWidth="1"/>
    <col min="9" max="9" width="17.5703125" style="433" customWidth="1"/>
    <col min="10" max="10" width="18.42578125" style="548" customWidth="1"/>
    <col min="11" max="11" width="17.7109375" style="48" customWidth="1"/>
    <col min="12" max="13" width="16.28515625" style="548" customWidth="1"/>
    <col min="14" max="14" width="18.140625" style="48" customWidth="1"/>
    <col min="15" max="19" width="14.7109375" style="48" customWidth="1"/>
    <col min="20" max="22" width="15.7109375" style="48" customWidth="1"/>
    <col min="23" max="23" width="0" style="48" hidden="1" customWidth="1"/>
    <col min="24" max="24" width="56.5703125" style="48" customWidth="1"/>
    <col min="25" max="28" width="15.7109375" style="48" customWidth="1"/>
    <col min="29" max="29" width="14.5703125" style="48" customWidth="1"/>
    <col min="30" max="35" width="15.7109375" style="48" customWidth="1"/>
    <col min="36" max="16384" width="20.7109375" style="48"/>
  </cols>
  <sheetData>
    <row r="3" spans="1:57" ht="18" x14ac:dyDescent="0.25">
      <c r="A3" s="49" t="s">
        <v>180</v>
      </c>
      <c r="B3" s="49"/>
      <c r="C3" s="492"/>
      <c r="D3" s="492"/>
      <c r="E3" s="492"/>
      <c r="F3" s="492"/>
      <c r="G3" s="492"/>
      <c r="H3" s="492"/>
      <c r="I3" s="492"/>
      <c r="J3" s="492"/>
      <c r="K3" s="492"/>
      <c r="L3" s="492"/>
      <c r="M3" s="492"/>
      <c r="N3" s="492"/>
      <c r="O3" s="49"/>
      <c r="P3" s="49"/>
      <c r="Q3" s="49"/>
      <c r="R3" s="49"/>
      <c r="S3" s="49"/>
      <c r="T3" s="49"/>
      <c r="U3" s="49"/>
      <c r="V3" s="49"/>
      <c r="W3" s="49"/>
      <c r="X3" s="49"/>
      <c r="Y3" s="49"/>
      <c r="Z3" s="49"/>
      <c r="AA3" s="49"/>
      <c r="AB3" s="49"/>
      <c r="AC3" s="49"/>
      <c r="AD3" s="49"/>
      <c r="AE3" s="49"/>
      <c r="AF3" s="49"/>
      <c r="AG3" s="49"/>
    </row>
    <row r="4" spans="1:57" ht="15.75" x14ac:dyDescent="0.25">
      <c r="A4" s="50" t="s">
        <v>106</v>
      </c>
      <c r="B4" s="50"/>
      <c r="C4" s="50"/>
      <c r="D4" s="50"/>
      <c r="E4" s="50"/>
      <c r="F4" s="50"/>
      <c r="G4" s="50"/>
      <c r="H4" s="50"/>
      <c r="I4" s="523"/>
      <c r="J4" s="543"/>
      <c r="K4" s="50"/>
      <c r="L4" s="543"/>
      <c r="M4" s="543"/>
      <c r="N4" s="50"/>
      <c r="O4" s="50"/>
      <c r="P4" s="50"/>
      <c r="Q4" s="50"/>
      <c r="R4" s="50"/>
      <c r="S4" s="50"/>
      <c r="T4" s="50"/>
      <c r="U4" s="50"/>
      <c r="V4" s="50"/>
      <c r="W4" s="50"/>
      <c r="X4" s="50"/>
      <c r="Y4" s="50"/>
      <c r="Z4" s="50"/>
      <c r="AA4" s="50"/>
      <c r="AB4" s="50"/>
      <c r="AC4" s="50"/>
      <c r="AD4" s="50"/>
      <c r="AE4" s="50"/>
      <c r="AF4" s="50"/>
      <c r="AG4" s="50"/>
    </row>
    <row r="5" spans="1:57" x14ac:dyDescent="0.25">
      <c r="A5" s="301" t="s">
        <v>372</v>
      </c>
      <c r="B5" s="312"/>
      <c r="C5" s="636"/>
      <c r="D5" s="571"/>
      <c r="E5" s="571"/>
      <c r="F5" s="571"/>
      <c r="G5" s="571"/>
      <c r="H5" s="571"/>
      <c r="I5" s="571"/>
      <c r="J5" s="571"/>
      <c r="K5" s="571"/>
      <c r="L5" s="571"/>
      <c r="M5" s="571"/>
      <c r="N5" s="571"/>
      <c r="O5" s="51"/>
      <c r="P5" s="51"/>
      <c r="Q5" s="51"/>
      <c r="R5" s="51"/>
      <c r="S5" s="51"/>
      <c r="T5" s="51"/>
      <c r="U5" s="51"/>
      <c r="V5" s="51"/>
      <c r="W5" s="51"/>
      <c r="X5" s="51"/>
      <c r="Y5" s="51"/>
      <c r="Z5" s="51"/>
      <c r="AA5" s="51"/>
      <c r="AB5" s="51"/>
      <c r="AC5" s="51"/>
      <c r="AD5" s="51"/>
      <c r="AE5" s="51"/>
      <c r="AF5" s="51"/>
      <c r="AG5" s="51"/>
    </row>
    <row r="6" spans="1:57" ht="15.75" customHeight="1" x14ac:dyDescent="0.25">
      <c r="A6" s="52" t="s">
        <v>181</v>
      </c>
      <c r="B6" s="487"/>
      <c r="C6" s="487"/>
      <c r="D6" s="487"/>
      <c r="E6" s="487"/>
      <c r="F6" s="487"/>
      <c r="G6" s="487"/>
      <c r="H6" s="487"/>
      <c r="I6" s="524"/>
      <c r="J6" s="544"/>
      <c r="K6" s="487"/>
      <c r="L6" s="544"/>
      <c r="M6" s="544"/>
      <c r="N6" s="487"/>
      <c r="O6" s="52"/>
      <c r="P6" s="52"/>
      <c r="Q6" s="52"/>
      <c r="R6" s="52"/>
      <c r="S6" s="52"/>
      <c r="T6" s="52"/>
      <c r="U6" s="52"/>
      <c r="V6" s="52"/>
      <c r="W6" s="52"/>
      <c r="X6" s="52"/>
      <c r="Y6" s="52"/>
      <c r="Z6" s="52"/>
      <c r="AA6" s="52"/>
      <c r="AB6" s="52"/>
      <c r="AC6" s="52"/>
      <c r="AD6" s="52"/>
      <c r="AE6" s="52"/>
      <c r="AF6" s="52"/>
      <c r="AG6" s="52"/>
      <c r="AH6" s="52"/>
      <c r="AI6" s="52"/>
      <c r="AJ6" s="52"/>
      <c r="AK6" s="52"/>
      <c r="AL6" s="52"/>
      <c r="AM6" s="52"/>
      <c r="AN6" s="52"/>
    </row>
    <row r="7" spans="1:57" ht="15.75" customHeight="1" x14ac:dyDescent="0.25">
      <c r="A7" s="52"/>
      <c r="B7" s="487"/>
      <c r="C7" s="487"/>
      <c r="D7" s="487"/>
      <c r="E7" s="487"/>
      <c r="F7" s="487"/>
      <c r="G7" s="487"/>
      <c r="H7" s="487"/>
      <c r="I7" s="487"/>
      <c r="J7" s="544"/>
      <c r="K7" s="487"/>
      <c r="L7" s="544"/>
      <c r="M7" s="544"/>
      <c r="N7" s="487"/>
      <c r="O7" s="52"/>
      <c r="P7" s="52"/>
      <c r="Q7" s="52"/>
      <c r="R7" s="52"/>
      <c r="S7" s="52"/>
      <c r="T7" s="52"/>
      <c r="U7" s="52"/>
      <c r="V7" s="52"/>
      <c r="W7" s="52"/>
      <c r="X7" s="52"/>
      <c r="Y7" s="52"/>
      <c r="Z7" s="52"/>
      <c r="AA7" s="52"/>
      <c r="AB7" s="52"/>
      <c r="AC7" s="52"/>
      <c r="AD7" s="52"/>
      <c r="AE7" s="52"/>
      <c r="AF7" s="52"/>
      <c r="AG7" s="52"/>
      <c r="AH7" s="52"/>
      <c r="AI7" s="52"/>
      <c r="AJ7" s="52"/>
      <c r="AK7" s="52"/>
      <c r="AL7" s="52"/>
      <c r="AM7" s="52"/>
      <c r="AN7" s="52"/>
    </row>
    <row r="8" spans="1:57" ht="15.75" x14ac:dyDescent="0.3">
      <c r="A8"/>
      <c r="B8" s="357"/>
      <c r="C8" s="357"/>
      <c r="D8" s="357"/>
      <c r="E8" s="357"/>
      <c r="F8" s="357"/>
      <c r="G8" s="357"/>
      <c r="H8" s="357"/>
      <c r="I8" s="357"/>
      <c r="J8" s="545"/>
      <c r="K8" s="357"/>
      <c r="L8" s="545"/>
      <c r="M8" s="545"/>
      <c r="N8" s="357"/>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row>
    <row r="9" spans="1:57" ht="15.75" thickBot="1" x14ac:dyDescent="0.3">
      <c r="B9" s="415"/>
      <c r="C9" s="415"/>
      <c r="D9" s="415"/>
      <c r="E9" s="415"/>
      <c r="F9" s="415"/>
      <c r="G9" s="415"/>
      <c r="H9" s="415"/>
      <c r="I9" s="525"/>
      <c r="J9" s="546"/>
      <c r="K9" s="415"/>
      <c r="L9" s="546"/>
      <c r="M9" s="546"/>
      <c r="N9" s="415"/>
    </row>
    <row r="10" spans="1:57" ht="15.75" thickBot="1" x14ac:dyDescent="0.3">
      <c r="B10" s="53"/>
      <c r="D10" s="54"/>
      <c r="E10" s="54"/>
      <c r="F10" s="54"/>
      <c r="I10" s="526"/>
      <c r="J10" s="547"/>
      <c r="K10" s="54"/>
      <c r="L10" s="547"/>
      <c r="M10" s="547"/>
      <c r="N10" s="54"/>
    </row>
    <row r="11" spans="1:57" s="56" customFormat="1" ht="30" x14ac:dyDescent="0.3">
      <c r="A11" s="100" t="s">
        <v>182</v>
      </c>
      <c r="B11" s="100" t="s">
        <v>128</v>
      </c>
      <c r="C11" s="100" t="s">
        <v>119</v>
      </c>
      <c r="D11" s="100" t="s">
        <v>74</v>
      </c>
      <c r="E11" s="100" t="s">
        <v>120</v>
      </c>
      <c r="F11" s="100" t="s">
        <v>121</v>
      </c>
      <c r="G11" s="55" t="s">
        <v>127</v>
      </c>
      <c r="H11" s="55" t="s">
        <v>122</v>
      </c>
      <c r="I11" s="55" t="s">
        <v>76</v>
      </c>
      <c r="J11" s="55" t="s">
        <v>123</v>
      </c>
      <c r="K11" s="55" t="s">
        <v>124</v>
      </c>
      <c r="L11" s="55" t="s">
        <v>125</v>
      </c>
      <c r="M11" s="55" t="s">
        <v>365</v>
      </c>
      <c r="N11" s="100" t="s">
        <v>126</v>
      </c>
    </row>
    <row r="12" spans="1:57" s="56" customFormat="1" x14ac:dyDescent="0.25">
      <c r="A12" s="57" t="s">
        <v>217</v>
      </c>
      <c r="B12" s="390">
        <f>SUM(C12:N12)</f>
        <v>4050006.5563699999</v>
      </c>
      <c r="C12" s="390">
        <f>'descarga app P&amp;S'!G5/1000</f>
        <v>112313.5873</v>
      </c>
      <c r="D12" s="393">
        <f>'descarga app P&amp;S'!L5/1000</f>
        <v>713442.65541000001</v>
      </c>
      <c r="E12" s="390">
        <f>'descarga app P&amp;S'!K5/1000</f>
        <v>633095.47086</v>
      </c>
      <c r="F12" s="393">
        <f>'descarga app P&amp;S'!I5/1000</f>
        <v>1042962.2305299999</v>
      </c>
      <c r="G12" s="410">
        <f>'descarga app P&amp;S'!E5/1000</f>
        <v>74618.928169999999</v>
      </c>
      <c r="H12" s="410">
        <f>'descarga app P&amp;S'!C5/1000</f>
        <v>463164.14805999998</v>
      </c>
      <c r="I12" s="446">
        <f>'descarga app P&amp;S'!F5/1000</f>
        <v>568729.01503000001</v>
      </c>
      <c r="J12" s="447">
        <f>'descarga app P&amp;S'!H5/1000</f>
        <v>69227.718870000012</v>
      </c>
      <c r="K12" s="390">
        <f>'descarga app P&amp;S'!M5/1000</f>
        <v>150608.70993000001</v>
      </c>
      <c r="L12" s="447">
        <f>'descarga app P&amp;S'!J5/1000</f>
        <v>6758.9499399999995</v>
      </c>
      <c r="M12" s="447">
        <f>'descarga app P&amp;S'!D5/1000</f>
        <v>89300.424209999997</v>
      </c>
      <c r="N12" s="390">
        <f>'descarga app P&amp;S'!B5/1000</f>
        <v>125784.71806</v>
      </c>
      <c r="O12" s="48"/>
      <c r="Q12" s="356"/>
      <c r="R12" s="191"/>
      <c r="S12" s="191"/>
      <c r="T12" s="48"/>
      <c r="U12" s="48"/>
      <c r="V12" s="48"/>
      <c r="W12" s="48"/>
      <c r="AE12" s="48"/>
      <c r="AF12" s="48"/>
      <c r="AG12" s="48"/>
      <c r="AH12" s="48"/>
      <c r="BB12" s="48"/>
      <c r="BC12" s="48"/>
      <c r="BD12" s="48"/>
      <c r="BE12" s="48"/>
    </row>
    <row r="13" spans="1:57" ht="15.75" x14ac:dyDescent="0.3">
      <c r="A13" s="439" t="s">
        <v>183</v>
      </c>
      <c r="B13" s="396">
        <f>SUM(C13:N13)</f>
        <v>11061.50663</v>
      </c>
      <c r="C13" s="396">
        <f>'descarga app P&amp;S'!G6/1000</f>
        <v>4375.2604599999995</v>
      </c>
      <c r="D13" s="397">
        <f>'descarga app P&amp;S'!L6/1000</f>
        <v>0</v>
      </c>
      <c r="E13" s="396">
        <f>'descarga app P&amp;S'!K6/1000</f>
        <v>0</v>
      </c>
      <c r="F13" s="397">
        <f>'descarga app P&amp;S'!I6/1000</f>
        <v>6686.2461700000003</v>
      </c>
      <c r="G13" s="411">
        <f>'descarga app P&amp;S'!E6/1000</f>
        <v>0</v>
      </c>
      <c r="H13" s="473">
        <f>'descarga app P&amp;S'!C6/1000</f>
        <v>0</v>
      </c>
      <c r="I13" s="529">
        <f>'descarga app P&amp;S'!F6/1000</f>
        <v>0</v>
      </c>
      <c r="J13" s="448">
        <f>'descarga app P&amp;S'!H6/1000</f>
        <v>0</v>
      </c>
      <c r="K13" s="396">
        <f>'descarga app P&amp;S'!M6/1000</f>
        <v>0</v>
      </c>
      <c r="L13" s="448">
        <f>'descarga app P&amp;S'!J6/1000</f>
        <v>0</v>
      </c>
      <c r="M13" s="574">
        <f>'descarga app P&amp;S'!D6/1000</f>
        <v>0</v>
      </c>
      <c r="N13" s="396">
        <f>'descarga app P&amp;S'!B6/1000</f>
        <v>0</v>
      </c>
      <c r="Q13" s="356"/>
      <c r="R13" s="191"/>
      <c r="S13" s="191"/>
    </row>
    <row r="14" spans="1:57" ht="15.75" x14ac:dyDescent="0.3">
      <c r="A14" s="62" t="s">
        <v>15</v>
      </c>
      <c r="B14" s="394">
        <f>SUM(C14:N14)</f>
        <v>510892.09233000001</v>
      </c>
      <c r="C14" s="394">
        <f>'descarga app P&amp;S'!G7/1000</f>
        <v>24514.412640000002</v>
      </c>
      <c r="D14" s="398">
        <f>'descarga app P&amp;S'!L7/1000</f>
        <v>6048.9480300000005</v>
      </c>
      <c r="E14" s="394">
        <f>'descarga app P&amp;S'!K7/1000</f>
        <v>219514.21472999998</v>
      </c>
      <c r="F14" s="398">
        <f>'descarga app P&amp;S'!I7/1000</f>
        <v>81356.294170000008</v>
      </c>
      <c r="G14" s="412">
        <f>'descarga app P&amp;S'!E7/1000</f>
        <v>19370.830969999999</v>
      </c>
      <c r="H14" s="473">
        <f>'descarga app P&amp;S'!C7/1000</f>
        <v>16826.319589999999</v>
      </c>
      <c r="I14" s="413">
        <f>'descarga app P&amp;S'!F7/1000</f>
        <v>55173.322090000001</v>
      </c>
      <c r="J14" s="434">
        <f>'descarga app P&amp;S'!H7/1000</f>
        <v>3660.39536</v>
      </c>
      <c r="K14" s="394">
        <f>'descarga app P&amp;S'!M7/1000</f>
        <v>52407.702850000001</v>
      </c>
      <c r="L14" s="434">
        <f>'descarga app P&amp;S'!J7/1000</f>
        <v>6758.9499399999995</v>
      </c>
      <c r="M14" s="574">
        <f>'descarga app P&amp;S'!D7/1000</f>
        <v>0</v>
      </c>
      <c r="N14" s="394">
        <f>'descarga app P&amp;S'!B7/1000</f>
        <v>25260.701960000002</v>
      </c>
      <c r="Q14" s="356"/>
      <c r="R14" s="191"/>
      <c r="S14" s="191"/>
    </row>
    <row r="15" spans="1:57" ht="15.75" x14ac:dyDescent="0.3">
      <c r="A15" s="59" t="s">
        <v>16</v>
      </c>
      <c r="B15" s="396">
        <f>SUM(C15:N15)</f>
        <v>3528052.9574100003</v>
      </c>
      <c r="C15" s="396">
        <f>'descarga app P&amp;S'!G8/1000</f>
        <v>83423.914199999999</v>
      </c>
      <c r="D15" s="397">
        <f>'descarga app P&amp;S'!L8/1000</f>
        <v>707393.70738000004</v>
      </c>
      <c r="E15" s="396">
        <f>'descarga app P&amp;S'!K8/1000</f>
        <v>413581.25612999999</v>
      </c>
      <c r="F15" s="397">
        <f>'descarga app P&amp;S'!I8/1000</f>
        <v>954919.69019000011</v>
      </c>
      <c r="G15" s="411">
        <f>'descarga app P&amp;S'!E8/1000</f>
        <v>55248.097200000004</v>
      </c>
      <c r="H15" s="473">
        <f>'descarga app P&amp;S'!C8/1000</f>
        <v>446337.82847000001</v>
      </c>
      <c r="I15" s="529">
        <f>'descarga app P&amp;S'!F8/1000</f>
        <v>513555.69293999998</v>
      </c>
      <c r="J15" s="448">
        <f>'descarga app P&amp;S'!H8/1000</f>
        <v>65567.323510000002</v>
      </c>
      <c r="K15" s="396">
        <f>'descarga app P&amp;S'!M8/1000</f>
        <v>98201.007079999996</v>
      </c>
      <c r="L15" s="448">
        <f>'descarga app P&amp;S'!J8/1000</f>
        <v>0</v>
      </c>
      <c r="M15" s="575">
        <f>'descarga app P&amp;S'!D8/1000</f>
        <v>89300.424209999997</v>
      </c>
      <c r="N15" s="396">
        <f>'descarga app P&amp;S'!B8/1000</f>
        <v>100524.01609999999</v>
      </c>
      <c r="Q15" s="356"/>
      <c r="R15" s="191"/>
      <c r="S15" s="191"/>
    </row>
    <row r="16" spans="1:57" ht="15.75" x14ac:dyDescent="0.3">
      <c r="A16" s="63"/>
      <c r="B16" s="394"/>
      <c r="C16" s="394"/>
      <c r="D16" s="398"/>
      <c r="E16" s="394"/>
      <c r="F16" s="398"/>
      <c r="G16" s="412"/>
      <c r="H16" s="412"/>
      <c r="I16" s="413"/>
      <c r="J16" s="434"/>
      <c r="K16" s="394"/>
      <c r="L16" s="434"/>
      <c r="M16" s="574"/>
      <c r="N16" s="394"/>
      <c r="Q16" s="356"/>
      <c r="R16" s="191"/>
      <c r="S16" s="191"/>
    </row>
    <row r="17" spans="1:19" x14ac:dyDescent="0.25">
      <c r="A17" s="64" t="s">
        <v>21</v>
      </c>
      <c r="B17" s="400">
        <f>SUM(C17:N17)</f>
        <v>293797.50281999999</v>
      </c>
      <c r="C17" s="400">
        <f>'descarga app P&amp;S'!G9/1000</f>
        <v>0</v>
      </c>
      <c r="D17" s="401">
        <f>'descarga app P&amp;S'!L9/1000</f>
        <v>0</v>
      </c>
      <c r="E17" s="400">
        <f>'descarga app P&amp;S'!K9/1000</f>
        <v>45565.83756</v>
      </c>
      <c r="F17" s="401">
        <f>'descarga app P&amp;S'!I9/1000</f>
        <v>26851.718430000001</v>
      </c>
      <c r="G17" s="414">
        <f>'descarga app P&amp;S'!E9/1000</f>
        <v>15138.10851</v>
      </c>
      <c r="H17" s="414">
        <f>'descarga app P&amp;S'!C9/1000</f>
        <v>17160.439449999998</v>
      </c>
      <c r="I17" s="445">
        <f>'descarga app P&amp;S'!F9/1000</f>
        <v>87442.929109999997</v>
      </c>
      <c r="J17" s="531">
        <f>'descarga app P&amp;S'!H9/1000</f>
        <v>701.51235999999994</v>
      </c>
      <c r="K17" s="400">
        <f>'descarga app P&amp;S'!M9/1000</f>
        <v>41798.727979999996</v>
      </c>
      <c r="L17" s="531">
        <f>'descarga app P&amp;S'!J9/1000</f>
        <v>24237.568179999998</v>
      </c>
      <c r="M17" s="531">
        <f>'descarga app P&amp;S'!D9/1000</f>
        <v>0</v>
      </c>
      <c r="N17" s="400">
        <f>'descarga app P&amp;S'!B9/1000</f>
        <v>34900.661240000001</v>
      </c>
      <c r="Q17" s="356"/>
      <c r="R17" s="191"/>
      <c r="S17" s="191"/>
    </row>
    <row r="18" spans="1:19" ht="15.75" x14ac:dyDescent="0.3">
      <c r="A18" s="62" t="s">
        <v>184</v>
      </c>
      <c r="B18" s="394">
        <f>SUM(C18:N18)</f>
        <v>48696.417959999992</v>
      </c>
      <c r="C18" s="394">
        <f>'descarga app P&amp;S'!G10/1000</f>
        <v>0</v>
      </c>
      <c r="D18" s="398">
        <f>'descarga app P&amp;S'!L10/1000</f>
        <v>0</v>
      </c>
      <c r="E18" s="394">
        <f>'descarga app P&amp;S'!K10/1000</f>
        <v>2946.7669000000001</v>
      </c>
      <c r="F18" s="398">
        <f>'descarga app P&amp;S'!I10/1000</f>
        <v>364.76472999999999</v>
      </c>
      <c r="G18" s="412">
        <f>'descarga app P&amp;S'!E10/1000</f>
        <v>5193.0310499999996</v>
      </c>
      <c r="H18" s="412">
        <f>'descarga app P&amp;S'!C10/1000</f>
        <v>2910.4743599999997</v>
      </c>
      <c r="I18" s="413">
        <f>'descarga app P&amp;S'!F10/1000</f>
        <v>13043.812739999999</v>
      </c>
      <c r="J18" s="434">
        <f>'descarga app P&amp;S'!H10/1000</f>
        <v>0</v>
      </c>
      <c r="K18" s="394">
        <f>'descarga app P&amp;S'!M10/1000</f>
        <v>0</v>
      </c>
      <c r="L18" s="434">
        <f>'descarga app P&amp;S'!J10/1000</f>
        <v>24237.568179999998</v>
      </c>
      <c r="M18" s="434">
        <f>'descarga app P&amp;S'!D10/1000</f>
        <v>0</v>
      </c>
      <c r="N18" s="394">
        <f>'descarga app P&amp;S'!B10/1000</f>
        <v>0</v>
      </c>
      <c r="Q18" s="356"/>
      <c r="R18" s="191"/>
      <c r="S18" s="191"/>
    </row>
    <row r="19" spans="1:19" ht="15.75" x14ac:dyDescent="0.3">
      <c r="A19" s="59" t="s">
        <v>185</v>
      </c>
      <c r="B19" s="396">
        <f>SUM(C19:N19)</f>
        <v>71980.187680000003</v>
      </c>
      <c r="C19" s="396">
        <f>'descarga app P&amp;S'!G11/1000</f>
        <v>0</v>
      </c>
      <c r="D19" s="397">
        <f>'descarga app P&amp;S'!L11/1000</f>
        <v>0</v>
      </c>
      <c r="E19" s="396">
        <f>'descarga app P&amp;S'!K11/1000</f>
        <v>1558.8381399999998</v>
      </c>
      <c r="F19" s="397">
        <f>'descarga app P&amp;S'!I11/1000</f>
        <v>20686.98072</v>
      </c>
      <c r="G19" s="411">
        <f>'descarga app P&amp;S'!E11/1000</f>
        <v>9945.0774600000004</v>
      </c>
      <c r="H19" s="411">
        <f>'descarga app P&amp;S'!C11/1000</f>
        <v>0</v>
      </c>
      <c r="I19" s="529">
        <f>'descarga app P&amp;S'!F11/1000</f>
        <v>39789.291360000003</v>
      </c>
      <c r="J19" s="448">
        <f>'descarga app P&amp;S'!H11/1000</f>
        <v>0</v>
      </c>
      <c r="K19" s="396">
        <f>'descarga app P&amp;S'!M11/1000</f>
        <v>0</v>
      </c>
      <c r="L19" s="448">
        <f>'descarga app P&amp;S'!J11/1000</f>
        <v>0</v>
      </c>
      <c r="M19" s="448">
        <f>'descarga app P&amp;S'!D11/1000</f>
        <v>0</v>
      </c>
      <c r="N19" s="396">
        <f>'descarga app P&amp;S'!B11/1000</f>
        <v>0</v>
      </c>
      <c r="Q19" s="356"/>
      <c r="R19" s="191"/>
      <c r="S19" s="191"/>
    </row>
    <row r="20" spans="1:19" ht="15.75" x14ac:dyDescent="0.3">
      <c r="A20" s="62" t="s">
        <v>186</v>
      </c>
      <c r="B20" s="394">
        <f>SUM(C20:N20)</f>
        <v>173120.89717999997</v>
      </c>
      <c r="C20" s="394">
        <f>'descarga app P&amp;S'!G12/1000</f>
        <v>0</v>
      </c>
      <c r="D20" s="398">
        <f>'descarga app P&amp;S'!L12/1000</f>
        <v>0</v>
      </c>
      <c r="E20" s="394">
        <f>'descarga app P&amp;S'!K12/1000</f>
        <v>41060.232520000005</v>
      </c>
      <c r="F20" s="398">
        <f>'descarga app P&amp;S'!I12/1000</f>
        <v>5799.9729800000005</v>
      </c>
      <c r="G20" s="412">
        <f>'descarga app P&amp;S'!E12/1000</f>
        <v>0</v>
      </c>
      <c r="H20" s="412">
        <f>'descarga app P&amp;S'!C12/1000</f>
        <v>14249.96509</v>
      </c>
      <c r="I20" s="413">
        <f>'descarga app P&amp;S'!F12/1000</f>
        <v>34609.82501</v>
      </c>
      <c r="J20" s="434">
        <f>'descarga app P&amp;S'!H12/1000</f>
        <v>701.51235999999994</v>
      </c>
      <c r="K20" s="394">
        <f>'descarga app P&amp;S'!M12/1000</f>
        <v>41798.727979999996</v>
      </c>
      <c r="L20" s="434">
        <f>'descarga app P&amp;S'!J12/1000</f>
        <v>0</v>
      </c>
      <c r="M20" s="434">
        <f>'descarga app P&amp;S'!D12/1000</f>
        <v>0</v>
      </c>
      <c r="N20" s="394">
        <f>'descarga app P&amp;S'!B12/1000</f>
        <v>34900.661240000001</v>
      </c>
      <c r="R20" s="191"/>
      <c r="S20" s="191"/>
    </row>
    <row r="21" spans="1:19" ht="15.75" x14ac:dyDescent="0.3">
      <c r="A21" s="58"/>
      <c r="B21" s="396"/>
      <c r="C21" s="396"/>
      <c r="D21" s="397"/>
      <c r="E21" s="396"/>
      <c r="F21" s="397"/>
      <c r="G21" s="411"/>
      <c r="H21" s="411"/>
      <c r="I21" s="529"/>
      <c r="J21" s="448"/>
      <c r="K21" s="396"/>
      <c r="L21" s="448"/>
      <c r="M21" s="574"/>
      <c r="N21" s="396"/>
      <c r="R21" s="191"/>
      <c r="S21" s="191"/>
    </row>
    <row r="22" spans="1:19" x14ac:dyDescent="0.25">
      <c r="A22" s="57" t="s">
        <v>20</v>
      </c>
      <c r="B22" s="390">
        <f t="shared" ref="B22:B44" si="0">SUM(C22:N22)</f>
        <v>1811778.4299300001</v>
      </c>
      <c r="C22" s="390">
        <f>'descarga app P&amp;S'!G13/1000</f>
        <v>95124.858769999992</v>
      </c>
      <c r="D22" s="393">
        <f>'descarga app P&amp;S'!L13/1000</f>
        <v>0</v>
      </c>
      <c r="E22" s="390">
        <f>'descarga app P&amp;S'!K13/1000</f>
        <v>141481.90561000002</v>
      </c>
      <c r="F22" s="393">
        <f>'descarga app P&amp;S'!I13/1000</f>
        <v>643892.28063000005</v>
      </c>
      <c r="G22" s="410">
        <f>'descarga app P&amp;S'!E13/1000</f>
        <v>37386.608509999998</v>
      </c>
      <c r="H22" s="410">
        <f>'descarga app P&amp;S'!C13/1000</f>
        <v>328071.84805000003</v>
      </c>
      <c r="I22" s="446">
        <f>'descarga app P&amp;S'!F13/1000</f>
        <v>52551.284140000003</v>
      </c>
      <c r="J22" s="447">
        <f>'descarga app P&amp;S'!H13/1000</f>
        <v>24701.509480000001</v>
      </c>
      <c r="K22" s="390">
        <f>'descarga app P&amp;S'!M13/1000</f>
        <v>182913.36925999998</v>
      </c>
      <c r="L22" s="447">
        <f>'descarga app P&amp;S'!J13/1000</f>
        <v>42451.206330000001</v>
      </c>
      <c r="M22" s="447">
        <f>'descarga app P&amp;S'!D13/1000</f>
        <v>19037.965889999999</v>
      </c>
      <c r="N22" s="390">
        <f>'descarga app P&amp;S'!B13/1000</f>
        <v>244165.59325999999</v>
      </c>
      <c r="Q22" s="356"/>
      <c r="R22" s="191"/>
      <c r="S22" s="191"/>
    </row>
    <row r="23" spans="1:19" ht="15.75" x14ac:dyDescent="0.3">
      <c r="A23" s="59" t="s">
        <v>187</v>
      </c>
      <c r="B23" s="396">
        <f t="shared" si="0"/>
        <v>29542.834439999999</v>
      </c>
      <c r="C23" s="396">
        <f>'descarga app P&amp;S'!G14/1000</f>
        <v>0</v>
      </c>
      <c r="D23" s="397">
        <f>'descarga app P&amp;S'!L14/1000</f>
        <v>0</v>
      </c>
      <c r="E23" s="396">
        <f>'descarga app P&amp;S'!K14/1000</f>
        <v>0</v>
      </c>
      <c r="F23" s="397">
        <f>'descarga app P&amp;S'!I14/1000</f>
        <v>369.73966999999999</v>
      </c>
      <c r="G23" s="411">
        <f>'descarga app P&amp;S'!E14/1000</f>
        <v>0</v>
      </c>
      <c r="H23" s="411">
        <f>'descarga app P&amp;S'!C14/1000</f>
        <v>24247.099050000001</v>
      </c>
      <c r="I23" s="529">
        <f>'descarga app P&amp;S'!F14/1000</f>
        <v>0</v>
      </c>
      <c r="J23" s="448">
        <f>'descarga app P&amp;S'!H14/1000</f>
        <v>0</v>
      </c>
      <c r="K23" s="396">
        <f>'descarga app P&amp;S'!M14/1000</f>
        <v>0</v>
      </c>
      <c r="L23" s="448">
        <f>'descarga app P&amp;S'!J14/1000</f>
        <v>0</v>
      </c>
      <c r="M23" s="448">
        <f>'descarga app P&amp;S'!D14/1000</f>
        <v>4091.2298900000001</v>
      </c>
      <c r="N23" s="396">
        <f>'descarga app P&amp;S'!B14/1000</f>
        <v>834.76582999999994</v>
      </c>
      <c r="Q23" s="356"/>
      <c r="R23" s="191"/>
      <c r="S23" s="191"/>
    </row>
    <row r="24" spans="1:19" ht="15.75" x14ac:dyDescent="0.3">
      <c r="A24" s="62" t="s">
        <v>188</v>
      </c>
      <c r="B24" s="394">
        <f t="shared" si="0"/>
        <v>55655.957620000001</v>
      </c>
      <c r="C24" s="394">
        <f>'descarga app P&amp;S'!G15/1000</f>
        <v>437.71044000000001</v>
      </c>
      <c r="D24" s="398">
        <f>'descarga app P&amp;S'!L15/1000</f>
        <v>0</v>
      </c>
      <c r="E24" s="394">
        <f>'descarga app P&amp;S'!K15/1000</f>
        <v>4096.3600299999998</v>
      </c>
      <c r="F24" s="398">
        <f>'descarga app P&amp;S'!I15/1000</f>
        <v>5497.7283299999999</v>
      </c>
      <c r="G24" s="412">
        <f>'descarga app P&amp;S'!E15/1000</f>
        <v>0</v>
      </c>
      <c r="H24" s="412">
        <f>'descarga app P&amp;S'!C15/1000</f>
        <v>34980.268779999999</v>
      </c>
      <c r="I24" s="413">
        <f>'descarga app P&amp;S'!F15/1000</f>
        <v>2499.9325899999999</v>
      </c>
      <c r="J24" s="434">
        <f>'descarga app P&amp;S'!H15/1000</f>
        <v>0</v>
      </c>
      <c r="K24" s="394">
        <f>'descarga app P&amp;S'!M15/1000</f>
        <v>3136.8665000000001</v>
      </c>
      <c r="L24" s="434">
        <f>'descarga app P&amp;S'!J15/1000</f>
        <v>5007.0909499999998</v>
      </c>
      <c r="M24" s="448">
        <f>'descarga app P&amp;S'!D15/1000</f>
        <v>0</v>
      </c>
      <c r="N24" s="394">
        <f>'descarga app P&amp;S'!B15/1000</f>
        <v>0</v>
      </c>
      <c r="Q24" s="356"/>
      <c r="R24" s="191"/>
      <c r="S24" s="191"/>
    </row>
    <row r="25" spans="1:19" ht="15.75" x14ac:dyDescent="0.3">
      <c r="A25" s="59" t="s">
        <v>189</v>
      </c>
      <c r="B25" s="396">
        <f t="shared" si="0"/>
        <v>59023.540249999998</v>
      </c>
      <c r="C25" s="396">
        <f>'descarga app P&amp;S'!G16/1000</f>
        <v>4076.4289100000001</v>
      </c>
      <c r="D25" s="397">
        <f>'descarga app P&amp;S'!L16/1000</f>
        <v>0</v>
      </c>
      <c r="E25" s="396">
        <f>'descarga app P&amp;S'!K16/1000</f>
        <v>0</v>
      </c>
      <c r="F25" s="397">
        <f>'descarga app P&amp;S'!I16/1000</f>
        <v>20894.298890000002</v>
      </c>
      <c r="G25" s="411">
        <f>'descarga app P&amp;S'!E16/1000</f>
        <v>0</v>
      </c>
      <c r="H25" s="411">
        <f>'descarga app P&amp;S'!C16/1000</f>
        <v>16956.22667</v>
      </c>
      <c r="I25" s="529">
        <f>'descarga app P&amp;S'!F16/1000</f>
        <v>2162.31675</v>
      </c>
      <c r="J25" s="448">
        <f>'descarga app P&amp;S'!H16/1000</f>
        <v>0</v>
      </c>
      <c r="K25" s="396">
        <f>'descarga app P&amp;S'!M16/1000</f>
        <v>0</v>
      </c>
      <c r="L25" s="448">
        <f>'descarga app P&amp;S'!J16/1000</f>
        <v>1504.0532900000001</v>
      </c>
      <c r="M25" s="448">
        <f>'descarga app P&amp;S'!D16/1000</f>
        <v>4225.616</v>
      </c>
      <c r="N25" s="396">
        <f>'descarga app P&amp;S'!B16/1000</f>
        <v>9204.5997399999997</v>
      </c>
      <c r="Q25" s="356"/>
      <c r="R25" s="191"/>
      <c r="S25" s="191"/>
    </row>
    <row r="26" spans="1:19" ht="15.75" x14ac:dyDescent="0.3">
      <c r="A26" s="62" t="s">
        <v>190</v>
      </c>
      <c r="B26" s="394">
        <f t="shared" si="0"/>
        <v>2142.7184699999998</v>
      </c>
      <c r="C26" s="394">
        <f>'descarga app P&amp;S'!G17/1000</f>
        <v>28.504549999999998</v>
      </c>
      <c r="D26" s="398">
        <f>'descarga app P&amp;S'!L17/1000</f>
        <v>0</v>
      </c>
      <c r="E26" s="394">
        <f>'descarga app P&amp;S'!K17/1000</f>
        <v>1209.4491399999999</v>
      </c>
      <c r="F26" s="398">
        <f>'descarga app P&amp;S'!I17/1000</f>
        <v>37.311349999999997</v>
      </c>
      <c r="G26" s="412">
        <f>'descarga app P&amp;S'!E17/1000</f>
        <v>0</v>
      </c>
      <c r="H26" s="412">
        <f>'descarga app P&amp;S'!C17/1000</f>
        <v>867.45343000000003</v>
      </c>
      <c r="I26" s="413">
        <f>'descarga app P&amp;S'!F17/1000</f>
        <v>0</v>
      </c>
      <c r="J26" s="434">
        <f>'descarga app P&amp;S'!H17/1000</f>
        <v>0</v>
      </c>
      <c r="K26" s="394">
        <f>'descarga app P&amp;S'!M17/1000</f>
        <v>0</v>
      </c>
      <c r="L26" s="434">
        <f>'descarga app P&amp;S'!J17/1000</f>
        <v>0</v>
      </c>
      <c r="M26" s="448">
        <f>'descarga app P&amp;S'!D17/1000</f>
        <v>0</v>
      </c>
      <c r="N26" s="394">
        <f>'descarga app P&amp;S'!B17/1000</f>
        <v>0</v>
      </c>
      <c r="Q26" s="356"/>
      <c r="R26" s="191"/>
      <c r="S26" s="191"/>
    </row>
    <row r="27" spans="1:19" ht="15.75" x14ac:dyDescent="0.3">
      <c r="A27" s="59" t="s">
        <v>191</v>
      </c>
      <c r="B27" s="396">
        <f t="shared" si="0"/>
        <v>41020.205669999988</v>
      </c>
      <c r="C27" s="396">
        <f>'descarga app P&amp;S'!G18/1000</f>
        <v>1624.0054</v>
      </c>
      <c r="D27" s="397">
        <f>'descarga app P&amp;S'!L18/1000</f>
        <v>0</v>
      </c>
      <c r="E27" s="396">
        <f>'descarga app P&amp;S'!K18/1000</f>
        <v>412.42778000000004</v>
      </c>
      <c r="F27" s="397">
        <f>'descarga app P&amp;S'!I18/1000</f>
        <v>6646.7250999999997</v>
      </c>
      <c r="G27" s="411">
        <f>'descarga app P&amp;S'!E18/1000</f>
        <v>12504.16491</v>
      </c>
      <c r="H27" s="411">
        <f>'descarga app P&amp;S'!C18/1000</f>
        <v>1510.1149599999999</v>
      </c>
      <c r="I27" s="529">
        <f>'descarga app P&amp;S'!F18/1000</f>
        <v>10597.124679999999</v>
      </c>
      <c r="J27" s="448">
        <f>'descarga app P&amp;S'!H18/1000</f>
        <v>0</v>
      </c>
      <c r="K27" s="396">
        <f>'descarga app P&amp;S'!M18/1000</f>
        <v>7362.2752899999996</v>
      </c>
      <c r="L27" s="448">
        <f>'descarga app P&amp;S'!J18/1000</f>
        <v>64.660520000000005</v>
      </c>
      <c r="M27" s="448">
        <f>'descarga app P&amp;S'!D18/1000</f>
        <v>0</v>
      </c>
      <c r="N27" s="396">
        <f>'descarga app P&amp;S'!B18/1000</f>
        <v>298.70703000000003</v>
      </c>
      <c r="Q27" s="356"/>
      <c r="R27" s="191"/>
      <c r="S27" s="191"/>
    </row>
    <row r="28" spans="1:19" ht="15.75" x14ac:dyDescent="0.3">
      <c r="A28" s="62" t="s">
        <v>192</v>
      </c>
      <c r="B28" s="394">
        <f t="shared" si="0"/>
        <v>0</v>
      </c>
      <c r="C28" s="394">
        <f>'descarga app P&amp;S'!G19/1000</f>
        <v>0</v>
      </c>
      <c r="D28" s="398">
        <f>'descarga app P&amp;S'!L19/1000</f>
        <v>0</v>
      </c>
      <c r="E28" s="394">
        <f>'descarga app P&amp;S'!K19/1000</f>
        <v>0</v>
      </c>
      <c r="F28" s="398">
        <f>'descarga app P&amp;S'!I19/1000</f>
        <v>0</v>
      </c>
      <c r="G28" s="412">
        <f>'descarga app P&amp;S'!E19/1000</f>
        <v>0</v>
      </c>
      <c r="H28" s="412">
        <f>'descarga app P&amp;S'!C19/1000</f>
        <v>0</v>
      </c>
      <c r="I28" s="413">
        <f>'descarga app P&amp;S'!F19/1000</f>
        <v>0</v>
      </c>
      <c r="J28" s="434">
        <f>'descarga app P&amp;S'!H19/1000</f>
        <v>0</v>
      </c>
      <c r="K28" s="394">
        <f>'descarga app P&amp;S'!M19/1000</f>
        <v>0</v>
      </c>
      <c r="L28" s="434">
        <f>'descarga app P&amp;S'!J19/1000</f>
        <v>0</v>
      </c>
      <c r="M28" s="448">
        <f>'descarga app P&amp;S'!D19/1000</f>
        <v>0</v>
      </c>
      <c r="N28" s="394">
        <f>'descarga app P&amp;S'!B19/1000</f>
        <v>0</v>
      </c>
      <c r="Q28" s="356"/>
      <c r="R28" s="191"/>
      <c r="S28" s="191"/>
    </row>
    <row r="29" spans="1:19" ht="15.75" x14ac:dyDescent="0.3">
      <c r="A29" s="59" t="s">
        <v>193</v>
      </c>
      <c r="B29" s="396">
        <f t="shared" si="0"/>
        <v>169390.09724999999</v>
      </c>
      <c r="C29" s="396">
        <f>'descarga app P&amp;S'!G20/1000</f>
        <v>7800.37871</v>
      </c>
      <c r="D29" s="397">
        <f>'descarga app P&amp;S'!L20/1000</f>
        <v>0</v>
      </c>
      <c r="E29" s="396">
        <f>'descarga app P&amp;S'!K20/1000</f>
        <v>2083.4243200000001</v>
      </c>
      <c r="F29" s="397">
        <f>'descarga app P&amp;S'!I20/1000</f>
        <v>118629.73376999999</v>
      </c>
      <c r="G29" s="411">
        <f>'descarga app P&amp;S'!E20/1000</f>
        <v>231.82400000000001</v>
      </c>
      <c r="H29" s="411">
        <f>'descarga app P&amp;S'!C20/1000</f>
        <v>7588.05681</v>
      </c>
      <c r="I29" s="529">
        <f>'descarga app P&amp;S'!F20/1000</f>
        <v>1991.11195</v>
      </c>
      <c r="J29" s="448">
        <f>'descarga app P&amp;S'!H20/1000</f>
        <v>13636.369970000002</v>
      </c>
      <c r="K29" s="396">
        <f>'descarga app P&amp;S'!M20/1000</f>
        <v>15556.848169999999</v>
      </c>
      <c r="L29" s="448">
        <f>'descarga app P&amp;S'!J20/1000</f>
        <v>1543.5482099999999</v>
      </c>
      <c r="M29" s="448">
        <f>'descarga app P&amp;S'!D20/1000</f>
        <v>0</v>
      </c>
      <c r="N29" s="396">
        <f>'descarga app P&amp;S'!B20/1000</f>
        <v>328.80134000000004</v>
      </c>
      <c r="Q29" s="356"/>
      <c r="R29" s="191"/>
      <c r="S29" s="191"/>
    </row>
    <row r="30" spans="1:19" ht="15.75" x14ac:dyDescent="0.3">
      <c r="A30" s="62" t="s">
        <v>194</v>
      </c>
      <c r="B30" s="394">
        <f t="shared" si="0"/>
        <v>127742.38788000002</v>
      </c>
      <c r="C30" s="394">
        <f>'descarga app P&amp;S'!G21/1000</f>
        <v>16566.402570000002</v>
      </c>
      <c r="D30" s="398">
        <f>'descarga app P&amp;S'!L21/1000</f>
        <v>0</v>
      </c>
      <c r="E30" s="394">
        <f>'descarga app P&amp;S'!K21/1000</f>
        <v>20028.546600000001</v>
      </c>
      <c r="F30" s="398">
        <f>'descarga app P&amp;S'!I21/1000</f>
        <v>24232.075969999998</v>
      </c>
      <c r="G30" s="412">
        <f>'descarga app P&amp;S'!E21/1000</f>
        <v>5414.8767600000001</v>
      </c>
      <c r="H30" s="412">
        <f>'descarga app P&amp;S'!C21/1000</f>
        <v>38188.063340000001</v>
      </c>
      <c r="I30" s="413">
        <f>'descarga app P&amp;S'!F21/1000</f>
        <v>1877.0930600000002</v>
      </c>
      <c r="J30" s="434">
        <f>'descarga app P&amp;S'!H21/1000</f>
        <v>0</v>
      </c>
      <c r="K30" s="394">
        <f>'descarga app P&amp;S'!M21/1000</f>
        <v>8393.1624499999998</v>
      </c>
      <c r="L30" s="434">
        <f>'descarga app P&amp;S'!J21/1000</f>
        <v>12110.942429999999</v>
      </c>
      <c r="M30" s="448">
        <f>'descarga app P&amp;S'!D21/1000</f>
        <v>0</v>
      </c>
      <c r="N30" s="394">
        <f>'descarga app P&amp;S'!B21/1000</f>
        <v>931.22469999999998</v>
      </c>
      <c r="Q30" s="356"/>
      <c r="R30" s="191"/>
      <c r="S30" s="191"/>
    </row>
    <row r="31" spans="1:19" ht="15.75" x14ac:dyDescent="0.3">
      <c r="A31" s="59" t="s">
        <v>195</v>
      </c>
      <c r="B31" s="396">
        <f t="shared" si="0"/>
        <v>198397.14296999999</v>
      </c>
      <c r="C31" s="396">
        <f>'descarga app P&amp;S'!G22/1000</f>
        <v>9194.6024900000011</v>
      </c>
      <c r="D31" s="397">
        <f>'descarga app P&amp;S'!L22/1000</f>
        <v>0</v>
      </c>
      <c r="E31" s="396">
        <f>'descarga app P&amp;S'!K22/1000</f>
        <v>8058.9422400000003</v>
      </c>
      <c r="F31" s="397">
        <f>'descarga app P&amp;S'!I22/1000</f>
        <v>112232.02034999999</v>
      </c>
      <c r="G31" s="411">
        <f>'descarga app P&amp;S'!E22/1000</f>
        <v>1778.2098700000001</v>
      </c>
      <c r="H31" s="411">
        <f>'descarga app P&amp;S'!C22/1000</f>
        <v>44810.523939999999</v>
      </c>
      <c r="I31" s="529">
        <f>'descarga app P&amp;S'!F22/1000</f>
        <v>2778.8034199999997</v>
      </c>
      <c r="J31" s="448">
        <f>'descarga app P&amp;S'!H22/1000</f>
        <v>3767.7072799999996</v>
      </c>
      <c r="K31" s="396">
        <f>'descarga app P&amp;S'!M22/1000</f>
        <v>6373.58637</v>
      </c>
      <c r="L31" s="448">
        <f>'descarga app P&amp;S'!J22/1000</f>
        <v>6944.78521</v>
      </c>
      <c r="M31" s="448">
        <f>'descarga app P&amp;S'!D22/1000</f>
        <v>0</v>
      </c>
      <c r="N31" s="396">
        <f>'descarga app P&amp;S'!B22/1000</f>
        <v>2457.9618</v>
      </c>
      <c r="Q31" s="356"/>
      <c r="R31" s="191"/>
      <c r="S31" s="191"/>
    </row>
    <row r="32" spans="1:19" ht="15.75" x14ac:dyDescent="0.3">
      <c r="A32" s="62" t="s">
        <v>196</v>
      </c>
      <c r="B32" s="394">
        <f t="shared" si="0"/>
        <v>2044.7784199999999</v>
      </c>
      <c r="C32" s="394">
        <f>'descarga app P&amp;S'!G23/1000</f>
        <v>0</v>
      </c>
      <c r="D32" s="398">
        <f>'descarga app P&amp;S'!L23/1000</f>
        <v>0</v>
      </c>
      <c r="E32" s="394">
        <f>'descarga app P&amp;S'!K23/1000</f>
        <v>0</v>
      </c>
      <c r="F32" s="398">
        <f>'descarga app P&amp;S'!I23/1000</f>
        <v>0</v>
      </c>
      <c r="G32" s="412">
        <f>'descarga app P&amp;S'!E23/1000</f>
        <v>0</v>
      </c>
      <c r="H32" s="412">
        <f>'descarga app P&amp;S'!C23/1000</f>
        <v>2044.7784199999999</v>
      </c>
      <c r="I32" s="413">
        <f>'descarga app P&amp;S'!F23/1000</f>
        <v>0</v>
      </c>
      <c r="J32" s="434">
        <f>'descarga app P&amp;S'!H23/1000</f>
        <v>0</v>
      </c>
      <c r="K32" s="394">
        <f>'descarga app P&amp;S'!M23/1000</f>
        <v>0</v>
      </c>
      <c r="L32" s="434">
        <f>'descarga app P&amp;S'!J23/1000</f>
        <v>0</v>
      </c>
      <c r="M32" s="448">
        <f>'descarga app P&amp;S'!D23/1000</f>
        <v>0</v>
      </c>
      <c r="N32" s="394">
        <f>'descarga app P&amp;S'!B23/1000</f>
        <v>0</v>
      </c>
      <c r="Q32" s="356"/>
      <c r="R32" s="191"/>
      <c r="S32" s="191"/>
    </row>
    <row r="33" spans="1:19" ht="15.75" x14ac:dyDescent="0.3">
      <c r="A33" s="59" t="s">
        <v>197</v>
      </c>
      <c r="B33" s="396">
        <f t="shared" si="0"/>
        <v>0</v>
      </c>
      <c r="C33" s="396">
        <f>'descarga app P&amp;S'!G24/1000</f>
        <v>0</v>
      </c>
      <c r="D33" s="397">
        <f>'descarga app P&amp;S'!L24/1000</f>
        <v>0</v>
      </c>
      <c r="E33" s="396">
        <f>'descarga app P&amp;S'!K24/1000</f>
        <v>0</v>
      </c>
      <c r="F33" s="397">
        <f>'descarga app P&amp;S'!I24/1000</f>
        <v>0</v>
      </c>
      <c r="G33" s="411">
        <f>'descarga app P&amp;S'!E24/1000</f>
        <v>0</v>
      </c>
      <c r="H33" s="411">
        <f>'descarga app P&amp;S'!C24/1000</f>
        <v>0</v>
      </c>
      <c r="I33" s="529">
        <f>'descarga app P&amp;S'!F24/1000</f>
        <v>0</v>
      </c>
      <c r="J33" s="448">
        <f>'descarga app P&amp;S'!H24/1000</f>
        <v>0</v>
      </c>
      <c r="K33" s="396">
        <f>'descarga app P&amp;S'!M24/1000</f>
        <v>0</v>
      </c>
      <c r="L33" s="448">
        <f>'descarga app P&amp;S'!J24/1000</f>
        <v>0</v>
      </c>
      <c r="M33" s="448">
        <f>'descarga app P&amp;S'!D24/1000</f>
        <v>0</v>
      </c>
      <c r="N33" s="396">
        <f>'descarga app P&amp;S'!B24/1000</f>
        <v>0</v>
      </c>
      <c r="Q33" s="356"/>
      <c r="R33" s="191"/>
      <c r="S33" s="191"/>
    </row>
    <row r="34" spans="1:19" ht="15.75" x14ac:dyDescent="0.3">
      <c r="A34" s="62" t="s">
        <v>198</v>
      </c>
      <c r="B34" s="394">
        <f t="shared" si="0"/>
        <v>25919.296060000001</v>
      </c>
      <c r="C34" s="394">
        <f>'descarga app P&amp;S'!G25/1000</f>
        <v>26.994409999999998</v>
      </c>
      <c r="D34" s="398">
        <f>'descarga app P&amp;S'!L25/1000</f>
        <v>0</v>
      </c>
      <c r="E34" s="394">
        <f>'descarga app P&amp;S'!K25/1000</f>
        <v>5934.0136199999997</v>
      </c>
      <c r="F34" s="398">
        <f>'descarga app P&amp;S'!I25/1000</f>
        <v>354.26994000000002</v>
      </c>
      <c r="G34" s="412">
        <f>'descarga app P&amp;S'!E25/1000</f>
        <v>1390.1367399999999</v>
      </c>
      <c r="H34" s="412">
        <f>'descarga app P&amp;S'!C25/1000</f>
        <v>939.15661</v>
      </c>
      <c r="I34" s="413">
        <f>'descarga app P&amp;S'!F25/1000</f>
        <v>161.22687999999999</v>
      </c>
      <c r="J34" s="434">
        <f>'descarga app P&amp;S'!H25/1000</f>
        <v>0</v>
      </c>
      <c r="K34" s="394">
        <f>'descarga app P&amp;S'!M25/1000</f>
        <v>4478.7835700000005</v>
      </c>
      <c r="L34" s="434">
        <f>'descarga app P&amp;S'!J25/1000</f>
        <v>40.255830000000003</v>
      </c>
      <c r="M34" s="448">
        <f>'descarga app P&amp;S'!D25/1000</f>
        <v>0</v>
      </c>
      <c r="N34" s="394">
        <f>'descarga app P&amp;S'!B25/1000</f>
        <v>12594.458460000002</v>
      </c>
      <c r="Q34" s="356"/>
      <c r="R34" s="191"/>
      <c r="S34" s="191"/>
    </row>
    <row r="35" spans="1:19" ht="15.75" x14ac:dyDescent="0.3">
      <c r="A35" s="59" t="s">
        <v>199</v>
      </c>
      <c r="B35" s="396">
        <f t="shared" si="0"/>
        <v>160750.54900999999</v>
      </c>
      <c r="C35" s="396">
        <f>'descarga app P&amp;S'!G26/1000</f>
        <v>1917.6828</v>
      </c>
      <c r="D35" s="397">
        <f>'descarga app P&amp;S'!L26/1000</f>
        <v>0</v>
      </c>
      <c r="E35" s="396">
        <f>'descarga app P&amp;S'!K26/1000</f>
        <v>26795.459199999998</v>
      </c>
      <c r="F35" s="397">
        <f>'descarga app P&amp;S'!I26/1000</f>
        <v>52904.584390000004</v>
      </c>
      <c r="G35" s="411">
        <f>'descarga app P&amp;S'!E26/1000</f>
        <v>48.271419999999999</v>
      </c>
      <c r="H35" s="411">
        <f>'descarga app P&amp;S'!C26/1000</f>
        <v>25997.533469999998</v>
      </c>
      <c r="I35" s="529">
        <f>'descarga app P&amp;S'!F26/1000</f>
        <v>12101.28602</v>
      </c>
      <c r="J35" s="448">
        <f>'descarga app P&amp;S'!H26/1000</f>
        <v>4168.6520799999998</v>
      </c>
      <c r="K35" s="396">
        <f>'descarga app P&amp;S'!M26/1000</f>
        <v>0</v>
      </c>
      <c r="L35" s="448">
        <f>'descarga app P&amp;S'!J26/1000</f>
        <v>3558.6439599999999</v>
      </c>
      <c r="M35" s="448">
        <f>'descarga app P&amp;S'!D26/1000</f>
        <v>0</v>
      </c>
      <c r="N35" s="396">
        <f>'descarga app P&amp;S'!B26/1000</f>
        <v>33258.435669999999</v>
      </c>
      <c r="Q35" s="356"/>
      <c r="R35" s="191"/>
      <c r="S35" s="191"/>
    </row>
    <row r="36" spans="1:19" ht="15.75" x14ac:dyDescent="0.3">
      <c r="A36" s="62" t="s">
        <v>200</v>
      </c>
      <c r="B36" s="394">
        <f t="shared" si="0"/>
        <v>0</v>
      </c>
      <c r="C36" s="394">
        <f>'descarga app P&amp;S'!G27/1000</f>
        <v>0</v>
      </c>
      <c r="D36" s="398">
        <f>'descarga app P&amp;S'!L27/1000</f>
        <v>0</v>
      </c>
      <c r="E36" s="394">
        <f>'descarga app P&amp;S'!K27/1000</f>
        <v>0</v>
      </c>
      <c r="F36" s="398">
        <f>'descarga app P&amp;S'!I27/1000</f>
        <v>0</v>
      </c>
      <c r="G36" s="412">
        <f>'descarga app P&amp;S'!E27/1000</f>
        <v>0</v>
      </c>
      <c r="H36" s="412">
        <f>'descarga app P&amp;S'!C27/1000</f>
        <v>0</v>
      </c>
      <c r="I36" s="413">
        <f>'descarga app P&amp;S'!F27/1000</f>
        <v>0</v>
      </c>
      <c r="J36" s="434">
        <f>'descarga app P&amp;S'!H27/1000</f>
        <v>0</v>
      </c>
      <c r="K36" s="394">
        <f>'descarga app P&amp;S'!M27/1000</f>
        <v>0</v>
      </c>
      <c r="L36" s="434">
        <f>'descarga app P&amp;S'!J27/1000</f>
        <v>0</v>
      </c>
      <c r="M36" s="448">
        <f>'descarga app P&amp;S'!D27/1000</f>
        <v>0</v>
      </c>
      <c r="N36" s="394">
        <f>'descarga app P&amp;S'!B27/1000</f>
        <v>0</v>
      </c>
      <c r="Q36" s="356"/>
      <c r="R36" s="191"/>
      <c r="S36" s="191"/>
    </row>
    <row r="37" spans="1:19" ht="15.75" x14ac:dyDescent="0.3">
      <c r="A37" s="59" t="s">
        <v>201</v>
      </c>
      <c r="B37" s="396">
        <f t="shared" si="0"/>
        <v>272019.89896999998</v>
      </c>
      <c r="C37" s="396">
        <f>'descarga app P&amp;S'!G28/1000</f>
        <v>4328.52801</v>
      </c>
      <c r="D37" s="397">
        <f>'descarga app P&amp;S'!L28/1000</f>
        <v>0</v>
      </c>
      <c r="E37" s="396">
        <f>'descarga app P&amp;S'!K28/1000</f>
        <v>14047.734570000001</v>
      </c>
      <c r="F37" s="397">
        <f>'descarga app P&amp;S'!I28/1000</f>
        <v>58531.036610000003</v>
      </c>
      <c r="G37" s="411">
        <f>'descarga app P&amp;S'!E28/1000</f>
        <v>7018.8283099999999</v>
      </c>
      <c r="H37" s="411">
        <f>'descarga app P&amp;S'!C28/1000</f>
        <v>22310.965350000002</v>
      </c>
      <c r="I37" s="529">
        <f>'descarga app P&amp;S'!F28/1000</f>
        <v>8364.7038400000001</v>
      </c>
      <c r="J37" s="448">
        <f>'descarga app P&amp;S'!H28/1000</f>
        <v>0</v>
      </c>
      <c r="K37" s="396">
        <f>'descarga app P&amp;S'!M28/1000</f>
        <v>15556.10722</v>
      </c>
      <c r="L37" s="448">
        <f>'descarga app P&amp;S'!J28/1000</f>
        <v>8791.9309000000012</v>
      </c>
      <c r="M37" s="448">
        <f>'descarga app P&amp;S'!D28/1000</f>
        <v>0</v>
      </c>
      <c r="N37" s="396">
        <f>'descarga app P&amp;S'!B28/1000</f>
        <v>133070.06416000001</v>
      </c>
      <c r="Q37" s="356"/>
      <c r="R37" s="191"/>
      <c r="S37" s="191"/>
    </row>
    <row r="38" spans="1:19" ht="15.75" x14ac:dyDescent="0.3">
      <c r="A38" s="62" t="s">
        <v>202</v>
      </c>
      <c r="B38" s="394">
        <f t="shared" si="0"/>
        <v>8715.5334199999998</v>
      </c>
      <c r="C38" s="394">
        <f>'descarga app P&amp;S'!G29/1000</f>
        <v>0</v>
      </c>
      <c r="D38" s="398">
        <f>'descarga app P&amp;S'!L29/1000</f>
        <v>0</v>
      </c>
      <c r="E38" s="394">
        <f>'descarga app P&amp;S'!K29/1000</f>
        <v>0</v>
      </c>
      <c r="F38" s="398">
        <f>'descarga app P&amp;S'!I29/1000</f>
        <v>0</v>
      </c>
      <c r="G38" s="412">
        <f>'descarga app P&amp;S'!E29/1000</f>
        <v>140.54795000000001</v>
      </c>
      <c r="H38" s="412">
        <f>'descarga app P&amp;S'!C29/1000</f>
        <v>7253.08619</v>
      </c>
      <c r="I38" s="413">
        <f>'descarga app P&amp;S'!F29/1000</f>
        <v>127.15013</v>
      </c>
      <c r="J38" s="434">
        <f>'descarga app P&amp;S'!H29/1000</f>
        <v>0</v>
      </c>
      <c r="K38" s="394">
        <f>'descarga app P&amp;S'!M29/1000</f>
        <v>1194.7491499999999</v>
      </c>
      <c r="L38" s="434">
        <f>'descarga app P&amp;S'!J29/1000</f>
        <v>0</v>
      </c>
      <c r="M38" s="448">
        <f>'descarga app P&amp;S'!D29/1000</f>
        <v>0</v>
      </c>
      <c r="N38" s="394">
        <f>'descarga app P&amp;S'!B29/1000</f>
        <v>0</v>
      </c>
      <c r="Q38" s="356"/>
      <c r="R38" s="191"/>
      <c r="S38" s="191"/>
    </row>
    <row r="39" spans="1:19" ht="15.75" x14ac:dyDescent="0.3">
      <c r="A39" s="59" t="s">
        <v>203</v>
      </c>
      <c r="B39" s="396">
        <f t="shared" si="0"/>
        <v>132673.87118000002</v>
      </c>
      <c r="C39" s="396">
        <f>'descarga app P&amp;S'!G30/1000</f>
        <v>21221.287840000001</v>
      </c>
      <c r="D39" s="397">
        <f>'descarga app P&amp;S'!L30/1000</f>
        <v>0</v>
      </c>
      <c r="E39" s="396">
        <f>'descarga app P&amp;S'!K30/1000</f>
        <v>10863.798199999999</v>
      </c>
      <c r="F39" s="397">
        <f>'descarga app P&amp;S'!I30/1000</f>
        <v>85435.658120000007</v>
      </c>
      <c r="G39" s="411">
        <f>'descarga app P&amp;S'!E30/1000</f>
        <v>300.46433000000002</v>
      </c>
      <c r="H39" s="411">
        <f>'descarga app P&amp;S'!C30/1000</f>
        <v>1367.3168000000001</v>
      </c>
      <c r="I39" s="529">
        <f>'descarga app P&amp;S'!F30/1000</f>
        <v>72.564999999999998</v>
      </c>
      <c r="J39" s="448">
        <f>'descarga app P&amp;S'!H30/1000</f>
        <v>0</v>
      </c>
      <c r="K39" s="396">
        <f>'descarga app P&amp;S'!M30/1000</f>
        <v>934.72178000000008</v>
      </c>
      <c r="L39" s="448">
        <f>'descarga app P&amp;S'!J30/1000</f>
        <v>61.752499999999998</v>
      </c>
      <c r="M39" s="448">
        <f>'descarga app P&amp;S'!D30/1000</f>
        <v>10721.12</v>
      </c>
      <c r="N39" s="396">
        <f>'descarga app P&amp;S'!B30/1000</f>
        <v>1695.1866100000002</v>
      </c>
      <c r="Q39" s="356"/>
      <c r="R39" s="191"/>
      <c r="S39" s="191"/>
    </row>
    <row r="40" spans="1:19" ht="15.75" x14ac:dyDescent="0.3">
      <c r="A40" s="62" t="s">
        <v>204</v>
      </c>
      <c r="B40" s="394">
        <f t="shared" si="0"/>
        <v>154.91132999999999</v>
      </c>
      <c r="C40" s="394">
        <f>'descarga app P&amp;S'!G31/1000</f>
        <v>0</v>
      </c>
      <c r="D40" s="398">
        <f>'descarga app P&amp;S'!L31/1000</f>
        <v>0</v>
      </c>
      <c r="E40" s="394">
        <f>'descarga app P&amp;S'!K31/1000</f>
        <v>0</v>
      </c>
      <c r="F40" s="398">
        <f>'descarga app P&amp;S'!I31/1000</f>
        <v>0</v>
      </c>
      <c r="G40" s="412">
        <f>'descarga app P&amp;S'!E31/1000</f>
        <v>0</v>
      </c>
      <c r="H40" s="412">
        <f>'descarga app P&amp;S'!C31/1000</f>
        <v>150.44662</v>
      </c>
      <c r="I40" s="413">
        <f>'descarga app P&amp;S'!F31/1000</f>
        <v>0</v>
      </c>
      <c r="J40" s="434">
        <f>'descarga app P&amp;S'!H31/1000</f>
        <v>0</v>
      </c>
      <c r="K40" s="394">
        <f>'descarga app P&amp;S'!M31/1000</f>
        <v>0</v>
      </c>
      <c r="L40" s="434">
        <f>'descarga app P&amp;S'!J31/1000</f>
        <v>0</v>
      </c>
      <c r="M40" s="448">
        <f>'descarga app P&amp;S'!D31/1000</f>
        <v>0</v>
      </c>
      <c r="N40" s="394">
        <f>'descarga app P&amp;S'!B31/1000</f>
        <v>4.4647100000000002</v>
      </c>
      <c r="Q40" s="356"/>
      <c r="R40" s="191"/>
      <c r="S40" s="191"/>
    </row>
    <row r="41" spans="1:19" ht="15.75" x14ac:dyDescent="0.3">
      <c r="A41" s="59" t="s">
        <v>205</v>
      </c>
      <c r="B41" s="396">
        <f t="shared" si="0"/>
        <v>220210.93117</v>
      </c>
      <c r="C41" s="396">
        <f>'descarga app P&amp;S'!G32/1000</f>
        <v>100.41952999999999</v>
      </c>
      <c r="D41" s="397">
        <f>'descarga app P&amp;S'!L32/1000</f>
        <v>0</v>
      </c>
      <c r="E41" s="396">
        <f>'descarga app P&amp;S'!K32/1000</f>
        <v>2868.2948199999996</v>
      </c>
      <c r="F41" s="397">
        <f>'descarga app P&amp;S'!I32/1000</f>
        <v>79723.815849999999</v>
      </c>
      <c r="G41" s="411">
        <f>'descarga app P&amp;S'!E32/1000</f>
        <v>2801.7260799999999</v>
      </c>
      <c r="H41" s="411">
        <f>'descarga app P&amp;S'!C32/1000</f>
        <v>62392.080580000002</v>
      </c>
      <c r="I41" s="529">
        <f>'descarga app P&amp;S'!F32/1000</f>
        <v>425.46128999999996</v>
      </c>
      <c r="J41" s="448">
        <f>'descarga app P&amp;S'!H32/1000</f>
        <v>2657.5305099999996</v>
      </c>
      <c r="K41" s="396">
        <f>'descarga app P&amp;S'!M32/1000</f>
        <v>68501.255359999996</v>
      </c>
      <c r="L41" s="448">
        <f>'descarga app P&amp;S'!J32/1000</f>
        <v>657.44772</v>
      </c>
      <c r="M41" s="448">
        <f>'descarga app P&amp;S'!D32/1000</f>
        <v>0</v>
      </c>
      <c r="N41" s="396">
        <f>'descarga app P&amp;S'!B32/1000</f>
        <v>82.899429999999995</v>
      </c>
      <c r="Q41" s="356"/>
      <c r="R41" s="191"/>
      <c r="S41" s="191"/>
    </row>
    <row r="42" spans="1:19" ht="15.75" x14ac:dyDescent="0.3">
      <c r="A42" s="62" t="s">
        <v>206</v>
      </c>
      <c r="B42" s="394">
        <f t="shared" si="0"/>
        <v>4616.12255</v>
      </c>
      <c r="C42" s="394">
        <f>'descarga app P&amp;S'!G33/1000</f>
        <v>0</v>
      </c>
      <c r="D42" s="398">
        <f>'descarga app P&amp;S'!L33/1000</f>
        <v>0</v>
      </c>
      <c r="E42" s="394">
        <f>'descarga app P&amp;S'!K33/1000</f>
        <v>0</v>
      </c>
      <c r="F42" s="398">
        <f>'descarga app P&amp;S'!I33/1000</f>
        <v>0</v>
      </c>
      <c r="G42" s="412">
        <f>'descarga app P&amp;S'!E33/1000</f>
        <v>0</v>
      </c>
      <c r="H42" s="412">
        <f>'descarga app P&amp;S'!C33/1000</f>
        <v>389.29151000000002</v>
      </c>
      <c r="I42" s="413">
        <f>'descarga app P&amp;S'!F33/1000</f>
        <v>0</v>
      </c>
      <c r="J42" s="434">
        <f>'descarga app P&amp;S'!H33/1000</f>
        <v>0</v>
      </c>
      <c r="K42" s="394">
        <f>'descarga app P&amp;S'!M33/1000</f>
        <v>4226.83104</v>
      </c>
      <c r="L42" s="434">
        <f>'descarga app P&amp;S'!J33/1000</f>
        <v>0</v>
      </c>
      <c r="M42" s="448">
        <f>'descarga app P&amp;S'!D33/1000</f>
        <v>0</v>
      </c>
      <c r="N42" s="394">
        <f>'descarga app P&amp;S'!B33/1000</f>
        <v>0</v>
      </c>
      <c r="Q42" s="356"/>
      <c r="R42" s="191"/>
      <c r="S42" s="191"/>
    </row>
    <row r="43" spans="1:19" ht="15.75" x14ac:dyDescent="0.3">
      <c r="A43" s="59" t="s">
        <v>207</v>
      </c>
      <c r="B43" s="396">
        <f t="shared" si="0"/>
        <v>57644.488639999996</v>
      </c>
      <c r="C43" s="396">
        <f>'descarga app P&amp;S'!G34/1000</f>
        <v>0</v>
      </c>
      <c r="D43" s="397">
        <f>'descarga app P&amp;S'!L34/1000</f>
        <v>0</v>
      </c>
      <c r="E43" s="396">
        <f>'descarga app P&amp;S'!K34/1000</f>
        <v>0</v>
      </c>
      <c r="F43" s="397">
        <f>'descarga app P&amp;S'!I34/1000</f>
        <v>0</v>
      </c>
      <c r="G43" s="411">
        <f>'descarga app P&amp;S'!E34/1000</f>
        <v>116.19072</v>
      </c>
      <c r="H43" s="411">
        <f>'descarga app P&amp;S'!C34/1000</f>
        <v>2386.2430199999999</v>
      </c>
      <c r="I43" s="529">
        <f>'descarga app P&amp;S'!F34/1000</f>
        <v>0</v>
      </c>
      <c r="J43" s="448">
        <f>'descarga app P&amp;S'!H34/1000</f>
        <v>0</v>
      </c>
      <c r="K43" s="396">
        <f>'descarga app P&amp;S'!M34/1000</f>
        <v>17882.096719999998</v>
      </c>
      <c r="L43" s="448">
        <f>'descarga app P&amp;S'!J34/1000</f>
        <v>0</v>
      </c>
      <c r="M43" s="448">
        <f>'descarga app P&amp;S'!D34/1000</f>
        <v>0</v>
      </c>
      <c r="N43" s="396">
        <f>'descarga app P&amp;S'!B34/1000</f>
        <v>37259.958180000001</v>
      </c>
      <c r="R43" s="191"/>
      <c r="S43" s="191"/>
    </row>
    <row r="44" spans="1:19" ht="15.75" x14ac:dyDescent="0.3">
      <c r="A44" s="62" t="s">
        <v>208</v>
      </c>
      <c r="B44" s="394">
        <f t="shared" si="0"/>
        <v>244113.16463000001</v>
      </c>
      <c r="C44" s="394">
        <f>'descarga app P&amp;S'!G35/1000</f>
        <v>27801.913109999998</v>
      </c>
      <c r="D44" s="398">
        <f>'descarga app P&amp;S'!L35/1000</f>
        <v>0</v>
      </c>
      <c r="E44" s="394">
        <f>'descarga app P&amp;S'!K35/1000</f>
        <v>45083.455090000003</v>
      </c>
      <c r="F44" s="398">
        <f>'descarga app P&amp;S'!I35/1000</f>
        <v>78403.282290000003</v>
      </c>
      <c r="G44" s="412">
        <f>'descarga app P&amp;S'!E35/1000</f>
        <v>5641.3674199999996</v>
      </c>
      <c r="H44" s="412">
        <f>'descarga app P&amp;S'!C35/1000</f>
        <v>33693.142500000002</v>
      </c>
      <c r="I44" s="413">
        <f>'descarga app P&amp;S'!F35/1000</f>
        <v>9392.5085299999992</v>
      </c>
      <c r="J44" s="434">
        <f>'descarga app P&amp;S'!H35/1000</f>
        <v>471.24964</v>
      </c>
      <c r="K44" s="394">
        <f>'descarga app P&amp;S'!M35/1000</f>
        <v>29316.085640000001</v>
      </c>
      <c r="L44" s="434">
        <f>'descarga app P&amp;S'!J35/1000</f>
        <v>2166.0948100000001</v>
      </c>
      <c r="M44" s="448">
        <f>'descarga app P&amp;S'!D35/1000</f>
        <v>0</v>
      </c>
      <c r="N44" s="394">
        <f>'descarga app P&amp;S'!B35/1000</f>
        <v>12144.0656</v>
      </c>
      <c r="R44" s="191"/>
      <c r="S44" s="191"/>
    </row>
    <row r="45" spans="1:19" ht="15.75" x14ac:dyDescent="0.3">
      <c r="A45" s="58"/>
      <c r="B45" s="396"/>
      <c r="C45" s="396"/>
      <c r="D45" s="397"/>
      <c r="E45" s="396"/>
      <c r="F45" s="397"/>
      <c r="G45" s="411"/>
      <c r="H45" s="411"/>
      <c r="I45" s="529"/>
      <c r="J45" s="448"/>
      <c r="K45" s="396"/>
      <c r="L45" s="448"/>
      <c r="M45" s="575"/>
      <c r="N45" s="396"/>
      <c r="R45" s="191"/>
      <c r="S45" s="191"/>
    </row>
    <row r="46" spans="1:19" x14ac:dyDescent="0.25">
      <c r="A46" s="57" t="s">
        <v>209</v>
      </c>
      <c r="B46" s="390">
        <v>0</v>
      </c>
      <c r="C46" s="390">
        <v>0</v>
      </c>
      <c r="D46" s="390">
        <v>0</v>
      </c>
      <c r="E46" s="390">
        <v>0</v>
      </c>
      <c r="F46" s="390">
        <v>0</v>
      </c>
      <c r="G46" s="390">
        <v>0</v>
      </c>
      <c r="H46" s="390">
        <v>0</v>
      </c>
      <c r="I46" s="447">
        <v>0</v>
      </c>
      <c r="J46" s="447">
        <v>0</v>
      </c>
      <c r="K46" s="390">
        <v>0</v>
      </c>
      <c r="L46" s="447">
        <v>0</v>
      </c>
      <c r="M46" s="447">
        <v>0</v>
      </c>
      <c r="N46" s="390">
        <v>0</v>
      </c>
      <c r="R46" s="191"/>
      <c r="S46" s="191"/>
    </row>
    <row r="47" spans="1:19" ht="15.75" x14ac:dyDescent="0.3">
      <c r="A47" s="59" t="s">
        <v>210</v>
      </c>
      <c r="B47" s="396">
        <v>0</v>
      </c>
      <c r="C47" s="396">
        <v>0</v>
      </c>
      <c r="D47" s="396">
        <v>0</v>
      </c>
      <c r="E47" s="396">
        <v>0</v>
      </c>
      <c r="F47" s="396">
        <v>0</v>
      </c>
      <c r="G47" s="396">
        <v>0</v>
      </c>
      <c r="H47" s="396">
        <v>0</v>
      </c>
      <c r="I47" s="448">
        <v>0</v>
      </c>
      <c r="J47" s="448">
        <v>0</v>
      </c>
      <c r="K47" s="396">
        <v>0</v>
      </c>
      <c r="L47" s="448">
        <v>0</v>
      </c>
      <c r="M47" s="575">
        <v>0</v>
      </c>
      <c r="N47" s="396">
        <v>0</v>
      </c>
      <c r="R47" s="191"/>
      <c r="S47" s="191"/>
    </row>
    <row r="48" spans="1:19" ht="15.75" x14ac:dyDescent="0.3">
      <c r="A48" s="62" t="s">
        <v>211</v>
      </c>
      <c r="B48" s="394">
        <v>0</v>
      </c>
      <c r="C48" s="394">
        <v>0</v>
      </c>
      <c r="D48" s="394">
        <v>0</v>
      </c>
      <c r="E48" s="394">
        <v>0</v>
      </c>
      <c r="F48" s="394">
        <v>0</v>
      </c>
      <c r="G48" s="394">
        <v>0</v>
      </c>
      <c r="H48" s="394">
        <v>0</v>
      </c>
      <c r="I48" s="434">
        <v>0</v>
      </c>
      <c r="J48" s="434">
        <v>0</v>
      </c>
      <c r="K48" s="394">
        <v>0</v>
      </c>
      <c r="L48" s="434">
        <v>0</v>
      </c>
      <c r="M48" s="575">
        <v>0</v>
      </c>
      <c r="N48" s="394">
        <v>0</v>
      </c>
      <c r="R48" s="191"/>
      <c r="S48" s="191"/>
    </row>
    <row r="49" spans="1:19" ht="15.75" x14ac:dyDescent="0.3">
      <c r="A49" s="59" t="s">
        <v>212</v>
      </c>
      <c r="B49" s="396">
        <v>0</v>
      </c>
      <c r="C49" s="396">
        <v>0</v>
      </c>
      <c r="D49" s="396">
        <v>0</v>
      </c>
      <c r="E49" s="396">
        <v>0</v>
      </c>
      <c r="F49" s="396">
        <v>0</v>
      </c>
      <c r="G49" s="396">
        <v>0</v>
      </c>
      <c r="H49" s="396">
        <v>0</v>
      </c>
      <c r="I49" s="448">
        <v>0</v>
      </c>
      <c r="J49" s="448">
        <v>0</v>
      </c>
      <c r="K49" s="396">
        <v>0</v>
      </c>
      <c r="L49" s="448">
        <v>0</v>
      </c>
      <c r="M49" s="575">
        <v>0</v>
      </c>
      <c r="N49" s="396">
        <v>0</v>
      </c>
      <c r="R49" s="191"/>
      <c r="S49" s="191"/>
    </row>
    <row r="50" spans="1:19" ht="15.75" x14ac:dyDescent="0.3">
      <c r="A50" s="63"/>
      <c r="B50" s="394"/>
      <c r="C50" s="394"/>
      <c r="D50" s="398"/>
      <c r="E50" s="394"/>
      <c r="F50" s="398"/>
      <c r="G50" s="412"/>
      <c r="H50" s="412"/>
      <c r="I50" s="413"/>
      <c r="J50" s="434"/>
      <c r="K50" s="394"/>
      <c r="L50" s="434"/>
      <c r="M50" s="575"/>
      <c r="N50" s="394"/>
      <c r="R50" s="191"/>
      <c r="S50" s="191"/>
    </row>
    <row r="51" spans="1:19" x14ac:dyDescent="0.25">
      <c r="A51" s="64" t="s">
        <v>213</v>
      </c>
      <c r="B51" s="400">
        <f>SUM(C51:N51)</f>
        <v>6900968.8181999996</v>
      </c>
      <c r="C51" s="400">
        <f>'descarga app P&amp;S'!G36/1000</f>
        <v>739873.58151000005</v>
      </c>
      <c r="D51" s="401">
        <f>'descarga app P&amp;S'!L36/1000</f>
        <v>736638.8198099999</v>
      </c>
      <c r="E51" s="400">
        <f>'descarga app P&amp;S'!K36/1000</f>
        <v>1465588.0285399999</v>
      </c>
      <c r="F51" s="401">
        <f>'descarga app P&amp;S'!I36/1000</f>
        <v>1300251.3024500001</v>
      </c>
      <c r="G51" s="414">
        <f>'descarga app P&amp;S'!E36/1000</f>
        <v>89651.50009999999</v>
      </c>
      <c r="H51" s="414">
        <f>'descarga app P&amp;S'!C36/1000</f>
        <v>770533.16666999995</v>
      </c>
      <c r="I51" s="445">
        <f>'descarga app P&amp;S'!F36/1000</f>
        <v>408600.57936999999</v>
      </c>
      <c r="J51" s="531">
        <f>'descarga app P&amp;S'!H36/1000</f>
        <v>401654.66781999997</v>
      </c>
      <c r="K51" s="400">
        <f>'descarga app P&amp;S'!M36/1000</f>
        <v>321799.38997000002</v>
      </c>
      <c r="L51" s="531">
        <f>'descarga app P&amp;S'!J36/1000</f>
        <v>192844.63900999998</v>
      </c>
      <c r="M51" s="531">
        <f>'descarga app P&amp;S'!D36/1000</f>
        <v>316460.12924000004</v>
      </c>
      <c r="N51" s="400">
        <f>'descarga app P&amp;S'!B36/1000</f>
        <v>157073.01371</v>
      </c>
      <c r="Q51" s="356"/>
      <c r="R51" s="191"/>
      <c r="S51" s="191"/>
    </row>
    <row r="52" spans="1:19" ht="15.75" x14ac:dyDescent="0.3">
      <c r="A52" s="62" t="s">
        <v>214</v>
      </c>
      <c r="B52" s="394">
        <f>SUM(C52:N52)</f>
        <v>13685.139279999999</v>
      </c>
      <c r="C52" s="394">
        <f>'descarga app P&amp;S'!G37/1000</f>
        <v>0</v>
      </c>
      <c r="D52" s="398">
        <f>'descarga app P&amp;S'!L37/1000</f>
        <v>0</v>
      </c>
      <c r="E52" s="394">
        <f>'descarga app P&amp;S'!K37/1000</f>
        <v>0</v>
      </c>
      <c r="F52" s="398">
        <f>'descarga app P&amp;S'!I37/1000</f>
        <v>0</v>
      </c>
      <c r="G52" s="412">
        <f>'descarga app P&amp;S'!E37/1000</f>
        <v>0</v>
      </c>
      <c r="H52" s="412">
        <f>'descarga app P&amp;S'!C37/1000</f>
        <v>0</v>
      </c>
      <c r="I52" s="413">
        <f>'descarga app P&amp;S'!F37/1000</f>
        <v>0</v>
      </c>
      <c r="J52" s="434">
        <f>'descarga app P&amp;S'!H37/1000</f>
        <v>13685.139279999999</v>
      </c>
      <c r="K52" s="394">
        <f>'descarga app P&amp;S'!M37/1000</f>
        <v>0</v>
      </c>
      <c r="L52" s="434">
        <f>'descarga app P&amp;S'!J37/1000</f>
        <v>0</v>
      </c>
      <c r="M52" s="434">
        <f>'descarga app P&amp;S'!D37/1000</f>
        <v>0</v>
      </c>
      <c r="N52" s="394">
        <f>'descarga app P&amp;S'!B37/1000</f>
        <v>0</v>
      </c>
      <c r="Q52" s="356"/>
      <c r="R52" s="191"/>
      <c r="S52" s="191"/>
    </row>
    <row r="53" spans="1:19" ht="15.75" x14ac:dyDescent="0.3">
      <c r="A53" s="59" t="s">
        <v>215</v>
      </c>
      <c r="B53" s="396">
        <f>SUM(C53:N53)</f>
        <v>0</v>
      </c>
      <c r="C53" s="396">
        <f>'descarga app P&amp;S'!G38/1000</f>
        <v>0</v>
      </c>
      <c r="D53" s="397">
        <f>'descarga app P&amp;S'!L38/1000</f>
        <v>0</v>
      </c>
      <c r="E53" s="396">
        <f>'descarga app P&amp;S'!K38/1000</f>
        <v>0</v>
      </c>
      <c r="F53" s="397">
        <f>'descarga app P&amp;S'!I38/1000</f>
        <v>0</v>
      </c>
      <c r="G53" s="411">
        <f>'descarga app P&amp;S'!E38/1000</f>
        <v>0</v>
      </c>
      <c r="H53" s="411">
        <f>'descarga app P&amp;S'!C38/1000</f>
        <v>0</v>
      </c>
      <c r="I53" s="529">
        <f>'descarga app P&amp;S'!F38/1000</f>
        <v>0</v>
      </c>
      <c r="J53" s="448">
        <f>'descarga app P&amp;S'!H38/1000</f>
        <v>0</v>
      </c>
      <c r="K53" s="396">
        <f>'descarga app P&amp;S'!M38/1000</f>
        <v>0</v>
      </c>
      <c r="L53" s="448">
        <f>'descarga app P&amp;S'!J38/1000</f>
        <v>0</v>
      </c>
      <c r="M53" s="448">
        <f>'descarga app P&amp;S'!D38/1000</f>
        <v>0</v>
      </c>
      <c r="N53" s="396">
        <f>'descarga app P&amp;S'!B38/1000</f>
        <v>0</v>
      </c>
      <c r="Q53" s="356"/>
      <c r="R53" s="191"/>
      <c r="S53" s="191"/>
    </row>
    <row r="54" spans="1:19" ht="15.75" x14ac:dyDescent="0.3">
      <c r="A54" s="59" t="s">
        <v>13</v>
      </c>
      <c r="B54" s="396">
        <f>SUM(C54:N54)</f>
        <v>5929759.8120399993</v>
      </c>
      <c r="C54" s="396">
        <f>'descarga app P&amp;S'!G39/1000</f>
        <v>428327.18338</v>
      </c>
      <c r="D54" s="397">
        <f>'descarga app P&amp;S'!L39/1000</f>
        <v>357232.75567000004</v>
      </c>
      <c r="E54" s="396">
        <f>'descarga app P&amp;S'!K39/1000</f>
        <v>1424006.61892</v>
      </c>
      <c r="F54" s="397">
        <f>'descarga app P&amp;S'!I39/1000</f>
        <v>1202477.46401</v>
      </c>
      <c r="G54" s="411">
        <f>'descarga app P&amp;S'!E39/1000</f>
        <v>22380.679800000002</v>
      </c>
      <c r="H54" s="411">
        <f>'descarga app P&amp;S'!C39/1000</f>
        <v>753189.32227</v>
      </c>
      <c r="I54" s="529">
        <f>'descarga app P&amp;S'!F39/1000</f>
        <v>405567.14752999996</v>
      </c>
      <c r="J54" s="448">
        <f>'descarga app P&amp;S'!H39/1000</f>
        <v>387969.52854000003</v>
      </c>
      <c r="K54" s="396">
        <f>'descarga app P&amp;S'!M39/1000</f>
        <v>301736.08182999998</v>
      </c>
      <c r="L54" s="448">
        <f>'descarga app P&amp;S'!J39/1000</f>
        <v>175564.64191000001</v>
      </c>
      <c r="M54" s="448">
        <f>'descarga app P&amp;S'!D39/1000</f>
        <v>314235.37447000004</v>
      </c>
      <c r="N54" s="396">
        <f>'descarga app P&amp;S'!B39/1000</f>
        <v>157073.01371</v>
      </c>
      <c r="Q54" s="356"/>
      <c r="R54" s="191"/>
      <c r="S54" s="191"/>
    </row>
    <row r="55" spans="1:19" ht="15.75" x14ac:dyDescent="0.3">
      <c r="A55" s="59" t="s">
        <v>12</v>
      </c>
      <c r="B55" s="396">
        <f>SUM(C55:N55)</f>
        <v>957523.86687999999</v>
      </c>
      <c r="C55" s="396">
        <f>'descarga app P&amp;S'!G40/1000</f>
        <v>311546.39812999999</v>
      </c>
      <c r="D55" s="397">
        <f>'descarga app P&amp;S'!L40/1000</f>
        <v>379406.06413999997</v>
      </c>
      <c r="E55" s="396">
        <f>'descarga app P&amp;S'!K40/1000</f>
        <v>41581.409619999999</v>
      </c>
      <c r="F55" s="397">
        <f>'descarga app P&amp;S'!I40/1000</f>
        <v>97773.838439999992</v>
      </c>
      <c r="G55" s="411">
        <f>'descarga app P&amp;S'!E40/1000</f>
        <v>67270.820299999992</v>
      </c>
      <c r="H55" s="411">
        <f>'descarga app P&amp;S'!C40/1000</f>
        <v>17343.844399999998</v>
      </c>
      <c r="I55" s="529">
        <f>'descarga app P&amp;S'!F40/1000</f>
        <v>3033.4318399999997</v>
      </c>
      <c r="J55" s="448">
        <f>'descarga app P&amp;S'!H40/1000</f>
        <v>0</v>
      </c>
      <c r="K55" s="396">
        <f>'descarga app P&amp;S'!M40/1000</f>
        <v>20063.308140000001</v>
      </c>
      <c r="L55" s="448">
        <f>'descarga app P&amp;S'!J40/1000</f>
        <v>17279.997099999997</v>
      </c>
      <c r="M55" s="448">
        <f>'descarga app P&amp;S'!D40/1000</f>
        <v>2224.75477</v>
      </c>
      <c r="N55" s="396">
        <f>'descarga app P&amp;S'!B40/1000</f>
        <v>0</v>
      </c>
      <c r="Q55" s="356"/>
      <c r="R55" s="191"/>
      <c r="S55" s="191"/>
    </row>
    <row r="56" spans="1:19" ht="15.75" x14ac:dyDescent="0.3">
      <c r="A56" s="63"/>
      <c r="B56" s="394"/>
      <c r="C56" s="394"/>
      <c r="D56" s="398"/>
      <c r="E56" s="394"/>
      <c r="F56" s="398"/>
      <c r="G56" s="412"/>
      <c r="H56" s="412"/>
      <c r="I56" s="413"/>
      <c r="J56" s="434"/>
      <c r="K56" s="394"/>
      <c r="L56" s="434"/>
      <c r="M56" s="575"/>
      <c r="N56" s="394"/>
      <c r="R56" s="191"/>
      <c r="S56" s="191"/>
    </row>
    <row r="57" spans="1:19" x14ac:dyDescent="0.25">
      <c r="A57" s="64" t="s">
        <v>17</v>
      </c>
      <c r="B57" s="400">
        <f>SUM(C57:N57)</f>
        <v>7125184.0115900002</v>
      </c>
      <c r="C57" s="400">
        <f>'descarga app P&amp;S'!G41/1000</f>
        <v>677531.25452999992</v>
      </c>
      <c r="D57" s="401">
        <f>'descarga app P&amp;S'!L41/1000</f>
        <v>0</v>
      </c>
      <c r="E57" s="400">
        <f>'descarga app P&amp;S'!K41/1000</f>
        <v>841755.21516000002</v>
      </c>
      <c r="F57" s="401">
        <f>'descarga app P&amp;S'!I41/1000</f>
        <v>1836845.74373</v>
      </c>
      <c r="G57" s="414">
        <f>'descarga app P&amp;S'!E41/1000</f>
        <v>397333.16755000001</v>
      </c>
      <c r="H57" s="414">
        <f>'descarga app P&amp;S'!C41/1000</f>
        <v>1159146.2204</v>
      </c>
      <c r="I57" s="445">
        <f>'descarga app P&amp;S'!F41/1000</f>
        <v>546155.25121000002</v>
      </c>
      <c r="J57" s="531">
        <f>'descarga app P&amp;S'!H41/1000</f>
        <v>101136.67639000001</v>
      </c>
      <c r="K57" s="400">
        <f>'descarga app P&amp;S'!M41/1000</f>
        <v>678935.62410000002</v>
      </c>
      <c r="L57" s="531">
        <f>'descarga app P&amp;S'!J41/1000</f>
        <v>248106.08843</v>
      </c>
      <c r="M57" s="531">
        <f>'descarga app P&amp;S'!D41/1000</f>
        <v>119889.47725</v>
      </c>
      <c r="N57" s="400">
        <f>'descarga app P&amp;S'!B41/1000</f>
        <v>518349.29283999995</v>
      </c>
      <c r="Q57" s="356"/>
      <c r="R57" s="191"/>
      <c r="S57" s="191"/>
    </row>
    <row r="58" spans="1:19" ht="15.75" x14ac:dyDescent="0.3">
      <c r="A58" s="62" t="s">
        <v>216</v>
      </c>
      <c r="B58" s="394">
        <f>SUM(C58:N58)</f>
        <v>3994650.3147199997</v>
      </c>
      <c r="C58" s="394">
        <f>'descarga app P&amp;S'!G42/1000</f>
        <v>289023.77435000002</v>
      </c>
      <c r="D58" s="398">
        <f>'descarga app P&amp;S'!L42/1000</f>
        <v>0</v>
      </c>
      <c r="E58" s="394">
        <f>'descarga app P&amp;S'!K42/1000</f>
        <v>404742.71348000003</v>
      </c>
      <c r="F58" s="398">
        <f>'descarga app P&amp;S'!I42/1000</f>
        <v>1159697.8761400001</v>
      </c>
      <c r="G58" s="412">
        <f>'descarga app P&amp;S'!E42/1000</f>
        <v>212248.20515999998</v>
      </c>
      <c r="H58" s="412">
        <f>'descarga app P&amp;S'!C42/1000</f>
        <v>507928.70218000002</v>
      </c>
      <c r="I58" s="413">
        <f>'descarga app P&amp;S'!F42/1000</f>
        <v>337294.88581999997</v>
      </c>
      <c r="J58" s="434">
        <f>'descarga app P&amp;S'!H42/1000</f>
        <v>58953.564770000005</v>
      </c>
      <c r="K58" s="394">
        <f>'descarga app P&amp;S'!M42/1000</f>
        <v>388808.06339999998</v>
      </c>
      <c r="L58" s="434">
        <f>'descarga app P&amp;S'!J42/1000</f>
        <v>134692.60665</v>
      </c>
      <c r="M58" s="434">
        <f>'descarga app P&amp;S'!D42/1000</f>
        <v>33688.187560000006</v>
      </c>
      <c r="N58" s="394">
        <f>'descarga app P&amp;S'!B42/1000</f>
        <v>467571.73520999996</v>
      </c>
      <c r="Q58" s="356"/>
      <c r="R58" s="191"/>
      <c r="S58" s="191"/>
    </row>
    <row r="59" spans="1:19" s="475" customFormat="1" ht="15.75" x14ac:dyDescent="0.3">
      <c r="A59" s="476" t="s">
        <v>19</v>
      </c>
      <c r="B59" s="477">
        <f>SUM(C59:N59)</f>
        <v>3130533.6968799997</v>
      </c>
      <c r="C59" s="477">
        <f>'descarga app P&amp;S'!G43/1000</f>
        <v>388507.48018000001</v>
      </c>
      <c r="D59" s="481">
        <f>'descarga app P&amp;S'!L43/1000</f>
        <v>0</v>
      </c>
      <c r="E59" s="477">
        <f>'descarga app P&amp;S'!K43/1000</f>
        <v>437012.50167999999</v>
      </c>
      <c r="F59" s="481">
        <f>'descarga app P&amp;S'!I43/1000</f>
        <v>677147.86759000004</v>
      </c>
      <c r="G59" s="482">
        <f>'descarga app P&amp;S'!E43/1000</f>
        <v>185084.96238999997</v>
      </c>
      <c r="H59" s="482">
        <f>'descarga app P&amp;S'!C43/1000</f>
        <v>651217.51822000009</v>
      </c>
      <c r="I59" s="530">
        <f>'descarga app P&amp;S'!F43/1000</f>
        <v>208860.36538999999</v>
      </c>
      <c r="J59" s="532">
        <f>'descarga app P&amp;S'!H43/1000</f>
        <v>42183.111619999996</v>
      </c>
      <c r="K59" s="477">
        <f>'descarga app P&amp;S'!M43/1000</f>
        <v>290127.56069999997</v>
      </c>
      <c r="L59" s="532">
        <f>'descarga app P&amp;S'!J43/1000</f>
        <v>113413.48178</v>
      </c>
      <c r="M59" s="532">
        <f>'descarga app P&amp;S'!D43/1000</f>
        <v>86201.289689999991</v>
      </c>
      <c r="N59" s="477">
        <f>'descarga app P&amp;S'!B43/1000</f>
        <v>50777.557639999999</v>
      </c>
      <c r="Q59" s="356"/>
      <c r="R59" s="191"/>
      <c r="S59" s="191"/>
    </row>
    <row r="60" spans="1:19" ht="15.75" x14ac:dyDescent="0.3">
      <c r="A60" s="63"/>
      <c r="B60" s="394"/>
      <c r="C60" s="394"/>
      <c r="D60" s="398"/>
      <c r="E60" s="394"/>
      <c r="F60" s="398"/>
      <c r="G60" s="412"/>
      <c r="H60" s="412"/>
      <c r="I60" s="413"/>
      <c r="J60" s="434"/>
      <c r="K60" s="394"/>
      <c r="L60" s="434"/>
      <c r="M60" s="575"/>
      <c r="N60" s="394"/>
      <c r="R60" s="191"/>
      <c r="S60" s="191"/>
    </row>
    <row r="61" spans="1:19" ht="15.75" thickBot="1" x14ac:dyDescent="0.3">
      <c r="A61" s="65" t="s">
        <v>128</v>
      </c>
      <c r="B61" s="403">
        <f>SUM(C61:N61)</f>
        <v>20181735.318919998</v>
      </c>
      <c r="C61" s="449">
        <f>'descarga app P&amp;S'!G44/1000</f>
        <v>1624843.2821099998</v>
      </c>
      <c r="D61" s="577">
        <f>'descarga app P&amp;S'!L44/1000</f>
        <v>1450081.4752200001</v>
      </c>
      <c r="E61" s="449">
        <f>'descarga app P&amp;S'!K44/1000</f>
        <v>3127486.4577299999</v>
      </c>
      <c r="F61" s="577">
        <f>'descarga app P&amp;S'!I44/1000</f>
        <v>4850803.2757700002</v>
      </c>
      <c r="G61" s="578">
        <f>'descarga app P&amp;S'!E44/1000</f>
        <v>614128.31284000003</v>
      </c>
      <c r="H61" s="578">
        <f>'descarga app P&amp;S'!C44/1000</f>
        <v>2738075.8226300003</v>
      </c>
      <c r="I61" s="583">
        <f>'descarga app P&amp;S'!F44/1000</f>
        <v>1663479.05886</v>
      </c>
      <c r="J61" s="579">
        <f>'descarga app P&amp;S'!H44/1000</f>
        <v>597422.08491999994</v>
      </c>
      <c r="K61" s="449">
        <f>'descarga app P&amp;S'!M44/1000</f>
        <v>1376055.82124</v>
      </c>
      <c r="L61" s="579">
        <f>'descarga app P&amp;S'!J44/1000</f>
        <v>514398.45188999997</v>
      </c>
      <c r="M61" s="579">
        <f>'descarga app P&amp;S'!D44/1000</f>
        <v>544687.99659</v>
      </c>
      <c r="N61" s="403">
        <f>'descarga app P&amp;S'!B44/1000</f>
        <v>1080273.2791199998</v>
      </c>
      <c r="Q61" s="356"/>
      <c r="R61" s="191"/>
      <c r="S61" s="191"/>
    </row>
    <row r="63" spans="1:19" ht="15" customHeight="1" x14ac:dyDescent="0.25">
      <c r="A63" s="66"/>
      <c r="B63" s="327"/>
      <c r="C63" s="536"/>
      <c r="D63" s="536"/>
      <c r="E63" s="536"/>
      <c r="F63" s="536"/>
      <c r="G63" s="356"/>
      <c r="H63" s="536"/>
      <c r="I63" s="536"/>
      <c r="J63" s="536"/>
      <c r="K63" s="536"/>
      <c r="L63" s="536"/>
      <c r="M63" s="536"/>
      <c r="N63" s="536"/>
      <c r="O63" s="536"/>
      <c r="P63" s="66"/>
      <c r="Q63" s="66"/>
      <c r="R63" s="66"/>
    </row>
    <row r="64" spans="1:19" x14ac:dyDescent="0.25">
      <c r="A64" s="282"/>
      <c r="B64" s="282"/>
      <c r="C64" s="282"/>
      <c r="D64" s="282"/>
      <c r="E64" s="282"/>
      <c r="F64" s="282"/>
      <c r="G64" s="282"/>
      <c r="H64" s="282"/>
      <c r="I64" s="282"/>
      <c r="J64" s="282"/>
      <c r="K64" s="282"/>
      <c r="L64" s="282"/>
      <c r="M64" s="282"/>
      <c r="N64" s="282"/>
      <c r="O64" s="622"/>
      <c r="P64" s="66"/>
      <c r="Q64" s="66"/>
      <c r="R64" s="66"/>
    </row>
    <row r="65" spans="2:15" ht="15.75" x14ac:dyDescent="0.3">
      <c r="B65" s="357"/>
      <c r="C65" s="357"/>
      <c r="D65" s="357"/>
      <c r="E65" s="357"/>
      <c r="F65" s="357"/>
      <c r="G65" s="357"/>
      <c r="H65" s="357"/>
      <c r="I65" s="364"/>
      <c r="J65" s="545"/>
      <c r="K65" s="357"/>
      <c r="L65" s="545"/>
      <c r="M65" s="545"/>
    </row>
    <row r="66" spans="2:15" ht="15.75" x14ac:dyDescent="0.3">
      <c r="C66" s="618"/>
      <c r="D66" s="619"/>
      <c r="E66" s="619"/>
      <c r="F66" s="619"/>
      <c r="G66" s="619"/>
      <c r="H66" s="619"/>
      <c r="I66" s="620"/>
      <c r="J66" s="620"/>
      <c r="K66" s="619"/>
      <c r="L66" s="620"/>
      <c r="M66" s="620"/>
      <c r="N66" s="619"/>
      <c r="O66" s="621"/>
    </row>
    <row r="67" spans="2:15" ht="15.75" x14ac:dyDescent="0.3">
      <c r="B67" s="388"/>
      <c r="C67" s="388"/>
      <c r="D67" s="388"/>
      <c r="E67" s="388"/>
      <c r="F67" s="388"/>
      <c r="G67" s="388"/>
      <c r="H67" s="388"/>
      <c r="I67" s="388"/>
      <c r="J67" s="388"/>
      <c r="K67" s="388"/>
      <c r="L67" s="388"/>
      <c r="M67" s="388"/>
      <c r="N67" s="388"/>
      <c r="O67" s="388"/>
    </row>
    <row r="68" spans="2:15" x14ac:dyDescent="0.25">
      <c r="C68" s="191"/>
      <c r="D68" s="191"/>
      <c r="E68" s="191"/>
      <c r="F68" s="191"/>
      <c r="G68" s="191"/>
      <c r="H68" s="191"/>
      <c r="I68" s="191"/>
      <c r="J68" s="191"/>
      <c r="K68" s="191"/>
      <c r="L68" s="191"/>
      <c r="M68" s="191"/>
      <c r="N68" s="191"/>
      <c r="O68" s="191"/>
    </row>
    <row r="69" spans="2:15" x14ac:dyDescent="0.25">
      <c r="D69" s="356"/>
      <c r="E69" s="191"/>
      <c r="F69" s="191"/>
      <c r="M69" s="588"/>
    </row>
    <row r="70" spans="2:15" x14ac:dyDescent="0.25">
      <c r="D70" s="356"/>
      <c r="E70" s="191"/>
      <c r="F70" s="191"/>
      <c r="M70" s="588"/>
    </row>
    <row r="71" spans="2:15" x14ac:dyDescent="0.25">
      <c r="D71" s="356"/>
      <c r="E71" s="191"/>
      <c r="F71" s="191"/>
    </row>
    <row r="72" spans="2:15" x14ac:dyDescent="0.25">
      <c r="D72" s="356"/>
      <c r="E72" s="191"/>
      <c r="F72" s="191"/>
    </row>
    <row r="73" spans="2:15" x14ac:dyDescent="0.25">
      <c r="D73" s="356"/>
      <c r="E73" s="191"/>
      <c r="F73" s="191"/>
    </row>
    <row r="74" spans="2:15" x14ac:dyDescent="0.25">
      <c r="D74" s="356"/>
      <c r="E74" s="191"/>
      <c r="F74" s="191"/>
    </row>
    <row r="75" spans="2:15" x14ac:dyDescent="0.25">
      <c r="D75" s="356"/>
      <c r="E75" s="191"/>
      <c r="F75" s="191"/>
    </row>
    <row r="76" spans="2:15" x14ac:dyDescent="0.25">
      <c r="D76" s="356"/>
      <c r="E76" s="191"/>
      <c r="F76" s="191"/>
    </row>
    <row r="77" spans="2:15" x14ac:dyDescent="0.25">
      <c r="D77" s="356"/>
      <c r="E77" s="191"/>
      <c r="F77" s="191"/>
    </row>
    <row r="78" spans="2:15" x14ac:dyDescent="0.25">
      <c r="D78" s="356"/>
      <c r="E78" s="191"/>
      <c r="F78" s="191"/>
    </row>
    <row r="79" spans="2:15" x14ac:dyDescent="0.25">
      <c r="D79" s="356"/>
      <c r="E79" s="191"/>
      <c r="F79" s="191"/>
    </row>
    <row r="80" spans="2:15" x14ac:dyDescent="0.25">
      <c r="E80" s="191"/>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5">
    <tabColor rgb="FFFFC000"/>
  </sheetPr>
  <dimension ref="A1:AK80"/>
  <sheetViews>
    <sheetView topLeftCell="B1" zoomScale="96" zoomScaleNormal="96" workbookViewId="0">
      <pane ySplit="12" topLeftCell="A47" activePane="bottomLeft" state="frozen"/>
      <selection activeCell="B61" sqref="B61"/>
      <selection pane="bottomLeft" activeCell="N6" sqref="N6"/>
    </sheetView>
  </sheetViews>
  <sheetFormatPr baseColWidth="10" defaultColWidth="11.42578125" defaultRowHeight="15" x14ac:dyDescent="0.25"/>
  <cols>
    <col min="1" max="1" width="34.28515625" style="48" customWidth="1"/>
    <col min="2" max="2" width="20.5703125" style="48" customWidth="1"/>
    <col min="3" max="3" width="7.85546875" style="48" hidden="1" customWidth="1"/>
    <col min="4" max="4" width="18.140625" style="48" customWidth="1"/>
    <col min="5" max="5" width="4.7109375" style="48" hidden="1" customWidth="1"/>
    <col min="6" max="6" width="14.7109375" style="48" customWidth="1"/>
    <col min="7" max="7" width="11.42578125" style="48" hidden="1" customWidth="1"/>
    <col min="8" max="8" width="16.7109375" style="48" customWidth="1"/>
    <col min="9" max="9" width="11.42578125" style="48" hidden="1" customWidth="1"/>
    <col min="10" max="10" width="15.7109375" style="48" customWidth="1"/>
    <col min="11" max="11" width="11.42578125" style="48" hidden="1" customWidth="1"/>
    <col min="12" max="12" width="15.28515625" style="48" customWidth="1"/>
    <col min="13" max="13" width="15.28515625" style="48" hidden="1" customWidth="1"/>
    <col min="14" max="14" width="15.28515625" style="48" customWidth="1"/>
    <col min="15" max="15" width="11.42578125" style="48" hidden="1" customWidth="1"/>
    <col min="16" max="16" width="14.7109375" style="48" customWidth="1"/>
    <col min="17" max="17" width="11.42578125" style="48" hidden="1" customWidth="1"/>
    <col min="18" max="18" width="14.7109375" style="548" customWidth="1"/>
    <col min="19" max="19" width="11.42578125" style="48" hidden="1" customWidth="1"/>
    <col min="20" max="20" width="14.7109375" style="48" customWidth="1"/>
    <col min="21" max="21" width="11.42578125" style="48" hidden="1" customWidth="1"/>
    <col min="22" max="22" width="14.7109375" style="548" customWidth="1"/>
    <col min="23" max="23" width="11.42578125" style="48" hidden="1" customWidth="1"/>
    <col min="24" max="24" width="17.28515625" style="548" customWidth="1"/>
    <col min="25" max="25" width="11.42578125" style="48" hidden="1" customWidth="1"/>
    <col min="26" max="26" width="14.7109375" style="48" customWidth="1"/>
    <col min="27" max="27" width="11.42578125" style="48" customWidth="1"/>
    <col min="28" max="28" width="14.7109375" style="48" hidden="1" customWidth="1"/>
    <col min="29" max="29" width="11" style="48" customWidth="1"/>
    <col min="30" max="30" width="14.7109375" style="48" customWidth="1"/>
    <col min="31" max="31" width="11" style="48" customWidth="1"/>
    <col min="32" max="32" width="14.7109375" style="48" customWidth="1"/>
    <col min="33" max="33" width="11" style="48" customWidth="1"/>
    <col min="34" max="34" width="14.7109375" style="48" customWidth="1"/>
    <col min="35" max="35" width="11" style="48" customWidth="1"/>
    <col min="36" max="36" width="14.7109375" style="48" customWidth="1"/>
    <col min="37" max="37" width="11.42578125" style="48" customWidth="1"/>
    <col min="38" max="40" width="17.5703125" style="48" customWidth="1"/>
    <col min="41" max="41" width="12" style="48" customWidth="1"/>
    <col min="42" max="42" width="17.5703125" style="48" customWidth="1"/>
    <col min="43" max="43" width="12" style="48" customWidth="1"/>
    <col min="44" max="44" width="17.5703125" style="48" customWidth="1"/>
    <col min="45" max="45" width="12" style="48" customWidth="1"/>
    <col min="46" max="46" width="17.5703125" style="48" customWidth="1"/>
    <col min="47" max="47" width="12" style="48" customWidth="1"/>
    <col min="48" max="48" width="17.5703125" style="48" customWidth="1"/>
    <col min="49" max="49" width="12" style="48" customWidth="1"/>
    <col min="50" max="50" width="17.5703125" style="48" customWidth="1"/>
    <col min="51" max="51" width="11" style="48" customWidth="1"/>
    <col min="52" max="52" width="17.5703125" style="48" customWidth="1"/>
    <col min="53" max="53" width="11" style="48" customWidth="1"/>
    <col min="54" max="54" width="17.5703125" style="48" customWidth="1"/>
    <col min="55" max="55" width="11" style="48" customWidth="1"/>
    <col min="56" max="56" width="17.5703125" style="48" customWidth="1"/>
    <col min="57" max="57" width="12" style="48" customWidth="1"/>
    <col min="58" max="58" width="17.5703125" style="48" customWidth="1"/>
    <col min="59" max="59" width="12" style="48" customWidth="1"/>
    <col min="60" max="60" width="17.5703125" style="48" customWidth="1"/>
    <col min="61" max="61" width="12" style="48" customWidth="1"/>
    <col min="62" max="62" width="17.5703125" style="48" customWidth="1"/>
    <col min="63" max="63" width="12" style="48" customWidth="1"/>
    <col min="64" max="64" width="17.5703125" style="48" customWidth="1"/>
    <col min="65" max="65" width="12" style="48" customWidth="1"/>
    <col min="66" max="66" width="17.5703125" style="48" customWidth="1"/>
    <col min="67" max="67" width="12" style="48" customWidth="1"/>
    <col min="68" max="68" width="17.5703125" style="48" customWidth="1"/>
    <col min="69" max="69" width="14.5703125" style="48" customWidth="1"/>
    <col min="70" max="70" width="22.5703125" style="48" customWidth="1"/>
    <col min="71" max="71" width="12" style="48" customWidth="1"/>
    <col min="72" max="72" width="17.5703125" style="48" customWidth="1"/>
    <col min="73" max="73" width="12" style="48" customWidth="1"/>
    <col min="74" max="74" width="17.5703125" style="48" customWidth="1"/>
    <col min="75" max="75" width="13.42578125" style="48" customWidth="1"/>
    <col min="76" max="76" width="21.42578125" style="48" customWidth="1"/>
    <col min="77" max="77" width="14.5703125" style="48" customWidth="1"/>
    <col min="78" max="78" width="22.5703125" style="48" customWidth="1"/>
    <col min="79" max="79" width="13.42578125" style="48" customWidth="1"/>
    <col min="80" max="80" width="21.42578125" style="48" bestFit="1" customWidth="1"/>
    <col min="81" max="81" width="12" style="48" bestFit="1" customWidth="1"/>
    <col min="82" max="82" width="17.5703125" style="48" bestFit="1" customWidth="1"/>
    <col min="83" max="83" width="12" style="48" bestFit="1" customWidth="1"/>
    <col min="84" max="84" width="17.5703125" style="48" bestFit="1" customWidth="1"/>
    <col min="85" max="85" width="12.85546875" style="48" bestFit="1" customWidth="1"/>
    <col min="86" max="86" width="20.7109375" style="48" bestFit="1" customWidth="1"/>
    <col min="87" max="87" width="11" style="48" customWidth="1"/>
    <col min="88" max="88" width="17.5703125" style="48" bestFit="1" customWidth="1"/>
    <col min="89" max="89" width="12" style="48" bestFit="1" customWidth="1"/>
    <col min="90" max="90" width="17.5703125" style="48" bestFit="1" customWidth="1"/>
    <col min="91" max="91" width="13.42578125" style="48" bestFit="1" customWidth="1"/>
    <col min="92" max="92" width="21.42578125" style="48" bestFit="1" customWidth="1"/>
    <col min="93" max="93" width="11" style="48" customWidth="1"/>
    <col min="94" max="94" width="17.5703125" style="48" bestFit="1" customWidth="1"/>
    <col min="95" max="95" width="12" style="48" bestFit="1" customWidth="1"/>
    <col min="96" max="96" width="17.5703125" style="48" bestFit="1" customWidth="1"/>
    <col min="97" max="97" width="12.7109375" style="48" bestFit="1" customWidth="1"/>
    <col min="98" max="98" width="20.5703125" style="48" bestFit="1" customWidth="1"/>
    <col min="99" max="99" width="13.42578125" style="48" bestFit="1" customWidth="1"/>
    <col min="100" max="100" width="21.42578125" style="48" bestFit="1" customWidth="1"/>
    <col min="101" max="101" width="14.5703125" style="48" bestFit="1" customWidth="1"/>
    <col min="102" max="102" width="22.5703125" style="48" bestFit="1" customWidth="1"/>
    <col min="103" max="16384" width="11.42578125" style="48"/>
  </cols>
  <sheetData>
    <row r="1" spans="1:37" ht="15" customHeight="1" x14ac:dyDescent="0.25">
      <c r="A1" s="46"/>
      <c r="B1" s="46"/>
      <c r="C1" s="46"/>
      <c r="D1" s="46"/>
      <c r="E1" s="46"/>
      <c r="F1" s="46"/>
      <c r="G1" s="46"/>
      <c r="H1" s="46"/>
      <c r="I1" s="46"/>
      <c r="J1" s="46"/>
      <c r="K1" s="46"/>
      <c r="L1" s="47"/>
      <c r="M1" s="47"/>
      <c r="N1" s="47"/>
      <c r="O1" s="46"/>
      <c r="P1" s="46"/>
      <c r="Q1" s="46"/>
      <c r="R1" s="549"/>
      <c r="S1" s="46"/>
      <c r="T1" s="46"/>
      <c r="U1" s="46"/>
      <c r="V1" s="549"/>
      <c r="W1" s="46"/>
      <c r="X1" s="549"/>
      <c r="Y1" s="46"/>
      <c r="Z1" s="46"/>
      <c r="AA1" s="47"/>
      <c r="AB1" s="47"/>
      <c r="AC1" s="47"/>
      <c r="AD1" s="47"/>
    </row>
    <row r="2" spans="1:37" x14ac:dyDescent="0.25">
      <c r="A2" s="46"/>
      <c r="B2" s="46"/>
      <c r="C2" s="46"/>
      <c r="D2" s="46"/>
      <c r="E2" s="46"/>
      <c r="F2" s="46"/>
      <c r="G2" s="46"/>
      <c r="H2" s="46"/>
      <c r="I2" s="46"/>
      <c r="J2" s="46"/>
      <c r="K2" s="46"/>
      <c r="L2" s="47"/>
      <c r="M2" s="47"/>
      <c r="N2" s="47"/>
      <c r="O2" s="46"/>
      <c r="P2" s="46"/>
      <c r="Q2" s="46"/>
      <c r="R2" s="549"/>
      <c r="S2" s="46"/>
      <c r="T2" s="46"/>
      <c r="U2" s="46"/>
      <c r="V2" s="549"/>
      <c r="W2" s="46"/>
      <c r="X2" s="549"/>
      <c r="Y2" s="46"/>
      <c r="Z2" s="46"/>
      <c r="AA2" s="47"/>
      <c r="AB2" s="47"/>
      <c r="AC2" s="47"/>
      <c r="AD2" s="47"/>
    </row>
    <row r="3" spans="1:37" x14ac:dyDescent="0.25">
      <c r="A3" s="67"/>
      <c r="B3" s="67"/>
      <c r="C3" s="67"/>
      <c r="D3" s="67"/>
      <c r="E3" s="67"/>
      <c r="F3" s="67"/>
      <c r="G3" s="67"/>
      <c r="H3" s="67"/>
      <c r="I3" s="67"/>
      <c r="J3" s="67"/>
      <c r="K3" s="67"/>
      <c r="L3" s="47"/>
      <c r="M3" s="47"/>
      <c r="N3" s="47"/>
      <c r="O3" s="67"/>
      <c r="P3" s="67"/>
      <c r="Q3" s="67"/>
      <c r="R3" s="550"/>
      <c r="S3" s="67"/>
      <c r="T3" s="67"/>
      <c r="U3" s="67"/>
      <c r="V3" s="550"/>
      <c r="W3" s="67"/>
      <c r="X3" s="550"/>
      <c r="Y3" s="67"/>
      <c r="Z3" s="67"/>
      <c r="AA3" s="47"/>
      <c r="AB3" s="47"/>
      <c r="AC3" s="47"/>
      <c r="AD3" s="47"/>
    </row>
    <row r="4" spans="1:37" ht="18" customHeight="1" x14ac:dyDescent="0.25">
      <c r="A4" s="49" t="s">
        <v>180</v>
      </c>
      <c r="B4" s="49"/>
      <c r="C4" s="49"/>
      <c r="D4" s="492"/>
      <c r="E4" s="492"/>
      <c r="F4" s="492"/>
      <c r="G4" s="492"/>
      <c r="H4" s="492"/>
      <c r="I4" s="492"/>
      <c r="J4" s="492"/>
      <c r="K4" s="492"/>
      <c r="L4" s="492"/>
      <c r="M4" s="492"/>
      <c r="N4" s="492"/>
      <c r="O4" s="492"/>
      <c r="P4" s="492"/>
      <c r="Q4" s="492"/>
      <c r="R4" s="551"/>
      <c r="S4" s="492"/>
      <c r="T4" s="492"/>
      <c r="U4" s="492"/>
      <c r="V4" s="551"/>
      <c r="W4" s="492"/>
      <c r="X4" s="551"/>
      <c r="Y4" s="492"/>
      <c r="Z4" s="492"/>
      <c r="AA4" s="492"/>
      <c r="AB4" s="49"/>
      <c r="AC4" s="49"/>
      <c r="AD4" s="49"/>
    </row>
    <row r="5" spans="1:37" ht="15.75" customHeight="1" x14ac:dyDescent="0.25">
      <c r="A5" s="50" t="s">
        <v>218</v>
      </c>
      <c r="B5" s="50"/>
      <c r="C5" s="50"/>
      <c r="D5" s="50"/>
      <c r="E5" s="50"/>
      <c r="F5" s="50"/>
      <c r="G5" s="50"/>
      <c r="H5" s="50"/>
      <c r="I5" s="50"/>
      <c r="J5" s="50"/>
      <c r="K5" s="50"/>
      <c r="L5" s="50"/>
      <c r="M5" s="50"/>
      <c r="N5" s="50"/>
      <c r="O5" s="50"/>
      <c r="P5" s="50"/>
      <c r="Q5" s="50"/>
      <c r="R5" s="543"/>
      <c r="S5" s="50"/>
      <c r="T5" s="50"/>
      <c r="U5" s="50"/>
      <c r="V5" s="543"/>
      <c r="W5" s="50"/>
      <c r="X5" s="543"/>
      <c r="Y5" s="50"/>
      <c r="Z5" s="50"/>
      <c r="AA5" s="50"/>
      <c r="AB5" s="50"/>
      <c r="AC5" s="50"/>
      <c r="AD5" s="50"/>
    </row>
    <row r="6" spans="1:37" x14ac:dyDescent="0.25">
      <c r="A6" s="301" t="s">
        <v>372</v>
      </c>
      <c r="B6" s="491"/>
      <c r="C6" s="491"/>
      <c r="D6" s="491"/>
      <c r="E6" s="491"/>
      <c r="F6" s="491"/>
      <c r="G6" s="491"/>
      <c r="H6" s="491"/>
      <c r="I6" s="491"/>
      <c r="J6" s="491"/>
      <c r="K6" s="491"/>
      <c r="L6" s="491"/>
      <c r="M6" s="491"/>
      <c r="N6" s="491"/>
      <c r="O6" s="491"/>
      <c r="P6" s="491"/>
      <c r="Q6" s="491"/>
      <c r="R6" s="552"/>
      <c r="S6" s="491"/>
      <c r="T6" s="491"/>
      <c r="U6" s="491"/>
      <c r="V6" s="552"/>
      <c r="W6" s="491"/>
      <c r="X6" s="552"/>
      <c r="Y6" s="491"/>
      <c r="Z6" s="491"/>
      <c r="AA6" s="68"/>
      <c r="AB6" s="68"/>
      <c r="AC6" s="68"/>
      <c r="AD6" s="68"/>
    </row>
    <row r="7" spans="1:37" x14ac:dyDescent="0.25">
      <c r="A7" s="52" t="s">
        <v>181</v>
      </c>
      <c r="B7" s="487"/>
      <c r="C7" s="487"/>
      <c r="D7" s="487"/>
      <c r="E7" s="487"/>
      <c r="F7" s="487"/>
      <c r="G7" s="487"/>
      <c r="H7" s="487"/>
      <c r="I7" s="487"/>
      <c r="J7" s="487"/>
      <c r="K7" s="487"/>
      <c r="L7" s="487"/>
      <c r="M7" s="487"/>
      <c r="N7" s="487"/>
      <c r="O7" s="487"/>
      <c r="P7" s="487"/>
      <c r="Q7" s="487"/>
      <c r="R7" s="544"/>
      <c r="S7" s="487"/>
      <c r="T7" s="487"/>
      <c r="U7" s="487"/>
      <c r="V7" s="544"/>
      <c r="W7" s="487"/>
      <c r="X7" s="544"/>
      <c r="Y7" s="487"/>
      <c r="Z7" s="487"/>
      <c r="AA7" s="487"/>
      <c r="AB7" s="52"/>
      <c r="AC7" s="52"/>
      <c r="AD7" s="52"/>
    </row>
    <row r="8" spans="1:37" ht="18.75" customHeight="1" thickBot="1" x14ac:dyDescent="0.3">
      <c r="B8" s="356"/>
      <c r="C8" s="356"/>
      <c r="D8" s="356"/>
      <c r="E8" s="356"/>
      <c r="F8" s="356"/>
      <c r="G8" s="356"/>
      <c r="H8" s="356"/>
      <c r="I8" s="356"/>
      <c r="J8" s="356"/>
      <c r="K8" s="356"/>
      <c r="L8" s="356"/>
      <c r="M8" s="356"/>
      <c r="N8" s="356"/>
      <c r="O8" s="356"/>
      <c r="P8" s="356"/>
      <c r="Q8" s="356"/>
      <c r="R8" s="537"/>
      <c r="S8" s="356"/>
      <c r="T8" s="356"/>
      <c r="U8" s="356"/>
      <c r="V8" s="537"/>
      <c r="W8" s="356"/>
      <c r="X8" s="537"/>
      <c r="Y8" s="356"/>
      <c r="Z8" s="356"/>
      <c r="AA8" s="356"/>
    </row>
    <row r="9" spans="1:37" s="69" customFormat="1" ht="15.75" hidden="1" thickBot="1" x14ac:dyDescent="0.3">
      <c r="C9" s="70"/>
      <c r="D9" s="48"/>
      <c r="E9" s="48"/>
      <c r="F9" s="71"/>
      <c r="G9" s="71"/>
      <c r="H9" s="71"/>
      <c r="I9" s="71"/>
      <c r="J9" s="71"/>
      <c r="K9" s="71"/>
      <c r="L9" s="48"/>
      <c r="M9" s="48"/>
      <c r="N9" s="48"/>
      <c r="O9" s="71"/>
      <c r="P9" s="71"/>
      <c r="Q9" s="71"/>
      <c r="R9" s="553"/>
      <c r="S9" s="71"/>
      <c r="T9" s="71"/>
      <c r="U9" s="71"/>
      <c r="V9" s="553"/>
      <c r="W9" s="71"/>
      <c r="X9" s="553"/>
      <c r="Y9" s="71"/>
      <c r="Z9" s="71"/>
      <c r="AA9" s="72"/>
      <c r="AB9" s="48"/>
    </row>
    <row r="10" spans="1:37" ht="15.75" hidden="1" thickBot="1" x14ac:dyDescent="0.3">
      <c r="C10" s="73"/>
      <c r="E10" s="56"/>
      <c r="G10" s="56"/>
      <c r="I10" s="56"/>
      <c r="K10" s="56"/>
      <c r="O10" s="56"/>
      <c r="Q10" s="56"/>
      <c r="S10" s="56"/>
      <c r="U10" s="56"/>
      <c r="W10" s="56"/>
      <c r="Y10" s="56"/>
    </row>
    <row r="11" spans="1:37" ht="30" x14ac:dyDescent="0.25">
      <c r="A11" s="55" t="s">
        <v>219</v>
      </c>
      <c r="B11" s="100" t="s">
        <v>128</v>
      </c>
      <c r="C11" s="101"/>
      <c r="D11" s="100" t="s">
        <v>119</v>
      </c>
      <c r="E11" s="101"/>
      <c r="F11" s="100" t="s">
        <v>74</v>
      </c>
      <c r="G11" s="101"/>
      <c r="H11" s="102" t="s">
        <v>120</v>
      </c>
      <c r="I11" s="101"/>
      <c r="J11" s="102" t="s">
        <v>121</v>
      </c>
      <c r="K11" s="101"/>
      <c r="L11" s="74" t="s">
        <v>127</v>
      </c>
      <c r="M11" s="74"/>
      <c r="N11" s="74" t="s">
        <v>122</v>
      </c>
      <c r="O11" s="101"/>
      <c r="P11" s="102" t="s">
        <v>76</v>
      </c>
      <c r="Q11" s="101"/>
      <c r="R11" s="102" t="s">
        <v>123</v>
      </c>
      <c r="S11" s="102"/>
      <c r="T11" s="102" t="s">
        <v>124</v>
      </c>
      <c r="U11" s="102"/>
      <c r="V11" s="102" t="s">
        <v>125</v>
      </c>
      <c r="W11" s="101"/>
      <c r="X11" s="102" t="s">
        <v>365</v>
      </c>
      <c r="Y11" s="101"/>
      <c r="Z11" s="74" t="s">
        <v>126</v>
      </c>
    </row>
    <row r="12" spans="1:37" s="56" customFormat="1" ht="15.75" x14ac:dyDescent="0.3">
      <c r="A12" s="57" t="s">
        <v>14</v>
      </c>
      <c r="B12" s="390">
        <f>SUM(D12:AA12)</f>
        <v>2764295.2972699995</v>
      </c>
      <c r="C12" s="392"/>
      <c r="D12" s="390">
        <f>'descarga app P&amp;S'!G45/1000</f>
        <v>88201.255579999997</v>
      </c>
      <c r="E12" s="397"/>
      <c r="F12" s="393">
        <f>'descarga app P&amp;S'!L45/1000</f>
        <v>454570.02226999996</v>
      </c>
      <c r="G12" s="397"/>
      <c r="H12" s="390">
        <f>'descarga app P&amp;S'!K45/1000</f>
        <v>355233.52954000002</v>
      </c>
      <c r="I12" s="397"/>
      <c r="J12" s="393">
        <f>'descarga app P&amp;S'!I45/1000</f>
        <v>756247.01702000003</v>
      </c>
      <c r="K12" s="397"/>
      <c r="L12" s="410">
        <f>'descarga app P&amp;S'!E45/1000</f>
        <v>74883.83322</v>
      </c>
      <c r="M12" s="410"/>
      <c r="N12" s="410">
        <f>'descarga app P&amp;S'!C45/1000</f>
        <v>384352.02760999999</v>
      </c>
      <c r="O12" s="397"/>
      <c r="P12" s="393">
        <f>'descarga app P&amp;S'!F45/1000</f>
        <v>368889.41877999995</v>
      </c>
      <c r="Q12" s="397"/>
      <c r="R12" s="447">
        <f>'descarga app P&amp;S'!H45/1000</f>
        <v>49006.646430000001</v>
      </c>
      <c r="S12" s="397"/>
      <c r="T12" s="393">
        <f>'descarga app P&amp;S'!M45/1000</f>
        <v>80919.353029999998</v>
      </c>
      <c r="U12" s="397"/>
      <c r="V12" s="446">
        <f>'descarga app P&amp;S'!J45/1000</f>
        <v>4860.0086400000009</v>
      </c>
      <c r="W12" s="446"/>
      <c r="X12" s="446">
        <f>'descarga app P&amp;S'!D45/1000</f>
        <v>67768.24871</v>
      </c>
      <c r="Y12" s="397"/>
      <c r="Z12" s="393">
        <f>'descarga app P&amp;S'!B45/1000</f>
        <v>79363.93643999999</v>
      </c>
      <c r="AA12" s="61"/>
      <c r="AB12" s="48"/>
      <c r="AF12" s="48"/>
      <c r="AG12" s="48"/>
      <c r="AH12" s="48"/>
      <c r="AI12" s="48"/>
      <c r="AJ12" s="48"/>
      <c r="AK12" s="48"/>
    </row>
    <row r="13" spans="1:37" ht="15.75" x14ac:dyDescent="0.3">
      <c r="A13" s="60" t="s">
        <v>183</v>
      </c>
      <c r="B13" s="396">
        <f>SUM(D13:AA13)</f>
        <v>4136.4304400000001</v>
      </c>
      <c r="C13" s="402"/>
      <c r="D13" s="396">
        <f>'descarga app P&amp;S'!G46/1000</f>
        <v>0</v>
      </c>
      <c r="E13" s="397"/>
      <c r="F13" s="397">
        <f>'descarga app P&amp;S'!L46/1000</f>
        <v>0</v>
      </c>
      <c r="G13" s="397"/>
      <c r="H13" s="396">
        <f>'descarga app P&amp;S'!K46/1000</f>
        <v>0</v>
      </c>
      <c r="I13" s="397"/>
      <c r="J13" s="397">
        <f>'descarga app P&amp;S'!I46/1000</f>
        <v>4136.4304400000001</v>
      </c>
      <c r="K13" s="397"/>
      <c r="L13" s="411">
        <f>'descarga app P&amp;S'!E46/1000</f>
        <v>0</v>
      </c>
      <c r="M13" s="411"/>
      <c r="N13" s="411">
        <f>'descarga app P&amp;S'!C46/1000</f>
        <v>0</v>
      </c>
      <c r="O13" s="397"/>
      <c r="P13" s="397">
        <f>'descarga app P&amp;S'!F46/1000</f>
        <v>0</v>
      </c>
      <c r="Q13" s="397"/>
      <c r="R13" s="448">
        <f>'descarga app P&amp;S'!H46/1000</f>
        <v>0</v>
      </c>
      <c r="S13" s="397"/>
      <c r="T13" s="397">
        <f>'descarga app P&amp;S'!M46/1000</f>
        <v>0</v>
      </c>
      <c r="U13" s="397"/>
      <c r="V13" s="529">
        <f>'descarga app P&amp;S'!J46/1000</f>
        <v>0</v>
      </c>
      <c r="W13" s="397"/>
      <c r="X13" s="576">
        <f>'descarga app P&amp;S'!D46/1000</f>
        <v>0</v>
      </c>
      <c r="Y13" s="397"/>
      <c r="Z13" s="397">
        <f>'descarga app P&amp;S'!B46/1000</f>
        <v>0</v>
      </c>
      <c r="AA13" s="61"/>
    </row>
    <row r="14" spans="1:37" ht="15.75" x14ac:dyDescent="0.3">
      <c r="A14" s="75" t="s">
        <v>15</v>
      </c>
      <c r="B14" s="483">
        <f>SUM(D14:AA14)</f>
        <v>92908.461070000005</v>
      </c>
      <c r="C14" s="402"/>
      <c r="D14" s="394">
        <f>'descarga app P&amp;S'!G47/1000</f>
        <v>7684.1388499999994</v>
      </c>
      <c r="E14" s="397"/>
      <c r="F14" s="398">
        <f>'descarga app P&amp;S'!L47/1000</f>
        <v>0</v>
      </c>
      <c r="G14" s="397"/>
      <c r="H14" s="394">
        <f>'descarga app P&amp;S'!K47/1000</f>
        <v>23215.908090000001</v>
      </c>
      <c r="I14" s="397"/>
      <c r="J14" s="398">
        <f>'descarga app P&amp;S'!I47/1000</f>
        <v>25093.980800000001</v>
      </c>
      <c r="K14" s="397"/>
      <c r="L14" s="412">
        <f>'descarga app P&amp;S'!E47/1000</f>
        <v>4679.73416</v>
      </c>
      <c r="M14" s="412"/>
      <c r="N14" s="412">
        <f>'descarga app P&amp;S'!C47/1000</f>
        <v>5233.7250400000003</v>
      </c>
      <c r="O14" s="397"/>
      <c r="P14" s="398">
        <f>'descarga app P&amp;S'!F47/1000</f>
        <v>9282.8737899999996</v>
      </c>
      <c r="Q14" s="397"/>
      <c r="R14" s="434">
        <f>'descarga app P&amp;S'!H47/1000</f>
        <v>1445.74649</v>
      </c>
      <c r="S14" s="397"/>
      <c r="T14" s="398">
        <f>'descarga app P&amp;S'!M47/1000</f>
        <v>7234.5862500000003</v>
      </c>
      <c r="U14" s="397"/>
      <c r="V14" s="413">
        <f>'descarga app P&amp;S'!J47/1000</f>
        <v>4860.0086400000009</v>
      </c>
      <c r="W14" s="397"/>
      <c r="X14" s="576">
        <f>'descarga app P&amp;S'!D47/1000</f>
        <v>0</v>
      </c>
      <c r="Y14" s="397"/>
      <c r="Z14" s="398">
        <f>'descarga app P&amp;S'!B47/1000</f>
        <v>4177.7589600000001</v>
      </c>
      <c r="AA14" s="61"/>
    </row>
    <row r="15" spans="1:37" ht="15.75" x14ac:dyDescent="0.3">
      <c r="A15" s="60" t="s">
        <v>16</v>
      </c>
      <c r="B15" s="477">
        <f>SUM(D15:AA15)</f>
        <v>2666769.2057599998</v>
      </c>
      <c r="C15" s="402"/>
      <c r="D15" s="396">
        <f>'descarga app P&amp;S'!G48/1000</f>
        <v>80517.116730000009</v>
      </c>
      <c r="E15" s="397"/>
      <c r="F15" s="397">
        <f>'descarga app P&amp;S'!L48/1000</f>
        <v>454570.02226999996</v>
      </c>
      <c r="G15" s="397"/>
      <c r="H15" s="396">
        <f>'descarga app P&amp;S'!K48/1000</f>
        <v>332017.62144999998</v>
      </c>
      <c r="I15" s="397"/>
      <c r="J15" s="397">
        <f>'descarga app P&amp;S'!I48/1000</f>
        <v>727016.60577999998</v>
      </c>
      <c r="K15" s="397"/>
      <c r="L15" s="411">
        <f>'descarga app P&amp;S'!E48/1000</f>
        <v>69722.899059999996</v>
      </c>
      <c r="M15" s="411"/>
      <c r="N15" s="411">
        <f>'descarga app P&amp;S'!C48/1000</f>
        <v>379118.30257</v>
      </c>
      <c r="O15" s="397"/>
      <c r="P15" s="397">
        <f>'descarga app P&amp;S'!F48/1000</f>
        <v>359606.54499000002</v>
      </c>
      <c r="Q15" s="397"/>
      <c r="R15" s="448">
        <f>'descarga app P&amp;S'!H48/1000</f>
        <v>47560.899939999996</v>
      </c>
      <c r="S15" s="397"/>
      <c r="T15" s="397">
        <f>'descarga app P&amp;S'!M48/1000</f>
        <v>73684.766780000005</v>
      </c>
      <c r="U15" s="397"/>
      <c r="V15" s="529">
        <f>'descarga app P&amp;S'!J48/1000</f>
        <v>0</v>
      </c>
      <c r="W15" s="397"/>
      <c r="X15" s="576">
        <f>'descarga app P&amp;S'!D48/1000</f>
        <v>67768.24871</v>
      </c>
      <c r="Y15" s="397"/>
      <c r="Z15" s="397">
        <f>'descarga app P&amp;S'!B48/1000</f>
        <v>75186.177479999998</v>
      </c>
      <c r="AA15" s="61"/>
    </row>
    <row r="16" spans="1:37" ht="15.75" x14ac:dyDescent="0.3">
      <c r="A16" s="63"/>
      <c r="B16" s="394"/>
      <c r="C16" s="392"/>
      <c r="D16" s="394"/>
      <c r="E16" s="397"/>
      <c r="F16" s="398"/>
      <c r="G16" s="397"/>
      <c r="H16" s="394"/>
      <c r="I16" s="397"/>
      <c r="J16" s="398"/>
      <c r="K16" s="397"/>
      <c r="L16" s="412"/>
      <c r="M16" s="412"/>
      <c r="N16" s="412"/>
      <c r="O16" s="397"/>
      <c r="P16" s="398"/>
      <c r="Q16" s="397"/>
      <c r="R16" s="434"/>
      <c r="S16" s="397"/>
      <c r="T16" s="398"/>
      <c r="U16" s="397"/>
      <c r="V16" s="413"/>
      <c r="W16" s="397"/>
      <c r="X16" s="413"/>
      <c r="Y16" s="397"/>
      <c r="Z16" s="398"/>
      <c r="AA16" s="61"/>
    </row>
    <row r="17" spans="1:27" ht="15.75" x14ac:dyDescent="0.3">
      <c r="A17" s="64" t="s">
        <v>21</v>
      </c>
      <c r="B17" s="400">
        <f>SUM(D17:AA17)</f>
        <v>41792.076789999999</v>
      </c>
      <c r="C17" s="392"/>
      <c r="D17" s="400">
        <f>'descarga app P&amp;S'!G49/1000</f>
        <v>0</v>
      </c>
      <c r="E17" s="397"/>
      <c r="F17" s="401">
        <f>'descarga app P&amp;S'!L49/1000</f>
        <v>0</v>
      </c>
      <c r="G17" s="397"/>
      <c r="H17" s="400">
        <f>'descarga app P&amp;S'!K49/1000</f>
        <v>0</v>
      </c>
      <c r="I17" s="397"/>
      <c r="J17" s="401">
        <f>'descarga app P&amp;S'!I49/1000</f>
        <v>9257.9506700000002</v>
      </c>
      <c r="K17" s="397"/>
      <c r="L17" s="414">
        <f>'descarga app P&amp;S'!E49/1000</f>
        <v>24357.111420000001</v>
      </c>
      <c r="M17" s="414"/>
      <c r="N17" s="414">
        <f>'descarga app P&amp;S'!C49/1000</f>
        <v>0</v>
      </c>
      <c r="O17" s="397"/>
      <c r="P17" s="401">
        <f>'descarga app P&amp;S'!F49/1000</f>
        <v>7060.2001799999998</v>
      </c>
      <c r="Q17" s="397"/>
      <c r="R17" s="531">
        <f>'descarga app P&amp;S'!H49/1000</f>
        <v>0</v>
      </c>
      <c r="S17" s="397"/>
      <c r="T17" s="401">
        <f>'descarga app P&amp;S'!M49/1000</f>
        <v>588.61451999999997</v>
      </c>
      <c r="U17" s="397"/>
      <c r="V17" s="445">
        <f>'descarga app P&amp;S'!J49/1000</f>
        <v>528.20000000000005</v>
      </c>
      <c r="W17" s="445"/>
      <c r="X17" s="445">
        <f>'descarga app P&amp;S'!D49/1000</f>
        <v>0</v>
      </c>
      <c r="Y17" s="397"/>
      <c r="Z17" s="401">
        <f>'descarga app P&amp;S'!B49/1000</f>
        <v>0</v>
      </c>
      <c r="AA17" s="61"/>
    </row>
    <row r="18" spans="1:27" ht="15.75" x14ac:dyDescent="0.3">
      <c r="A18" s="75" t="s">
        <v>184</v>
      </c>
      <c r="B18" s="394">
        <f>SUM(D18:AA18)</f>
        <v>528.20000000000005</v>
      </c>
      <c r="C18" s="402"/>
      <c r="D18" s="394">
        <f>'descarga app P&amp;S'!G50/1000</f>
        <v>0</v>
      </c>
      <c r="E18" s="397"/>
      <c r="F18" s="398">
        <f>'descarga app P&amp;S'!L50/1000</f>
        <v>0</v>
      </c>
      <c r="G18" s="397"/>
      <c r="H18" s="394">
        <f>'descarga app P&amp;S'!K50/1000</f>
        <v>0</v>
      </c>
      <c r="I18" s="397"/>
      <c r="J18" s="398">
        <f>'descarga app P&amp;S'!I50/1000</f>
        <v>0</v>
      </c>
      <c r="K18" s="397"/>
      <c r="L18" s="412">
        <f>'descarga app P&amp;S'!E50/1000</f>
        <v>0</v>
      </c>
      <c r="M18" s="412"/>
      <c r="N18" s="412">
        <f>'descarga app P&amp;S'!C50/1000</f>
        <v>0</v>
      </c>
      <c r="O18" s="397"/>
      <c r="P18" s="398">
        <f>'descarga app P&amp;S'!F50/1000</f>
        <v>0</v>
      </c>
      <c r="Q18" s="397"/>
      <c r="R18" s="434">
        <f>'descarga app P&amp;S'!H50/1000</f>
        <v>0</v>
      </c>
      <c r="S18" s="397"/>
      <c r="T18" s="398">
        <f>'descarga app P&amp;S'!M50/1000</f>
        <v>0</v>
      </c>
      <c r="U18" s="397"/>
      <c r="V18" s="413">
        <f>'descarga app P&amp;S'!J50/1000</f>
        <v>528.20000000000005</v>
      </c>
      <c r="W18" s="397"/>
      <c r="X18" s="413">
        <f>'descarga app P&amp;S'!D50/1000</f>
        <v>0</v>
      </c>
      <c r="Y18" s="397"/>
      <c r="Z18" s="398">
        <f>'descarga app P&amp;S'!B50/1000</f>
        <v>0</v>
      </c>
      <c r="AA18" s="61"/>
    </row>
    <row r="19" spans="1:27" ht="15.75" x14ac:dyDescent="0.3">
      <c r="A19" s="60" t="s">
        <v>185</v>
      </c>
      <c r="B19" s="396">
        <f>SUM(D19:AA19)</f>
        <v>33615.062089999999</v>
      </c>
      <c r="C19" s="402"/>
      <c r="D19" s="396">
        <f>'descarga app P&amp;S'!G51/1000</f>
        <v>0</v>
      </c>
      <c r="E19" s="397"/>
      <c r="F19" s="397">
        <f>'descarga app P&amp;S'!L51/1000</f>
        <v>0</v>
      </c>
      <c r="G19" s="397"/>
      <c r="H19" s="396">
        <f>'descarga app P&amp;S'!K51/1000</f>
        <v>0</v>
      </c>
      <c r="I19" s="397"/>
      <c r="J19" s="397">
        <f>'descarga app P&amp;S'!I51/1000</f>
        <v>9257.9506700000002</v>
      </c>
      <c r="K19" s="397"/>
      <c r="L19" s="411">
        <f>'descarga app P&amp;S'!E51/1000</f>
        <v>24357.111420000001</v>
      </c>
      <c r="M19" s="411"/>
      <c r="N19" s="411">
        <f>'descarga app P&amp;S'!C51/1000</f>
        <v>0</v>
      </c>
      <c r="O19" s="397"/>
      <c r="P19" s="397">
        <f>'descarga app P&amp;S'!F51/1000</f>
        <v>0</v>
      </c>
      <c r="Q19" s="397"/>
      <c r="R19" s="448">
        <f>'descarga app P&amp;S'!H51/1000</f>
        <v>0</v>
      </c>
      <c r="S19" s="397"/>
      <c r="T19" s="397">
        <f>'descarga app P&amp;S'!M51/1000</f>
        <v>0</v>
      </c>
      <c r="U19" s="397"/>
      <c r="V19" s="529">
        <f>'descarga app P&amp;S'!J51/1000</f>
        <v>0</v>
      </c>
      <c r="W19" s="397"/>
      <c r="X19" s="529">
        <f>'descarga app P&amp;S'!D51/1000</f>
        <v>0</v>
      </c>
      <c r="Y19" s="397"/>
      <c r="Z19" s="397">
        <f>'descarga app P&amp;S'!B51/1000</f>
        <v>0</v>
      </c>
      <c r="AA19" s="61"/>
    </row>
    <row r="20" spans="1:27" ht="15.75" x14ac:dyDescent="0.3">
      <c r="A20" s="75" t="s">
        <v>220</v>
      </c>
      <c r="B20" s="394">
        <f>SUM(D20:AA20)</f>
        <v>7648.8146999999999</v>
      </c>
      <c r="C20" s="402"/>
      <c r="D20" s="394">
        <f>'descarga app P&amp;S'!G52/1000</f>
        <v>0</v>
      </c>
      <c r="E20" s="397"/>
      <c r="F20" s="398">
        <f>'descarga app P&amp;S'!L52/1000</f>
        <v>0</v>
      </c>
      <c r="G20" s="397"/>
      <c r="H20" s="394">
        <f>'descarga app P&amp;S'!K52/1000</f>
        <v>0</v>
      </c>
      <c r="I20" s="397"/>
      <c r="J20" s="398">
        <f>'descarga app P&amp;S'!I52/1000</f>
        <v>0</v>
      </c>
      <c r="K20" s="397"/>
      <c r="L20" s="412">
        <f>'descarga app P&amp;S'!E52/1000</f>
        <v>0</v>
      </c>
      <c r="M20" s="412"/>
      <c r="N20" s="412">
        <f>'descarga app P&amp;S'!C52/1000</f>
        <v>0</v>
      </c>
      <c r="O20" s="397"/>
      <c r="P20" s="398">
        <f>'descarga app P&amp;S'!F52/1000</f>
        <v>7060.2001799999998</v>
      </c>
      <c r="Q20" s="397"/>
      <c r="R20" s="434">
        <f>'descarga app P&amp;S'!H52/1000</f>
        <v>0</v>
      </c>
      <c r="S20" s="397"/>
      <c r="T20" s="398">
        <f>'descarga app P&amp;S'!M52/1000</f>
        <v>588.61451999999997</v>
      </c>
      <c r="U20" s="397"/>
      <c r="V20" s="413">
        <f>'descarga app P&amp;S'!J52/1000</f>
        <v>0</v>
      </c>
      <c r="W20" s="397"/>
      <c r="X20" s="413">
        <f>'descarga app P&amp;S'!D52/1000</f>
        <v>0</v>
      </c>
      <c r="Y20" s="397"/>
      <c r="Z20" s="398">
        <f>'descarga app P&amp;S'!B52/1000</f>
        <v>0</v>
      </c>
      <c r="AA20" s="61"/>
    </row>
    <row r="21" spans="1:27" ht="15.75" x14ac:dyDescent="0.3">
      <c r="A21" s="58"/>
      <c r="B21" s="396"/>
      <c r="C21" s="392"/>
      <c r="D21" s="396"/>
      <c r="E21" s="397"/>
      <c r="F21" s="397"/>
      <c r="G21" s="397"/>
      <c r="H21" s="396"/>
      <c r="I21" s="397"/>
      <c r="J21" s="397"/>
      <c r="K21" s="397"/>
      <c r="L21" s="411"/>
      <c r="M21" s="411"/>
      <c r="N21" s="411"/>
      <c r="O21" s="397"/>
      <c r="P21" s="397"/>
      <c r="Q21" s="397"/>
      <c r="R21" s="448"/>
      <c r="S21" s="397"/>
      <c r="T21" s="397"/>
      <c r="U21" s="397"/>
      <c r="V21" s="529"/>
      <c r="W21" s="397"/>
      <c r="X21" s="529"/>
      <c r="Y21" s="397"/>
      <c r="Z21" s="397"/>
      <c r="AA21" s="61"/>
    </row>
    <row r="22" spans="1:27" ht="15.75" x14ac:dyDescent="0.3">
      <c r="A22" s="57" t="s">
        <v>20</v>
      </c>
      <c r="B22" s="390">
        <f t="shared" ref="B22:B44" si="0">SUM(D22:AA22)</f>
        <v>422177.15197999997</v>
      </c>
      <c r="C22" s="392"/>
      <c r="D22" s="390">
        <f>'descarga app P&amp;S'!G53/1000</f>
        <v>37174.556090000005</v>
      </c>
      <c r="E22" s="397"/>
      <c r="F22" s="393">
        <f>'descarga app P&amp;S'!L53/1000</f>
        <v>0</v>
      </c>
      <c r="G22" s="397"/>
      <c r="H22" s="390">
        <f>'descarga app P&amp;S'!K53/1000</f>
        <v>65702.008419999998</v>
      </c>
      <c r="I22" s="397"/>
      <c r="J22" s="393">
        <f>'descarga app P&amp;S'!I53/1000</f>
        <v>169601.36261000001</v>
      </c>
      <c r="K22" s="397"/>
      <c r="L22" s="410">
        <f>'descarga app P&amp;S'!E53/1000</f>
        <v>1421.2784899999999</v>
      </c>
      <c r="M22" s="410"/>
      <c r="N22" s="410">
        <f>'descarga app P&amp;S'!C53/1000</f>
        <v>40514.561750000001</v>
      </c>
      <c r="O22" s="397"/>
      <c r="P22" s="393">
        <f>'descarga app P&amp;S'!F53/1000</f>
        <v>4119.0250800000003</v>
      </c>
      <c r="Q22" s="397"/>
      <c r="R22" s="447">
        <f>'descarga app P&amp;S'!H53/1000</f>
        <v>1974.3590200000001</v>
      </c>
      <c r="S22" s="397"/>
      <c r="T22" s="393">
        <f>'descarga app P&amp;S'!M53/1000</f>
        <v>43531.12962</v>
      </c>
      <c r="U22" s="397"/>
      <c r="V22" s="446">
        <f>'descarga app P&amp;S'!J53/1000</f>
        <v>1543.7389200000002</v>
      </c>
      <c r="W22" s="446"/>
      <c r="X22" s="446">
        <f>'descarga app P&amp;S'!D53/1000</f>
        <v>2667.1207799999997</v>
      </c>
      <c r="Y22" s="397"/>
      <c r="Z22" s="393">
        <f>'descarga app P&amp;S'!B53/1000</f>
        <v>53928.011200000001</v>
      </c>
      <c r="AA22" s="61"/>
    </row>
    <row r="23" spans="1:27" ht="15.75" x14ac:dyDescent="0.3">
      <c r="A23" s="60" t="s">
        <v>187</v>
      </c>
      <c r="B23" s="396">
        <f t="shared" si="0"/>
        <v>10853.48079</v>
      </c>
      <c r="C23" s="402"/>
      <c r="D23" s="396">
        <f>'descarga app P&amp;S'!G54/1000</f>
        <v>0</v>
      </c>
      <c r="E23" s="397"/>
      <c r="F23" s="397">
        <f>'descarga app P&amp;S'!L54/1000</f>
        <v>0</v>
      </c>
      <c r="G23" s="397"/>
      <c r="H23" s="396">
        <f>'descarga app P&amp;S'!K54/1000</f>
        <v>0</v>
      </c>
      <c r="I23" s="397"/>
      <c r="J23" s="397">
        <f>'descarga app P&amp;S'!I54/1000</f>
        <v>0</v>
      </c>
      <c r="K23" s="397"/>
      <c r="L23" s="411">
        <f>'descarga app P&amp;S'!E54/1000</f>
        <v>0</v>
      </c>
      <c r="M23" s="411"/>
      <c r="N23" s="411">
        <f>'descarga app P&amp;S'!C54/1000</f>
        <v>7432.3174300000001</v>
      </c>
      <c r="O23" s="397"/>
      <c r="P23" s="397">
        <f>'descarga app P&amp;S'!F54/1000</f>
        <v>0</v>
      </c>
      <c r="Q23" s="397"/>
      <c r="R23" s="448">
        <f>'descarga app P&amp;S'!H54/1000</f>
        <v>0</v>
      </c>
      <c r="S23" s="397"/>
      <c r="T23" s="397">
        <f>'descarga app P&amp;S'!M54/1000</f>
        <v>0</v>
      </c>
      <c r="U23" s="397"/>
      <c r="V23" s="529">
        <f>'descarga app P&amp;S'!J54/1000</f>
        <v>0</v>
      </c>
      <c r="W23" s="397"/>
      <c r="X23" s="576">
        <f>'descarga app P&amp;S'!D54/1000</f>
        <v>1938.73992</v>
      </c>
      <c r="Y23" s="397"/>
      <c r="Z23" s="397">
        <f>'descarga app P&amp;S'!B54/1000</f>
        <v>1482.42344</v>
      </c>
      <c r="AA23" s="61"/>
    </row>
    <row r="24" spans="1:27" ht="15.75" x14ac:dyDescent="0.3">
      <c r="A24" s="75" t="s">
        <v>188</v>
      </c>
      <c r="B24" s="394">
        <f t="shared" si="0"/>
        <v>42688.384049999986</v>
      </c>
      <c r="C24" s="402"/>
      <c r="D24" s="394">
        <f>'descarga app P&amp;S'!G55/1000</f>
        <v>187.1</v>
      </c>
      <c r="E24" s="397"/>
      <c r="F24" s="398">
        <f>'descarga app P&amp;S'!L55/1000</f>
        <v>0</v>
      </c>
      <c r="G24" s="397"/>
      <c r="H24" s="394">
        <f>'descarga app P&amp;S'!K55/1000</f>
        <v>38519.608049999995</v>
      </c>
      <c r="I24" s="397"/>
      <c r="J24" s="398">
        <f>'descarga app P&amp;S'!I55/1000</f>
        <v>0</v>
      </c>
      <c r="K24" s="397"/>
      <c r="L24" s="412">
        <f>'descarga app P&amp;S'!E55/1000</f>
        <v>0</v>
      </c>
      <c r="M24" s="412"/>
      <c r="N24" s="412">
        <f>'descarga app P&amp;S'!C55/1000</f>
        <v>3773.4117200000001</v>
      </c>
      <c r="O24" s="397"/>
      <c r="P24" s="398">
        <f>'descarga app P&amp;S'!F55/1000</f>
        <v>109.90022999999999</v>
      </c>
      <c r="Q24" s="397"/>
      <c r="R24" s="434">
        <f>'descarga app P&amp;S'!H55/1000</f>
        <v>0</v>
      </c>
      <c r="S24" s="397"/>
      <c r="T24" s="398">
        <f>'descarga app P&amp;S'!M55/1000</f>
        <v>98.364050000000006</v>
      </c>
      <c r="U24" s="397"/>
      <c r="V24" s="413">
        <f>'descarga app P&amp;S'!J55/1000</f>
        <v>0</v>
      </c>
      <c r="W24" s="397"/>
      <c r="X24" s="576">
        <f>'descarga app P&amp;S'!D55/1000</f>
        <v>0</v>
      </c>
      <c r="Y24" s="397"/>
      <c r="Z24" s="398">
        <f>'descarga app P&amp;S'!B55/1000</f>
        <v>0</v>
      </c>
      <c r="AA24" s="61"/>
    </row>
    <row r="25" spans="1:27" ht="15.75" x14ac:dyDescent="0.3">
      <c r="A25" s="60" t="s">
        <v>189</v>
      </c>
      <c r="B25" s="396">
        <f t="shared" si="0"/>
        <v>19091.84002</v>
      </c>
      <c r="C25" s="402"/>
      <c r="D25" s="396">
        <f>'descarga app P&amp;S'!G56/1000</f>
        <v>0</v>
      </c>
      <c r="E25" s="397"/>
      <c r="F25" s="397">
        <f>'descarga app P&amp;S'!L56/1000</f>
        <v>0</v>
      </c>
      <c r="G25" s="397"/>
      <c r="H25" s="396">
        <f>'descarga app P&amp;S'!K56/1000</f>
        <v>0</v>
      </c>
      <c r="I25" s="397"/>
      <c r="J25" s="397">
        <f>'descarga app P&amp;S'!I56/1000</f>
        <v>0</v>
      </c>
      <c r="K25" s="397"/>
      <c r="L25" s="411">
        <f>'descarga app P&amp;S'!E56/1000</f>
        <v>0</v>
      </c>
      <c r="M25" s="411"/>
      <c r="N25" s="411">
        <f>'descarga app P&amp;S'!C56/1000</f>
        <v>0</v>
      </c>
      <c r="O25" s="397"/>
      <c r="P25" s="397">
        <f>'descarga app P&amp;S'!F56/1000</f>
        <v>362.36894000000001</v>
      </c>
      <c r="Q25" s="397"/>
      <c r="R25" s="448">
        <f>'descarga app P&amp;S'!H56/1000</f>
        <v>0</v>
      </c>
      <c r="S25" s="397"/>
      <c r="T25" s="397">
        <f>'descarga app P&amp;S'!M56/1000</f>
        <v>0</v>
      </c>
      <c r="U25" s="397"/>
      <c r="V25" s="529">
        <f>'descarga app P&amp;S'!J56/1000</f>
        <v>0</v>
      </c>
      <c r="W25" s="397"/>
      <c r="X25" s="576">
        <f>'descarga app P&amp;S'!D56/1000</f>
        <v>0</v>
      </c>
      <c r="Y25" s="397"/>
      <c r="Z25" s="397">
        <f>'descarga app P&amp;S'!B56/1000</f>
        <v>18729.471079999999</v>
      </c>
      <c r="AA25" s="61"/>
    </row>
    <row r="26" spans="1:27" ht="15.75" x14ac:dyDescent="0.3">
      <c r="A26" s="75" t="s">
        <v>190</v>
      </c>
      <c r="B26" s="394">
        <f t="shared" si="0"/>
        <v>0</v>
      </c>
      <c r="C26" s="402"/>
      <c r="D26" s="394">
        <f>'descarga app P&amp;S'!G57/1000</f>
        <v>0</v>
      </c>
      <c r="E26" s="397"/>
      <c r="F26" s="398">
        <f>'descarga app P&amp;S'!L57/1000</f>
        <v>0</v>
      </c>
      <c r="G26" s="397"/>
      <c r="H26" s="394">
        <f>'descarga app P&amp;S'!K57/1000</f>
        <v>0</v>
      </c>
      <c r="I26" s="397"/>
      <c r="J26" s="398">
        <f>'descarga app P&amp;S'!I57/1000</f>
        <v>0</v>
      </c>
      <c r="K26" s="397"/>
      <c r="L26" s="412">
        <f>'descarga app P&amp;S'!E57/1000</f>
        <v>0</v>
      </c>
      <c r="M26" s="412"/>
      <c r="N26" s="412">
        <f>'descarga app P&amp;S'!C57/1000</f>
        <v>0</v>
      </c>
      <c r="O26" s="397"/>
      <c r="P26" s="398">
        <f>'descarga app P&amp;S'!F57/1000</f>
        <v>0</v>
      </c>
      <c r="Q26" s="397"/>
      <c r="R26" s="434">
        <f>'descarga app P&amp;S'!H57/1000</f>
        <v>0</v>
      </c>
      <c r="S26" s="397"/>
      <c r="T26" s="398">
        <f>'descarga app P&amp;S'!M57/1000</f>
        <v>0</v>
      </c>
      <c r="U26" s="397"/>
      <c r="V26" s="413">
        <f>'descarga app P&amp;S'!J57/1000</f>
        <v>0</v>
      </c>
      <c r="W26" s="397"/>
      <c r="X26" s="576">
        <f>'descarga app P&amp;S'!D57/1000</f>
        <v>0</v>
      </c>
      <c r="Y26" s="397"/>
      <c r="Z26" s="398">
        <f>'descarga app P&amp;S'!B57/1000</f>
        <v>0</v>
      </c>
      <c r="AA26" s="61"/>
    </row>
    <row r="27" spans="1:27" ht="15.75" x14ac:dyDescent="0.3">
      <c r="A27" s="60" t="s">
        <v>221</v>
      </c>
      <c r="B27" s="396">
        <f t="shared" si="0"/>
        <v>2744.2276199999997</v>
      </c>
      <c r="C27" s="402"/>
      <c r="D27" s="396">
        <f>'descarga app P&amp;S'!G58/1000</f>
        <v>36.130690000000001</v>
      </c>
      <c r="E27" s="397"/>
      <c r="F27" s="397">
        <f>'descarga app P&amp;S'!L58/1000</f>
        <v>0</v>
      </c>
      <c r="G27" s="397"/>
      <c r="H27" s="396">
        <f>'descarga app P&amp;S'!K58/1000</f>
        <v>0</v>
      </c>
      <c r="I27" s="397"/>
      <c r="J27" s="397">
        <f>'descarga app P&amp;S'!I58/1000</f>
        <v>2435.8447799999999</v>
      </c>
      <c r="K27" s="397"/>
      <c r="L27" s="411">
        <f>'descarga app P&amp;S'!E58/1000</f>
        <v>264.93680000000001</v>
      </c>
      <c r="M27" s="411"/>
      <c r="N27" s="411">
        <f>'descarga app P&amp;S'!C58/1000</f>
        <v>7.3153500000000005</v>
      </c>
      <c r="O27" s="397"/>
      <c r="P27" s="397">
        <f>'descarga app P&amp;S'!F58/1000</f>
        <v>0</v>
      </c>
      <c r="Q27" s="397"/>
      <c r="R27" s="448">
        <f>'descarga app P&amp;S'!H58/1000</f>
        <v>0</v>
      </c>
      <c r="S27" s="397"/>
      <c r="T27" s="397">
        <f>'descarga app P&amp;S'!M58/1000</f>
        <v>0</v>
      </c>
      <c r="U27" s="397"/>
      <c r="V27" s="529">
        <f>'descarga app P&amp;S'!J58/1000</f>
        <v>0</v>
      </c>
      <c r="W27" s="397"/>
      <c r="X27" s="576">
        <f>'descarga app P&amp;S'!D58/1000</f>
        <v>0</v>
      </c>
      <c r="Y27" s="397"/>
      <c r="Z27" s="397">
        <f>'descarga app P&amp;S'!B58/1000</f>
        <v>0</v>
      </c>
      <c r="AA27" s="61"/>
    </row>
    <row r="28" spans="1:27" ht="15.75" x14ac:dyDescent="0.3">
      <c r="A28" s="75" t="s">
        <v>222</v>
      </c>
      <c r="B28" s="394">
        <f t="shared" si="0"/>
        <v>0</v>
      </c>
      <c r="C28" s="402"/>
      <c r="D28" s="394">
        <f>'descarga app P&amp;S'!G59/1000</f>
        <v>0</v>
      </c>
      <c r="E28" s="397"/>
      <c r="F28" s="398">
        <f>'descarga app P&amp;S'!L59/1000</f>
        <v>0</v>
      </c>
      <c r="G28" s="397"/>
      <c r="H28" s="394">
        <f>'descarga app P&amp;S'!K59/1000</f>
        <v>0</v>
      </c>
      <c r="I28" s="397"/>
      <c r="J28" s="398">
        <f>'descarga app P&amp;S'!I59/1000</f>
        <v>0</v>
      </c>
      <c r="K28" s="397"/>
      <c r="L28" s="412">
        <f>'descarga app P&amp;S'!E59/1000</f>
        <v>0</v>
      </c>
      <c r="M28" s="412"/>
      <c r="N28" s="412">
        <f>'descarga app P&amp;S'!C59/1000</f>
        <v>0</v>
      </c>
      <c r="O28" s="397"/>
      <c r="P28" s="398">
        <f>'descarga app P&amp;S'!F59/1000</f>
        <v>0</v>
      </c>
      <c r="Q28" s="397"/>
      <c r="R28" s="434">
        <f>'descarga app P&amp;S'!H59/1000</f>
        <v>0</v>
      </c>
      <c r="S28" s="397"/>
      <c r="T28" s="398">
        <f>'descarga app P&amp;S'!M59/1000</f>
        <v>0</v>
      </c>
      <c r="U28" s="397"/>
      <c r="V28" s="413">
        <f>'descarga app P&amp;S'!J59/1000</f>
        <v>0</v>
      </c>
      <c r="W28" s="397"/>
      <c r="X28" s="576">
        <f>'descarga app P&amp;S'!D59/1000</f>
        <v>0</v>
      </c>
      <c r="Y28" s="397"/>
      <c r="Z28" s="398">
        <f>'descarga app P&amp;S'!B59/1000</f>
        <v>0</v>
      </c>
      <c r="AA28" s="61"/>
    </row>
    <row r="29" spans="1:27" ht="15.75" x14ac:dyDescent="0.3">
      <c r="A29" s="60" t="s">
        <v>193</v>
      </c>
      <c r="B29" s="396">
        <f t="shared" si="0"/>
        <v>16724.070500000002</v>
      </c>
      <c r="C29" s="402"/>
      <c r="D29" s="396">
        <f>'descarga app P&amp;S'!G60/1000</f>
        <v>536.11007999999993</v>
      </c>
      <c r="E29" s="397"/>
      <c r="F29" s="397">
        <f>'descarga app P&amp;S'!L60/1000</f>
        <v>0</v>
      </c>
      <c r="G29" s="397"/>
      <c r="H29" s="396">
        <f>'descarga app P&amp;S'!K60/1000</f>
        <v>411.62815999999998</v>
      </c>
      <c r="I29" s="397"/>
      <c r="J29" s="397">
        <f>'descarga app P&amp;S'!I60/1000</f>
        <v>13745.58877</v>
      </c>
      <c r="K29" s="397"/>
      <c r="L29" s="411">
        <f>'descarga app P&amp;S'!E60/1000</f>
        <v>0</v>
      </c>
      <c r="M29" s="411"/>
      <c r="N29" s="411">
        <f>'descarga app P&amp;S'!C60/1000</f>
        <v>1251.7856499999998</v>
      </c>
      <c r="O29" s="397"/>
      <c r="P29" s="397">
        <f>'descarga app P&amp;S'!F60/1000</f>
        <v>16.411999999999999</v>
      </c>
      <c r="Q29" s="397"/>
      <c r="R29" s="448">
        <f>'descarga app P&amp;S'!H60/1000</f>
        <v>285.94448</v>
      </c>
      <c r="S29" s="397"/>
      <c r="T29" s="397">
        <f>'descarga app P&amp;S'!M60/1000</f>
        <v>455.01339000000002</v>
      </c>
      <c r="U29" s="397"/>
      <c r="V29" s="529">
        <f>'descarga app P&amp;S'!J60/1000</f>
        <v>0</v>
      </c>
      <c r="W29" s="397"/>
      <c r="X29" s="576">
        <f>'descarga app P&amp;S'!D60/1000</f>
        <v>0</v>
      </c>
      <c r="Y29" s="397"/>
      <c r="Z29" s="397">
        <f>'descarga app P&amp;S'!B60/1000</f>
        <v>21.587970000000002</v>
      </c>
      <c r="AA29" s="61"/>
    </row>
    <row r="30" spans="1:27" ht="15.75" x14ac:dyDescent="0.3">
      <c r="A30" s="75" t="s">
        <v>194</v>
      </c>
      <c r="B30" s="394">
        <f t="shared" si="0"/>
        <v>24260.972649999996</v>
      </c>
      <c r="C30" s="402"/>
      <c r="D30" s="394">
        <f>'descarga app P&amp;S'!G61/1000</f>
        <v>5375.05213</v>
      </c>
      <c r="E30" s="397"/>
      <c r="F30" s="398">
        <f>'descarga app P&amp;S'!L61/1000</f>
        <v>0</v>
      </c>
      <c r="G30" s="397"/>
      <c r="H30" s="394">
        <f>'descarga app P&amp;S'!K61/1000</f>
        <v>94.31456</v>
      </c>
      <c r="I30" s="397"/>
      <c r="J30" s="398">
        <f>'descarga app P&amp;S'!I61/1000</f>
        <v>2397.3646100000001</v>
      </c>
      <c r="K30" s="397"/>
      <c r="L30" s="412">
        <f>'descarga app P&amp;S'!E61/1000</f>
        <v>471.80953999999997</v>
      </c>
      <c r="M30" s="412"/>
      <c r="N30" s="412">
        <f>'descarga app P&amp;S'!C61/1000</f>
        <v>9982.5486899999996</v>
      </c>
      <c r="O30" s="397"/>
      <c r="P30" s="398">
        <f>'descarga app P&amp;S'!F61/1000</f>
        <v>1500</v>
      </c>
      <c r="Q30" s="397"/>
      <c r="R30" s="434">
        <f>'descarga app P&amp;S'!H61/1000</f>
        <v>0</v>
      </c>
      <c r="S30" s="397"/>
      <c r="T30" s="398">
        <f>'descarga app P&amp;S'!M61/1000</f>
        <v>3023.6157699999999</v>
      </c>
      <c r="U30" s="397"/>
      <c r="V30" s="413">
        <f>'descarga app P&amp;S'!J61/1000</f>
        <v>1416.2673500000001</v>
      </c>
      <c r="W30" s="397"/>
      <c r="X30" s="576">
        <f>'descarga app P&amp;S'!D61/1000</f>
        <v>0</v>
      </c>
      <c r="Y30" s="397"/>
      <c r="Z30" s="398">
        <f>'descarga app P&amp;S'!B61/1000</f>
        <v>0</v>
      </c>
      <c r="AA30" s="61"/>
    </row>
    <row r="31" spans="1:27" ht="15.75" x14ac:dyDescent="0.3">
      <c r="A31" s="60" t="s">
        <v>195</v>
      </c>
      <c r="B31" s="477">
        <f t="shared" si="0"/>
        <v>39739.370159999991</v>
      </c>
      <c r="C31" s="402"/>
      <c r="D31" s="396">
        <f>'descarga app P&amp;S'!G62/1000</f>
        <v>13371.19716</v>
      </c>
      <c r="E31" s="397"/>
      <c r="F31" s="397">
        <f>'descarga app P&amp;S'!L62/1000</f>
        <v>0</v>
      </c>
      <c r="G31" s="397"/>
      <c r="H31" s="396">
        <f>'descarga app P&amp;S'!K62/1000</f>
        <v>61.851910000000004</v>
      </c>
      <c r="I31" s="397"/>
      <c r="J31" s="397">
        <f>'descarga app P&amp;S'!I62/1000</f>
        <v>16739.7297</v>
      </c>
      <c r="K31" s="397"/>
      <c r="L31" s="411">
        <f>'descarga app P&amp;S'!E62/1000</f>
        <v>178.26489999999998</v>
      </c>
      <c r="M31" s="411"/>
      <c r="N31" s="411">
        <f>'descarga app P&amp;S'!C62/1000</f>
        <v>6759.2949900000003</v>
      </c>
      <c r="O31" s="397"/>
      <c r="P31" s="397">
        <f>'descarga app P&amp;S'!F62/1000</f>
        <v>434.73634999999996</v>
      </c>
      <c r="Q31" s="397"/>
      <c r="R31" s="448">
        <f>'descarga app P&amp;S'!H62/1000</f>
        <v>1176.08529</v>
      </c>
      <c r="S31" s="397"/>
      <c r="T31" s="397">
        <f>'descarga app P&amp;S'!M62/1000</f>
        <v>270.45918</v>
      </c>
      <c r="U31" s="397"/>
      <c r="V31" s="529">
        <f>'descarga app P&amp;S'!J62/1000</f>
        <v>0</v>
      </c>
      <c r="W31" s="397"/>
      <c r="X31" s="576">
        <f>'descarga app P&amp;S'!D62/1000</f>
        <v>0</v>
      </c>
      <c r="Y31" s="397"/>
      <c r="Z31" s="397">
        <f>'descarga app P&amp;S'!B62/1000</f>
        <v>747.7506800000001</v>
      </c>
      <c r="AA31" s="61"/>
    </row>
    <row r="32" spans="1:27" ht="15.75" x14ac:dyDescent="0.3">
      <c r="A32" s="75" t="s">
        <v>196</v>
      </c>
      <c r="B32" s="394">
        <f t="shared" si="0"/>
        <v>5.45</v>
      </c>
      <c r="C32" s="402"/>
      <c r="D32" s="394">
        <f>'descarga app P&amp;S'!G63/1000</f>
        <v>0</v>
      </c>
      <c r="E32" s="397"/>
      <c r="F32" s="398">
        <f>'descarga app P&amp;S'!L63/1000</f>
        <v>0</v>
      </c>
      <c r="G32" s="397"/>
      <c r="H32" s="394">
        <f>'descarga app P&amp;S'!K63/1000</f>
        <v>0</v>
      </c>
      <c r="I32" s="397"/>
      <c r="J32" s="398">
        <f>'descarga app P&amp;S'!I63/1000</f>
        <v>0</v>
      </c>
      <c r="K32" s="397"/>
      <c r="L32" s="412">
        <f>'descarga app P&amp;S'!E63/1000</f>
        <v>0</v>
      </c>
      <c r="M32" s="412"/>
      <c r="N32" s="412">
        <f>'descarga app P&amp;S'!C63/1000</f>
        <v>5.45</v>
      </c>
      <c r="O32" s="397"/>
      <c r="P32" s="398">
        <f>'descarga app P&amp;S'!F63/1000</f>
        <v>0</v>
      </c>
      <c r="Q32" s="397"/>
      <c r="R32" s="434">
        <f>'descarga app P&amp;S'!H63/1000</f>
        <v>0</v>
      </c>
      <c r="S32" s="397"/>
      <c r="T32" s="398">
        <f>'descarga app P&amp;S'!M63/1000</f>
        <v>0</v>
      </c>
      <c r="U32" s="397"/>
      <c r="V32" s="413">
        <f>'descarga app P&amp;S'!J63/1000</f>
        <v>0</v>
      </c>
      <c r="W32" s="397"/>
      <c r="X32" s="576">
        <f>'descarga app P&amp;S'!D63/1000</f>
        <v>0</v>
      </c>
      <c r="Y32" s="397"/>
      <c r="Z32" s="398">
        <f>'descarga app P&amp;S'!B63/1000</f>
        <v>0</v>
      </c>
      <c r="AA32" s="61"/>
    </row>
    <row r="33" spans="1:27" ht="15.75" x14ac:dyDescent="0.3">
      <c r="A33" s="60" t="s">
        <v>197</v>
      </c>
      <c r="B33" s="396">
        <f t="shared" si="0"/>
        <v>12.20614</v>
      </c>
      <c r="C33" s="402"/>
      <c r="D33" s="396">
        <f>'descarga app P&amp;S'!G64/1000</f>
        <v>0</v>
      </c>
      <c r="E33" s="397"/>
      <c r="F33" s="397">
        <f>'descarga app P&amp;S'!L64/1000</f>
        <v>0</v>
      </c>
      <c r="G33" s="397"/>
      <c r="H33" s="396">
        <f>'descarga app P&amp;S'!K64/1000</f>
        <v>0</v>
      </c>
      <c r="I33" s="397"/>
      <c r="J33" s="397">
        <f>'descarga app P&amp;S'!I64/1000</f>
        <v>0</v>
      </c>
      <c r="K33" s="397"/>
      <c r="L33" s="411">
        <f>'descarga app P&amp;S'!E64/1000</f>
        <v>0</v>
      </c>
      <c r="M33" s="411"/>
      <c r="N33" s="411">
        <f>'descarga app P&amp;S'!C64/1000</f>
        <v>0</v>
      </c>
      <c r="O33" s="397"/>
      <c r="P33" s="397">
        <f>'descarga app P&amp;S'!F64/1000</f>
        <v>0</v>
      </c>
      <c r="Q33" s="397"/>
      <c r="R33" s="448">
        <f>'descarga app P&amp;S'!H64/1000</f>
        <v>0</v>
      </c>
      <c r="S33" s="397"/>
      <c r="T33" s="397">
        <f>'descarga app P&amp;S'!M64/1000</f>
        <v>12.20614</v>
      </c>
      <c r="U33" s="397"/>
      <c r="V33" s="529">
        <f>'descarga app P&amp;S'!J64/1000</f>
        <v>0</v>
      </c>
      <c r="W33" s="397"/>
      <c r="X33" s="576">
        <f>'descarga app P&amp;S'!D64/1000</f>
        <v>0</v>
      </c>
      <c r="Y33" s="397"/>
      <c r="Z33" s="397">
        <f>'descarga app P&amp;S'!B64/1000</f>
        <v>0</v>
      </c>
      <c r="AA33" s="61"/>
    </row>
    <row r="34" spans="1:27" ht="15.75" x14ac:dyDescent="0.3">
      <c r="A34" s="75" t="s">
        <v>198</v>
      </c>
      <c r="B34" s="394">
        <f t="shared" si="0"/>
        <v>0</v>
      </c>
      <c r="C34" s="402"/>
      <c r="D34" s="394">
        <f>'descarga app P&amp;S'!G65/1000</f>
        <v>0</v>
      </c>
      <c r="E34" s="397"/>
      <c r="F34" s="398">
        <f>'descarga app P&amp;S'!L65/1000</f>
        <v>0</v>
      </c>
      <c r="G34" s="397"/>
      <c r="H34" s="394">
        <f>'descarga app P&amp;S'!K65/1000</f>
        <v>0</v>
      </c>
      <c r="I34" s="397"/>
      <c r="J34" s="398">
        <f>'descarga app P&amp;S'!I65/1000</f>
        <v>0</v>
      </c>
      <c r="K34" s="397"/>
      <c r="L34" s="412">
        <f>'descarga app P&amp;S'!E65/1000</f>
        <v>0</v>
      </c>
      <c r="M34" s="412"/>
      <c r="N34" s="412">
        <f>'descarga app P&amp;S'!C65/1000</f>
        <v>0</v>
      </c>
      <c r="O34" s="397"/>
      <c r="P34" s="398">
        <f>'descarga app P&amp;S'!F65/1000</f>
        <v>0</v>
      </c>
      <c r="Q34" s="397"/>
      <c r="R34" s="434">
        <f>'descarga app P&amp;S'!H65/1000</f>
        <v>0</v>
      </c>
      <c r="S34" s="397"/>
      <c r="T34" s="398">
        <f>'descarga app P&amp;S'!M65/1000</f>
        <v>0</v>
      </c>
      <c r="U34" s="397"/>
      <c r="V34" s="413">
        <f>'descarga app P&amp;S'!J65/1000</f>
        <v>0</v>
      </c>
      <c r="W34" s="397"/>
      <c r="X34" s="576">
        <f>'descarga app P&amp;S'!D65/1000</f>
        <v>0</v>
      </c>
      <c r="Y34" s="397"/>
      <c r="Z34" s="398">
        <f>'descarga app P&amp;S'!B65/1000</f>
        <v>0</v>
      </c>
      <c r="AA34" s="61"/>
    </row>
    <row r="35" spans="1:27" ht="15.75" x14ac:dyDescent="0.3">
      <c r="A35" s="60" t="s">
        <v>199</v>
      </c>
      <c r="B35" s="396">
        <f t="shared" si="0"/>
        <v>46839.440260000003</v>
      </c>
      <c r="C35" s="402"/>
      <c r="D35" s="396">
        <f>'descarga app P&amp;S'!G66/1000</f>
        <v>327.00961000000001</v>
      </c>
      <c r="E35" s="397"/>
      <c r="F35" s="397">
        <f>'descarga app P&amp;S'!L66/1000</f>
        <v>0</v>
      </c>
      <c r="G35" s="397"/>
      <c r="H35" s="396">
        <f>'descarga app P&amp;S'!K66/1000</f>
        <v>18145.478950000001</v>
      </c>
      <c r="I35" s="397"/>
      <c r="J35" s="397">
        <f>'descarga app P&amp;S'!I66/1000</f>
        <v>22420.04161</v>
      </c>
      <c r="K35" s="397"/>
      <c r="L35" s="411">
        <f>'descarga app P&amp;S'!E66/1000</f>
        <v>0</v>
      </c>
      <c r="M35" s="411"/>
      <c r="N35" s="411">
        <f>'descarga app P&amp;S'!C66/1000</f>
        <v>0</v>
      </c>
      <c r="O35" s="397"/>
      <c r="P35" s="397">
        <f>'descarga app P&amp;S'!F66/1000</f>
        <v>0</v>
      </c>
      <c r="Q35" s="397"/>
      <c r="R35" s="448">
        <f>'descarga app P&amp;S'!H66/1000</f>
        <v>512.32925</v>
      </c>
      <c r="S35" s="397"/>
      <c r="T35" s="397">
        <f>'descarga app P&amp;S'!M66/1000</f>
        <v>0</v>
      </c>
      <c r="U35" s="397"/>
      <c r="V35" s="529">
        <f>'descarga app P&amp;S'!J66/1000</f>
        <v>0</v>
      </c>
      <c r="W35" s="397"/>
      <c r="X35" s="576">
        <f>'descarga app P&amp;S'!D66/1000</f>
        <v>0</v>
      </c>
      <c r="Y35" s="397"/>
      <c r="Z35" s="397">
        <f>'descarga app P&amp;S'!B66/1000</f>
        <v>5434.5808399999996</v>
      </c>
      <c r="AA35" s="61"/>
    </row>
    <row r="36" spans="1:27" ht="15.75" x14ac:dyDescent="0.3">
      <c r="A36" s="75" t="s">
        <v>200</v>
      </c>
      <c r="B36" s="394">
        <f t="shared" si="0"/>
        <v>0</v>
      </c>
      <c r="C36" s="402"/>
      <c r="D36" s="394">
        <f>'descarga app P&amp;S'!G67/1000</f>
        <v>0</v>
      </c>
      <c r="E36" s="397"/>
      <c r="F36" s="398">
        <f>'descarga app P&amp;S'!L67/1000</f>
        <v>0</v>
      </c>
      <c r="G36" s="397"/>
      <c r="H36" s="394">
        <f>'descarga app P&amp;S'!K67/1000</f>
        <v>0</v>
      </c>
      <c r="I36" s="397"/>
      <c r="J36" s="398">
        <f>'descarga app P&amp;S'!I67/1000</f>
        <v>0</v>
      </c>
      <c r="K36" s="397"/>
      <c r="L36" s="412">
        <f>'descarga app P&amp;S'!E67/1000</f>
        <v>0</v>
      </c>
      <c r="M36" s="412"/>
      <c r="N36" s="412">
        <f>'descarga app P&amp;S'!C67/1000</f>
        <v>0</v>
      </c>
      <c r="O36" s="397"/>
      <c r="P36" s="398">
        <f>'descarga app P&amp;S'!F67/1000</f>
        <v>0</v>
      </c>
      <c r="Q36" s="397"/>
      <c r="R36" s="434">
        <f>'descarga app P&amp;S'!H67/1000</f>
        <v>0</v>
      </c>
      <c r="S36" s="397"/>
      <c r="T36" s="398">
        <f>'descarga app P&amp;S'!M67/1000</f>
        <v>0</v>
      </c>
      <c r="U36" s="397"/>
      <c r="V36" s="413">
        <f>'descarga app P&amp;S'!J67/1000</f>
        <v>0</v>
      </c>
      <c r="W36" s="397"/>
      <c r="X36" s="576">
        <f>'descarga app P&amp;S'!D67/1000</f>
        <v>0</v>
      </c>
      <c r="Y36" s="397"/>
      <c r="Z36" s="398">
        <f>'descarga app P&amp;S'!B67/1000</f>
        <v>0</v>
      </c>
      <c r="AA36" s="61"/>
    </row>
    <row r="37" spans="1:27" ht="15.75" x14ac:dyDescent="0.3">
      <c r="A37" s="60" t="s">
        <v>201</v>
      </c>
      <c r="B37" s="477">
        <f t="shared" si="0"/>
        <v>14799.830000000002</v>
      </c>
      <c r="C37" s="402"/>
      <c r="D37" s="396">
        <f>'descarga app P&amp;S'!G68/1000</f>
        <v>2548.52808</v>
      </c>
      <c r="E37" s="397"/>
      <c r="F37" s="397">
        <f>'descarga app P&amp;S'!L68/1000</f>
        <v>0</v>
      </c>
      <c r="G37" s="397"/>
      <c r="H37" s="396">
        <f>'descarga app P&amp;S'!K68/1000</f>
        <v>905.39029000000005</v>
      </c>
      <c r="I37" s="397"/>
      <c r="J37" s="397">
        <f>'descarga app P&amp;S'!I68/1000</f>
        <v>2378.4827</v>
      </c>
      <c r="K37" s="397"/>
      <c r="L37" s="411">
        <f>'descarga app P&amp;S'!E68/1000</f>
        <v>486.80594000000002</v>
      </c>
      <c r="M37" s="411"/>
      <c r="N37" s="411">
        <f>'descarga app P&amp;S'!C68/1000</f>
        <v>812.91528000000005</v>
      </c>
      <c r="O37" s="397"/>
      <c r="P37" s="397">
        <f>'descarga app P&amp;S'!F68/1000</f>
        <v>56.389410000000005</v>
      </c>
      <c r="Q37" s="397"/>
      <c r="R37" s="448">
        <f>'descarga app P&amp;S'!H68/1000</f>
        <v>0</v>
      </c>
      <c r="S37" s="397"/>
      <c r="T37" s="397">
        <f>'descarga app P&amp;S'!M68/1000</f>
        <v>3204.9384</v>
      </c>
      <c r="U37" s="397"/>
      <c r="V37" s="529">
        <f>'descarga app P&amp;S'!J68/1000</f>
        <v>22.598770000000002</v>
      </c>
      <c r="W37" s="397"/>
      <c r="X37" s="576">
        <f>'descarga app P&amp;S'!D68/1000</f>
        <v>0</v>
      </c>
      <c r="Y37" s="397"/>
      <c r="Z37" s="397">
        <f>'descarga app P&amp;S'!B68/1000</f>
        <v>4383.7811300000003</v>
      </c>
      <c r="AA37" s="61"/>
    </row>
    <row r="38" spans="1:27" ht="15.75" x14ac:dyDescent="0.3">
      <c r="A38" s="75" t="s">
        <v>202</v>
      </c>
      <c r="B38" s="483">
        <f t="shared" si="0"/>
        <v>6148.4565700000003</v>
      </c>
      <c r="C38" s="402"/>
      <c r="D38" s="394">
        <f>'descarga app P&amp;S'!G69/1000</f>
        <v>0</v>
      </c>
      <c r="E38" s="397"/>
      <c r="F38" s="398">
        <f>'descarga app P&amp;S'!L69/1000</f>
        <v>0</v>
      </c>
      <c r="G38" s="397"/>
      <c r="H38" s="394">
        <f>'descarga app P&amp;S'!K69/1000</f>
        <v>0</v>
      </c>
      <c r="I38" s="397"/>
      <c r="J38" s="398">
        <f>'descarga app P&amp;S'!I69/1000</f>
        <v>0</v>
      </c>
      <c r="K38" s="397"/>
      <c r="L38" s="412">
        <f>'descarga app P&amp;S'!E69/1000</f>
        <v>0</v>
      </c>
      <c r="M38" s="412"/>
      <c r="N38" s="412">
        <f>'descarga app P&amp;S'!C69/1000</f>
        <v>0</v>
      </c>
      <c r="O38" s="397"/>
      <c r="P38" s="398">
        <f>'descarga app P&amp;S'!F69/1000</f>
        <v>0</v>
      </c>
      <c r="Q38" s="397"/>
      <c r="R38" s="434">
        <f>'descarga app P&amp;S'!H69/1000</f>
        <v>0</v>
      </c>
      <c r="S38" s="397"/>
      <c r="T38" s="398">
        <f>'descarga app P&amp;S'!M69/1000</f>
        <v>6148.4565700000003</v>
      </c>
      <c r="U38" s="397"/>
      <c r="V38" s="413">
        <f>'descarga app P&amp;S'!J69/1000</f>
        <v>0</v>
      </c>
      <c r="W38" s="397"/>
      <c r="X38" s="576">
        <f>'descarga app P&amp;S'!D69/1000</f>
        <v>0</v>
      </c>
      <c r="Y38" s="397"/>
      <c r="Z38" s="398">
        <f>'descarga app P&amp;S'!B69/1000</f>
        <v>0</v>
      </c>
      <c r="AA38" s="61"/>
    </row>
    <row r="39" spans="1:27" ht="15.75" x14ac:dyDescent="0.3">
      <c r="A39" s="60" t="s">
        <v>203</v>
      </c>
      <c r="B39" s="477">
        <f t="shared" si="0"/>
        <v>10541.79027</v>
      </c>
      <c r="C39" s="402"/>
      <c r="D39" s="396">
        <f>'descarga app P&amp;S'!G70/1000</f>
        <v>3798.1424700000002</v>
      </c>
      <c r="E39" s="397"/>
      <c r="F39" s="397">
        <f>'descarga app P&amp;S'!L70/1000</f>
        <v>0</v>
      </c>
      <c r="G39" s="397"/>
      <c r="H39" s="396">
        <f>'descarga app P&amp;S'!K70/1000</f>
        <v>42.459199999999996</v>
      </c>
      <c r="I39" s="397"/>
      <c r="J39" s="397">
        <f>'descarga app P&amp;S'!I70/1000</f>
        <v>135</v>
      </c>
      <c r="K39" s="397"/>
      <c r="L39" s="411">
        <f>'descarga app P&amp;S'!E70/1000</f>
        <v>0</v>
      </c>
      <c r="M39" s="411"/>
      <c r="N39" s="411">
        <f>'descarga app P&amp;S'!C70/1000</f>
        <v>0</v>
      </c>
      <c r="O39" s="397"/>
      <c r="P39" s="397">
        <f>'descarga app P&amp;S'!F70/1000</f>
        <v>0</v>
      </c>
      <c r="Q39" s="397"/>
      <c r="R39" s="448">
        <f>'descarga app P&amp;S'!H70/1000</f>
        <v>0</v>
      </c>
      <c r="S39" s="397"/>
      <c r="T39" s="397">
        <f>'descarga app P&amp;S'!M70/1000</f>
        <v>2285.27234</v>
      </c>
      <c r="U39" s="397"/>
      <c r="V39" s="529">
        <f>'descarga app P&amp;S'!J70/1000</f>
        <v>0</v>
      </c>
      <c r="W39" s="397"/>
      <c r="X39" s="576">
        <f>'descarga app P&amp;S'!D70/1000</f>
        <v>728.38085999999998</v>
      </c>
      <c r="Y39" s="397"/>
      <c r="Z39" s="397">
        <f>'descarga app P&amp;S'!B70/1000</f>
        <v>3552.5353999999998</v>
      </c>
      <c r="AA39" s="61"/>
    </row>
    <row r="40" spans="1:27" ht="15.75" x14ac:dyDescent="0.3">
      <c r="A40" s="75" t="s">
        <v>204</v>
      </c>
      <c r="B40" s="394">
        <f t="shared" si="0"/>
        <v>10.626959999999999</v>
      </c>
      <c r="C40" s="402"/>
      <c r="D40" s="394">
        <f>'descarga app P&amp;S'!G71/1000</f>
        <v>0</v>
      </c>
      <c r="E40" s="397"/>
      <c r="F40" s="398">
        <f>'descarga app P&amp;S'!L71/1000</f>
        <v>0</v>
      </c>
      <c r="G40" s="397"/>
      <c r="H40" s="394">
        <f>'descarga app P&amp;S'!K71/1000</f>
        <v>0</v>
      </c>
      <c r="I40" s="397"/>
      <c r="J40" s="398">
        <f>'descarga app P&amp;S'!I71/1000</f>
        <v>0</v>
      </c>
      <c r="K40" s="397"/>
      <c r="L40" s="412">
        <f>'descarga app P&amp;S'!E71/1000</f>
        <v>0</v>
      </c>
      <c r="M40" s="412"/>
      <c r="N40" s="412">
        <f>'descarga app P&amp;S'!C71/1000</f>
        <v>10.626959999999999</v>
      </c>
      <c r="O40" s="397"/>
      <c r="P40" s="398">
        <f>'descarga app P&amp;S'!F71/1000</f>
        <v>0</v>
      </c>
      <c r="Q40" s="397"/>
      <c r="R40" s="434">
        <f>'descarga app P&amp;S'!H71/1000</f>
        <v>0</v>
      </c>
      <c r="S40" s="397"/>
      <c r="T40" s="398">
        <f>'descarga app P&amp;S'!M71/1000</f>
        <v>0</v>
      </c>
      <c r="U40" s="397"/>
      <c r="V40" s="413">
        <f>'descarga app P&amp;S'!J71/1000</f>
        <v>0</v>
      </c>
      <c r="W40" s="397"/>
      <c r="X40" s="576">
        <f>'descarga app P&amp;S'!D71/1000</f>
        <v>0</v>
      </c>
      <c r="Y40" s="397"/>
      <c r="Z40" s="398">
        <f>'descarga app P&amp;S'!B71/1000</f>
        <v>0</v>
      </c>
      <c r="AA40" s="61"/>
    </row>
    <row r="41" spans="1:27" ht="15.75" x14ac:dyDescent="0.3">
      <c r="A41" s="60" t="s">
        <v>205</v>
      </c>
      <c r="B41" s="396">
        <f t="shared" si="0"/>
        <v>122330.36803999999</v>
      </c>
      <c r="C41" s="402"/>
      <c r="D41" s="396">
        <f>'descarga app P&amp;S'!G72/1000</f>
        <v>2119.6600800000001</v>
      </c>
      <c r="E41" s="397"/>
      <c r="F41" s="397">
        <f>'descarga app P&amp;S'!L72/1000</f>
        <v>0</v>
      </c>
      <c r="G41" s="397"/>
      <c r="H41" s="396">
        <f>'descarga app P&amp;S'!K72/1000</f>
        <v>0</v>
      </c>
      <c r="I41" s="397"/>
      <c r="J41" s="397">
        <f>'descarga app P&amp;S'!I72/1000</f>
        <v>91727.915779999996</v>
      </c>
      <c r="K41" s="397"/>
      <c r="L41" s="411">
        <f>'descarga app P&amp;S'!E72/1000</f>
        <v>0</v>
      </c>
      <c r="M41" s="411"/>
      <c r="N41" s="411">
        <f>'descarga app P&amp;S'!C72/1000</f>
        <v>6014.5015300000005</v>
      </c>
      <c r="O41" s="397"/>
      <c r="P41" s="397">
        <f>'descarga app P&amp;S'!F72/1000</f>
        <v>0</v>
      </c>
      <c r="Q41" s="397"/>
      <c r="R41" s="448">
        <f>'descarga app P&amp;S'!H72/1000</f>
        <v>0</v>
      </c>
      <c r="S41" s="397"/>
      <c r="T41" s="397">
        <f>'descarga app P&amp;S'!M72/1000</f>
        <v>22468.290649999999</v>
      </c>
      <c r="U41" s="397"/>
      <c r="V41" s="529">
        <f>'descarga app P&amp;S'!J72/1000</f>
        <v>0</v>
      </c>
      <c r="W41" s="397"/>
      <c r="X41" s="576">
        <f>'descarga app P&amp;S'!D72/1000</f>
        <v>0</v>
      </c>
      <c r="Y41" s="397"/>
      <c r="Z41" s="397">
        <f>'descarga app P&amp;S'!B72/1000</f>
        <v>0</v>
      </c>
      <c r="AA41" s="61"/>
    </row>
    <row r="42" spans="1:27" ht="15.75" x14ac:dyDescent="0.3">
      <c r="A42" s="75" t="s">
        <v>206</v>
      </c>
      <c r="B42" s="394">
        <f t="shared" si="0"/>
        <v>1494.7643899999998</v>
      </c>
      <c r="C42" s="402"/>
      <c r="D42" s="394">
        <f>'descarga app P&amp;S'!G73/1000</f>
        <v>0</v>
      </c>
      <c r="E42" s="397"/>
      <c r="F42" s="398">
        <f>'descarga app P&amp;S'!L73/1000</f>
        <v>0</v>
      </c>
      <c r="G42" s="397"/>
      <c r="H42" s="394">
        <f>'descarga app P&amp;S'!K73/1000</f>
        <v>0</v>
      </c>
      <c r="I42" s="397"/>
      <c r="J42" s="398">
        <f>'descarga app P&amp;S'!I73/1000</f>
        <v>0</v>
      </c>
      <c r="K42" s="397"/>
      <c r="L42" s="412">
        <f>'descarga app P&amp;S'!E73/1000</f>
        <v>0</v>
      </c>
      <c r="M42" s="412"/>
      <c r="N42" s="412">
        <f>'descarga app P&amp;S'!C73/1000</f>
        <v>0</v>
      </c>
      <c r="O42" s="397"/>
      <c r="P42" s="398">
        <f>'descarga app P&amp;S'!F73/1000</f>
        <v>0</v>
      </c>
      <c r="Q42" s="397"/>
      <c r="R42" s="434">
        <f>'descarga app P&amp;S'!H73/1000</f>
        <v>0</v>
      </c>
      <c r="S42" s="397"/>
      <c r="T42" s="398">
        <f>'descarga app P&amp;S'!M73/1000</f>
        <v>1494.7643899999998</v>
      </c>
      <c r="U42" s="397"/>
      <c r="V42" s="413">
        <f>'descarga app P&amp;S'!J73/1000</f>
        <v>0</v>
      </c>
      <c r="W42" s="397"/>
      <c r="X42" s="576">
        <f>'descarga app P&amp;S'!D73/1000</f>
        <v>0</v>
      </c>
      <c r="Y42" s="397"/>
      <c r="Z42" s="398">
        <f>'descarga app P&amp;S'!B73/1000</f>
        <v>0</v>
      </c>
      <c r="AA42" s="61"/>
    </row>
    <row r="43" spans="1:27" ht="15.75" x14ac:dyDescent="0.3">
      <c r="A43" s="60" t="s">
        <v>207</v>
      </c>
      <c r="B43" s="396">
        <f t="shared" si="0"/>
        <v>9328.2657500000005</v>
      </c>
      <c r="C43" s="402"/>
      <c r="D43" s="396">
        <f>'descarga app P&amp;S'!G74/1000</f>
        <v>0</v>
      </c>
      <c r="E43" s="397"/>
      <c r="F43" s="397">
        <f>'descarga app P&amp;S'!L74/1000</f>
        <v>0</v>
      </c>
      <c r="G43" s="397"/>
      <c r="H43" s="396">
        <f>'descarga app P&amp;S'!K74/1000</f>
        <v>0</v>
      </c>
      <c r="I43" s="397"/>
      <c r="J43" s="397">
        <f>'descarga app P&amp;S'!I74/1000</f>
        <v>0</v>
      </c>
      <c r="K43" s="397"/>
      <c r="L43" s="411">
        <f>'descarga app P&amp;S'!E74/1000</f>
        <v>0</v>
      </c>
      <c r="M43" s="411"/>
      <c r="N43" s="411">
        <f>'descarga app P&amp;S'!C74/1000</f>
        <v>0</v>
      </c>
      <c r="O43" s="397"/>
      <c r="P43" s="397">
        <f>'descarga app P&amp;S'!F74/1000</f>
        <v>0</v>
      </c>
      <c r="Q43" s="397"/>
      <c r="R43" s="448">
        <f>'descarga app P&amp;S'!H74/1000</f>
        <v>0</v>
      </c>
      <c r="S43" s="397"/>
      <c r="T43" s="397">
        <f>'descarga app P&amp;S'!M74/1000</f>
        <v>1614.4139299999999</v>
      </c>
      <c r="U43" s="397"/>
      <c r="V43" s="529">
        <f>'descarga app P&amp;S'!J74/1000</f>
        <v>0</v>
      </c>
      <c r="W43" s="397"/>
      <c r="X43" s="576">
        <f>'descarga app P&amp;S'!D74/1000</f>
        <v>0</v>
      </c>
      <c r="Y43" s="397"/>
      <c r="Z43" s="397">
        <f>'descarga app P&amp;S'!B74/1000</f>
        <v>7713.8518199999999</v>
      </c>
      <c r="AA43" s="61"/>
    </row>
    <row r="44" spans="1:27" ht="15.75" x14ac:dyDescent="0.3">
      <c r="A44" s="75" t="s">
        <v>208</v>
      </c>
      <c r="B44" s="483">
        <f t="shared" si="0"/>
        <v>54563.607809999994</v>
      </c>
      <c r="C44" s="402"/>
      <c r="D44" s="394">
        <f>'descarga app P&amp;S'!G75/1000</f>
        <v>8875.6257899999982</v>
      </c>
      <c r="E44" s="397"/>
      <c r="F44" s="398">
        <f>'descarga app P&amp;S'!L75/1000</f>
        <v>0</v>
      </c>
      <c r="G44" s="397"/>
      <c r="H44" s="394">
        <f>'descarga app P&amp;S'!K75/1000</f>
        <v>7521.2772999999997</v>
      </c>
      <c r="I44" s="397"/>
      <c r="J44" s="398">
        <f>'descarga app P&amp;S'!I75/1000</f>
        <v>17621.394660000002</v>
      </c>
      <c r="K44" s="397"/>
      <c r="L44" s="412">
        <f>'descarga app P&amp;S'!E75/1000</f>
        <v>19.461310000000001</v>
      </c>
      <c r="M44" s="412"/>
      <c r="N44" s="412">
        <f>'descarga app P&amp;S'!C75/1000</f>
        <v>4464.3941500000001</v>
      </c>
      <c r="O44" s="397"/>
      <c r="P44" s="398">
        <f>'descarga app P&amp;S'!F75/1000</f>
        <v>1639.2181499999999</v>
      </c>
      <c r="Q44" s="397"/>
      <c r="R44" s="434">
        <f>'descarga app P&amp;S'!H75/1000</f>
        <v>0</v>
      </c>
      <c r="S44" s="397"/>
      <c r="T44" s="398">
        <f>'descarga app P&amp;S'!M75/1000</f>
        <v>2455.3348099999998</v>
      </c>
      <c r="U44" s="397"/>
      <c r="V44" s="413">
        <f>'descarga app P&amp;S'!J75/1000</f>
        <v>104.8728</v>
      </c>
      <c r="W44" s="397"/>
      <c r="X44" s="576">
        <f>'descarga app P&amp;S'!D75/1000</f>
        <v>0</v>
      </c>
      <c r="Y44" s="397"/>
      <c r="Z44" s="398">
        <f>'descarga app P&amp;S'!B75/1000</f>
        <v>11862.028839999999</v>
      </c>
      <c r="AA44" s="61"/>
    </row>
    <row r="45" spans="1:27" ht="15.75" x14ac:dyDescent="0.3">
      <c r="A45" s="58"/>
      <c r="B45" s="396"/>
      <c r="C45" s="392"/>
      <c r="D45" s="396"/>
      <c r="E45" s="397"/>
      <c r="F45" s="397"/>
      <c r="G45" s="397"/>
      <c r="H45" s="396"/>
      <c r="I45" s="397"/>
      <c r="J45" s="397"/>
      <c r="K45" s="397"/>
      <c r="L45" s="411"/>
      <c r="M45" s="411"/>
      <c r="N45" s="411"/>
      <c r="O45" s="397"/>
      <c r="P45" s="397"/>
      <c r="Q45" s="397"/>
      <c r="R45" s="448"/>
      <c r="S45" s="397"/>
      <c r="T45" s="397"/>
      <c r="U45" s="397"/>
      <c r="V45" s="529"/>
      <c r="W45" s="397"/>
      <c r="X45" s="529"/>
      <c r="Y45" s="397"/>
      <c r="Z45" s="397"/>
      <c r="AA45" s="61"/>
    </row>
    <row r="46" spans="1:27" x14ac:dyDescent="0.25">
      <c r="A46" s="57" t="s">
        <v>223</v>
      </c>
      <c r="B46" s="390">
        <v>0</v>
      </c>
      <c r="C46" s="390">
        <v>0</v>
      </c>
      <c r="D46" s="390">
        <v>0</v>
      </c>
      <c r="E46" s="390">
        <v>0</v>
      </c>
      <c r="F46" s="390">
        <v>0</v>
      </c>
      <c r="G46" s="390">
        <v>0</v>
      </c>
      <c r="H46" s="390">
        <v>0</v>
      </c>
      <c r="I46" s="390">
        <v>0</v>
      </c>
      <c r="J46" s="390">
        <v>0</v>
      </c>
      <c r="K46" s="390">
        <v>0</v>
      </c>
      <c r="L46" s="390">
        <v>0</v>
      </c>
      <c r="M46" s="390">
        <v>0</v>
      </c>
      <c r="N46" s="390">
        <v>0</v>
      </c>
      <c r="O46" s="390">
        <v>0</v>
      </c>
      <c r="P46" s="390">
        <v>0</v>
      </c>
      <c r="Q46" s="390">
        <v>0</v>
      </c>
      <c r="R46" s="447">
        <v>0</v>
      </c>
      <c r="S46" s="390">
        <v>0</v>
      </c>
      <c r="T46" s="390">
        <v>0</v>
      </c>
      <c r="U46" s="390">
        <v>0</v>
      </c>
      <c r="V46" s="447">
        <v>0</v>
      </c>
      <c r="W46" s="390"/>
      <c r="X46" s="447">
        <v>0</v>
      </c>
      <c r="Y46" s="390">
        <v>0</v>
      </c>
      <c r="Z46" s="390">
        <v>0</v>
      </c>
      <c r="AA46" s="61"/>
    </row>
    <row r="47" spans="1:27" ht="15.75" x14ac:dyDescent="0.3">
      <c r="A47" s="60" t="s">
        <v>210</v>
      </c>
      <c r="B47" s="396">
        <v>0</v>
      </c>
      <c r="C47" s="396">
        <v>0</v>
      </c>
      <c r="D47" s="396">
        <v>0</v>
      </c>
      <c r="E47" s="396">
        <v>0</v>
      </c>
      <c r="F47" s="396">
        <v>0</v>
      </c>
      <c r="G47" s="396">
        <v>0</v>
      </c>
      <c r="H47" s="396">
        <v>0</v>
      </c>
      <c r="I47" s="396">
        <v>0</v>
      </c>
      <c r="J47" s="396">
        <v>0</v>
      </c>
      <c r="K47" s="396">
        <v>0</v>
      </c>
      <c r="L47" s="396">
        <v>0</v>
      </c>
      <c r="M47" s="396">
        <v>0</v>
      </c>
      <c r="N47" s="396">
        <v>0</v>
      </c>
      <c r="O47" s="396">
        <v>0</v>
      </c>
      <c r="P47" s="396">
        <v>0</v>
      </c>
      <c r="Q47" s="396">
        <v>0</v>
      </c>
      <c r="R47" s="448">
        <v>0</v>
      </c>
      <c r="S47" s="396">
        <v>0</v>
      </c>
      <c r="T47" s="396">
        <v>0</v>
      </c>
      <c r="U47" s="396">
        <v>0</v>
      </c>
      <c r="V47" s="448">
        <v>0</v>
      </c>
      <c r="W47" s="396"/>
      <c r="X47" s="448">
        <v>0</v>
      </c>
      <c r="Y47" s="396">
        <v>0</v>
      </c>
      <c r="Z47" s="396">
        <v>0</v>
      </c>
      <c r="AA47" s="61"/>
    </row>
    <row r="48" spans="1:27" ht="15.75" x14ac:dyDescent="0.3">
      <c r="A48" s="75" t="s">
        <v>211</v>
      </c>
      <c r="B48" s="394">
        <v>0</v>
      </c>
      <c r="C48" s="394">
        <v>0</v>
      </c>
      <c r="D48" s="394">
        <v>0</v>
      </c>
      <c r="E48" s="394">
        <v>0</v>
      </c>
      <c r="F48" s="394">
        <v>0</v>
      </c>
      <c r="G48" s="394">
        <v>0</v>
      </c>
      <c r="H48" s="394">
        <v>0</v>
      </c>
      <c r="I48" s="394">
        <v>0</v>
      </c>
      <c r="J48" s="394">
        <v>0</v>
      </c>
      <c r="K48" s="394">
        <v>0</v>
      </c>
      <c r="L48" s="394">
        <v>0</v>
      </c>
      <c r="M48" s="394">
        <v>0</v>
      </c>
      <c r="N48" s="394">
        <v>0</v>
      </c>
      <c r="O48" s="394">
        <v>0</v>
      </c>
      <c r="P48" s="394">
        <v>0</v>
      </c>
      <c r="Q48" s="394">
        <v>0</v>
      </c>
      <c r="R48" s="434">
        <v>0</v>
      </c>
      <c r="S48" s="394">
        <v>0</v>
      </c>
      <c r="T48" s="394">
        <v>0</v>
      </c>
      <c r="U48" s="394">
        <v>0</v>
      </c>
      <c r="V48" s="434">
        <v>0</v>
      </c>
      <c r="W48" s="394"/>
      <c r="X48" s="434">
        <v>0</v>
      </c>
      <c r="Y48" s="394">
        <v>0</v>
      </c>
      <c r="Z48" s="394">
        <v>0</v>
      </c>
      <c r="AA48" s="61"/>
    </row>
    <row r="49" spans="1:34" ht="15.75" x14ac:dyDescent="0.3">
      <c r="A49" s="60" t="s">
        <v>212</v>
      </c>
      <c r="B49" s="396">
        <v>0</v>
      </c>
      <c r="C49" s="396">
        <v>0</v>
      </c>
      <c r="D49" s="396">
        <v>0</v>
      </c>
      <c r="E49" s="396">
        <v>0</v>
      </c>
      <c r="F49" s="396">
        <v>0</v>
      </c>
      <c r="G49" s="396">
        <v>0</v>
      </c>
      <c r="H49" s="396">
        <v>0</v>
      </c>
      <c r="I49" s="396">
        <v>0</v>
      </c>
      <c r="J49" s="396">
        <v>0</v>
      </c>
      <c r="K49" s="396">
        <v>0</v>
      </c>
      <c r="L49" s="396">
        <v>0</v>
      </c>
      <c r="M49" s="396">
        <v>0</v>
      </c>
      <c r="N49" s="396">
        <v>0</v>
      </c>
      <c r="O49" s="396">
        <v>0</v>
      </c>
      <c r="P49" s="396">
        <v>0</v>
      </c>
      <c r="Q49" s="396">
        <v>0</v>
      </c>
      <c r="R49" s="448">
        <v>0</v>
      </c>
      <c r="S49" s="396">
        <v>0</v>
      </c>
      <c r="T49" s="396">
        <v>0</v>
      </c>
      <c r="U49" s="396">
        <v>0</v>
      </c>
      <c r="V49" s="448">
        <v>0</v>
      </c>
      <c r="W49" s="396"/>
      <c r="X49" s="448">
        <v>0</v>
      </c>
      <c r="Y49" s="396">
        <v>0</v>
      </c>
      <c r="Z49" s="396">
        <v>0</v>
      </c>
      <c r="AA49" s="61"/>
    </row>
    <row r="50" spans="1:34" ht="15.75" x14ac:dyDescent="0.3">
      <c r="A50" s="63"/>
      <c r="B50" s="394"/>
      <c r="C50" s="392"/>
      <c r="D50" s="394"/>
      <c r="E50" s="397"/>
      <c r="F50" s="398"/>
      <c r="G50" s="397"/>
      <c r="H50" s="394"/>
      <c r="I50" s="397"/>
      <c r="J50" s="398"/>
      <c r="K50" s="397"/>
      <c r="L50" s="412"/>
      <c r="M50" s="412"/>
      <c r="N50" s="412"/>
      <c r="O50" s="397"/>
      <c r="P50" s="398"/>
      <c r="Q50" s="397"/>
      <c r="R50" s="434"/>
      <c r="S50" s="397"/>
      <c r="T50" s="398"/>
      <c r="U50" s="397"/>
      <c r="V50" s="413"/>
      <c r="W50" s="397"/>
      <c r="X50" s="413"/>
      <c r="Y50" s="397"/>
      <c r="Z50" s="398"/>
      <c r="AA50" s="61"/>
    </row>
    <row r="51" spans="1:34" ht="15.75" x14ac:dyDescent="0.3">
      <c r="A51" s="64" t="s">
        <v>224</v>
      </c>
      <c r="B51" s="400">
        <f>SUM(D51:AA51)</f>
        <v>2010424.0246999997</v>
      </c>
      <c r="C51" s="392"/>
      <c r="D51" s="400">
        <f>'descarga app P&amp;S'!G76/1000</f>
        <v>240643.29068000001</v>
      </c>
      <c r="E51" s="397"/>
      <c r="F51" s="401">
        <f>'descarga app P&amp;S'!L76/1000</f>
        <v>129062.97305</v>
      </c>
      <c r="G51" s="397"/>
      <c r="H51" s="400">
        <f>'descarga app P&amp;S'!K76/1000</f>
        <v>338418.63561</v>
      </c>
      <c r="I51" s="397"/>
      <c r="J51" s="401">
        <f>'descarga app P&amp;S'!I76/1000</f>
        <v>311919.89107000001</v>
      </c>
      <c r="K51" s="397"/>
      <c r="L51" s="414">
        <f>'descarga app P&amp;S'!E76/1000</f>
        <v>28202.925239999997</v>
      </c>
      <c r="M51" s="414"/>
      <c r="N51" s="414">
        <f>'descarga app P&amp;S'!C76/1000</f>
        <v>285836.77859</v>
      </c>
      <c r="O51" s="397"/>
      <c r="P51" s="401">
        <f>'descarga app P&amp;S'!F76/1000</f>
        <v>146723.11777000001</v>
      </c>
      <c r="Q51" s="397"/>
      <c r="R51" s="531">
        <f>'descarga app P&amp;S'!H76/1000</f>
        <v>228249.46686000002</v>
      </c>
      <c r="S51" s="397"/>
      <c r="T51" s="401">
        <f>'descarga app P&amp;S'!M76/1000</f>
        <v>79050.756659999999</v>
      </c>
      <c r="U51" s="397"/>
      <c r="V51" s="445">
        <f>'descarga app P&amp;S'!J76/1000</f>
        <v>68584.483999999997</v>
      </c>
      <c r="W51" s="445"/>
      <c r="X51" s="445">
        <f>'descarga app P&amp;S'!D76/1000</f>
        <v>128562.51225</v>
      </c>
      <c r="Y51" s="397"/>
      <c r="Z51" s="401">
        <f>'descarga app P&amp;S'!B76/1000</f>
        <v>25169.192920000001</v>
      </c>
      <c r="AA51" s="61"/>
    </row>
    <row r="52" spans="1:34" ht="15.75" x14ac:dyDescent="0.3">
      <c r="A52" s="75" t="s">
        <v>214</v>
      </c>
      <c r="B52" s="394">
        <f>SUM(D52:AA52)</f>
        <v>8094</v>
      </c>
      <c r="C52" s="402"/>
      <c r="D52" s="394">
        <f>'descarga app P&amp;S'!G77/1000</f>
        <v>0</v>
      </c>
      <c r="E52" s="397"/>
      <c r="F52" s="398">
        <f>'descarga app P&amp;S'!L77/1000</f>
        <v>0</v>
      </c>
      <c r="G52" s="397"/>
      <c r="H52" s="394">
        <f>'descarga app P&amp;S'!K77/1000</f>
        <v>0</v>
      </c>
      <c r="I52" s="397"/>
      <c r="J52" s="398">
        <f>'descarga app P&amp;S'!I77/1000</f>
        <v>0</v>
      </c>
      <c r="K52" s="397"/>
      <c r="L52" s="412">
        <f>'descarga app P&amp;S'!E77/1000</f>
        <v>0</v>
      </c>
      <c r="M52" s="412"/>
      <c r="N52" s="412">
        <f>'descarga app P&amp;S'!C77/1000</f>
        <v>0</v>
      </c>
      <c r="O52" s="397"/>
      <c r="P52" s="398">
        <f>'descarga app P&amp;S'!F77/1000</f>
        <v>0</v>
      </c>
      <c r="Q52" s="397"/>
      <c r="R52" s="434">
        <f>'descarga app P&amp;S'!H77/1000</f>
        <v>8094</v>
      </c>
      <c r="S52" s="397"/>
      <c r="T52" s="398">
        <f>'descarga app P&amp;S'!M77/1000</f>
        <v>0</v>
      </c>
      <c r="U52" s="397"/>
      <c r="V52" s="413">
        <f>'descarga app P&amp;S'!J77/1000</f>
        <v>0</v>
      </c>
      <c r="W52" s="397"/>
      <c r="X52" s="413">
        <f>'descarga app P&amp;S'!D77/1000</f>
        <v>0</v>
      </c>
      <c r="Y52" s="397"/>
      <c r="Z52" s="398">
        <f>'descarga app P&amp;S'!B77/1000</f>
        <v>0</v>
      </c>
      <c r="AA52" s="61"/>
    </row>
    <row r="53" spans="1:34" ht="15.75" x14ac:dyDescent="0.3">
      <c r="A53" s="60" t="s">
        <v>215</v>
      </c>
      <c r="B53" s="396">
        <f>SUM(D53:AA53)</f>
        <v>0</v>
      </c>
      <c r="C53" s="402"/>
      <c r="D53" s="396">
        <f>'descarga app P&amp;S'!G78/1000</f>
        <v>0</v>
      </c>
      <c r="E53" s="397"/>
      <c r="F53" s="397">
        <f>'descarga app P&amp;S'!L78/1000</f>
        <v>0</v>
      </c>
      <c r="G53" s="397"/>
      <c r="H53" s="396">
        <f>'descarga app P&amp;S'!K78/1000</f>
        <v>0</v>
      </c>
      <c r="I53" s="397"/>
      <c r="J53" s="397">
        <f>'descarga app P&amp;S'!I78/1000</f>
        <v>0</v>
      </c>
      <c r="K53" s="397"/>
      <c r="L53" s="411">
        <f>'descarga app P&amp;S'!E78/1000</f>
        <v>0</v>
      </c>
      <c r="M53" s="411"/>
      <c r="N53" s="411">
        <f>'descarga app P&amp;S'!C78/1000</f>
        <v>0</v>
      </c>
      <c r="O53" s="397"/>
      <c r="P53" s="397">
        <f>'descarga app P&amp;S'!F78/1000</f>
        <v>0</v>
      </c>
      <c r="Q53" s="397"/>
      <c r="R53" s="448">
        <f>'descarga app P&amp;S'!H78/1000</f>
        <v>0</v>
      </c>
      <c r="S53" s="397"/>
      <c r="T53" s="397">
        <f>'descarga app P&amp;S'!M78/1000</f>
        <v>0</v>
      </c>
      <c r="U53" s="397"/>
      <c r="V53" s="529">
        <f>'descarga app P&amp;S'!J78/1000</f>
        <v>0</v>
      </c>
      <c r="W53" s="397"/>
      <c r="X53" s="529">
        <f>'descarga app P&amp;S'!D78/1000</f>
        <v>0</v>
      </c>
      <c r="Y53" s="397"/>
      <c r="Z53" s="397">
        <f>'descarga app P&amp;S'!B78/1000</f>
        <v>0</v>
      </c>
      <c r="AA53" s="61"/>
    </row>
    <row r="54" spans="1:34" ht="15.75" x14ac:dyDescent="0.3">
      <c r="A54" s="75" t="s">
        <v>13</v>
      </c>
      <c r="B54" s="483">
        <f>SUM(D54:AA54)</f>
        <v>1729977.5739799996</v>
      </c>
      <c r="C54" s="402"/>
      <c r="D54" s="394">
        <f>'descarga app P&amp;S'!G79/1000</f>
        <v>124174.34604999999</v>
      </c>
      <c r="E54" s="397"/>
      <c r="F54" s="398">
        <f>'descarga app P&amp;S'!L79/1000</f>
        <v>44052.152340000001</v>
      </c>
      <c r="G54" s="397"/>
      <c r="H54" s="394">
        <f>'descarga app P&amp;S'!K79/1000</f>
        <v>322149.34542999999</v>
      </c>
      <c r="I54" s="397"/>
      <c r="J54" s="398">
        <f>'descarga app P&amp;S'!I79/1000</f>
        <v>288864.99204000004</v>
      </c>
      <c r="K54" s="397"/>
      <c r="L54" s="412">
        <f>'descarga app P&amp;S'!E79/1000</f>
        <v>8241.4874899999995</v>
      </c>
      <c r="M54" s="412"/>
      <c r="N54" s="412">
        <f>'descarga app P&amp;S'!C79/1000</f>
        <v>283230.38008999999</v>
      </c>
      <c r="O54" s="397"/>
      <c r="P54" s="398">
        <f>'descarga app P&amp;S'!F79/1000</f>
        <v>146723.11777000001</v>
      </c>
      <c r="Q54" s="397"/>
      <c r="R54" s="434">
        <f>'descarga app P&amp;S'!H79/1000</f>
        <v>220155.46686000002</v>
      </c>
      <c r="S54" s="397"/>
      <c r="T54" s="398">
        <f>'descarga app P&amp;S'!M79/1000</f>
        <v>72595.096739999994</v>
      </c>
      <c r="U54" s="397"/>
      <c r="V54" s="529">
        <f>'descarga app P&amp;S'!J79/1000</f>
        <v>66059.483999999997</v>
      </c>
      <c r="W54" s="397"/>
      <c r="X54" s="413">
        <f>'descarga app P&amp;S'!D79/1000</f>
        <v>128562.51225</v>
      </c>
      <c r="Y54" s="397"/>
      <c r="Z54" s="398">
        <f>'descarga app P&amp;S'!B79/1000</f>
        <v>25169.192920000001</v>
      </c>
      <c r="AA54" s="61"/>
    </row>
    <row r="55" spans="1:34" ht="15.75" x14ac:dyDescent="0.3">
      <c r="A55" s="60" t="s">
        <v>12</v>
      </c>
      <c r="B55" s="396">
        <f>SUM(D55:AA55)</f>
        <v>272352.45072000002</v>
      </c>
      <c r="C55" s="402"/>
      <c r="D55" s="396">
        <f>'descarga app P&amp;S'!G80/1000</f>
        <v>116468.94463</v>
      </c>
      <c r="E55" s="397"/>
      <c r="F55" s="397">
        <f>'descarga app P&amp;S'!L80/1000</f>
        <v>85010.82071</v>
      </c>
      <c r="G55" s="397"/>
      <c r="H55" s="396">
        <f>'descarga app P&amp;S'!K80/1000</f>
        <v>16269.29018</v>
      </c>
      <c r="I55" s="397"/>
      <c r="J55" s="397">
        <f>'descarga app P&amp;S'!I80/1000</f>
        <v>23054.89903</v>
      </c>
      <c r="K55" s="397"/>
      <c r="L55" s="411">
        <f>'descarga app P&amp;S'!E80/1000</f>
        <v>19961.437750000001</v>
      </c>
      <c r="M55" s="411"/>
      <c r="N55" s="411">
        <f>'descarga app P&amp;S'!C80/1000</f>
        <v>2606.3984999999998</v>
      </c>
      <c r="O55" s="397"/>
      <c r="P55" s="397">
        <f>'descarga app P&amp;S'!F80/1000</f>
        <v>0</v>
      </c>
      <c r="Q55" s="397"/>
      <c r="R55" s="448">
        <f>'descarga app P&amp;S'!H80/1000</f>
        <v>0</v>
      </c>
      <c r="S55" s="397"/>
      <c r="T55" s="397">
        <f>'descarga app P&amp;S'!M80/1000</f>
        <v>6455.6599200000001</v>
      </c>
      <c r="U55" s="397"/>
      <c r="V55" s="529">
        <f>'descarga app P&amp;S'!J80/1000</f>
        <v>2525</v>
      </c>
      <c r="W55" s="397"/>
      <c r="X55" s="529">
        <f>'descarga app P&amp;S'!D80/1000</f>
        <v>0</v>
      </c>
      <c r="Y55" s="397"/>
      <c r="Z55" s="397">
        <f>'descarga app P&amp;S'!B80/1000</f>
        <v>0</v>
      </c>
      <c r="AA55" s="61"/>
    </row>
    <row r="56" spans="1:34" ht="15.75" x14ac:dyDescent="0.3">
      <c r="A56" s="63"/>
      <c r="B56" s="394"/>
      <c r="C56" s="392"/>
      <c r="D56" s="394"/>
      <c r="E56" s="397"/>
      <c r="F56" s="398"/>
      <c r="G56" s="397"/>
      <c r="H56" s="394"/>
      <c r="I56" s="397"/>
      <c r="J56" s="398"/>
      <c r="K56" s="397"/>
      <c r="L56" s="412"/>
      <c r="M56" s="412"/>
      <c r="N56" s="412"/>
      <c r="O56" s="397"/>
      <c r="P56" s="398"/>
      <c r="Q56" s="397"/>
      <c r="R56" s="434"/>
      <c r="S56" s="397"/>
      <c r="T56" s="398"/>
      <c r="U56" s="397"/>
      <c r="V56" s="413"/>
      <c r="W56" s="397"/>
      <c r="X56" s="413"/>
      <c r="Y56" s="397"/>
      <c r="Z56" s="398"/>
      <c r="AA56" s="61"/>
    </row>
    <row r="57" spans="1:34" ht="15.75" x14ac:dyDescent="0.3">
      <c r="A57" s="64" t="s">
        <v>17</v>
      </c>
      <c r="B57" s="400">
        <f>SUM(D57:AA57)</f>
        <v>3568645.5145100006</v>
      </c>
      <c r="C57" s="392"/>
      <c r="D57" s="400">
        <f>'descarga app P&amp;S'!G81/1000</f>
        <v>297199.77812000003</v>
      </c>
      <c r="E57" s="397"/>
      <c r="F57" s="401">
        <f>'descarga app P&amp;S'!L81/1000</f>
        <v>0</v>
      </c>
      <c r="G57" s="397"/>
      <c r="H57" s="400">
        <f>'descarga app P&amp;S'!K81/1000</f>
        <v>297809.54087000003</v>
      </c>
      <c r="I57" s="397"/>
      <c r="J57" s="401">
        <f>'descarga app P&amp;S'!I81/1000</f>
        <v>476970.69205000001</v>
      </c>
      <c r="K57" s="397"/>
      <c r="L57" s="414">
        <f>'descarga app P&amp;S'!E81/1000</f>
        <v>108986.19399</v>
      </c>
      <c r="M57" s="414"/>
      <c r="N57" s="414">
        <f>'descarga app P&amp;S'!C81/1000</f>
        <v>395053.92483999999</v>
      </c>
      <c r="O57" s="397"/>
      <c r="P57" s="401">
        <f>'descarga app P&amp;S'!F81/1000</f>
        <v>143077.74627</v>
      </c>
      <c r="Q57" s="397"/>
      <c r="R57" s="531">
        <f>'descarga app P&amp;S'!H81/1000</f>
        <v>38415.422500000001</v>
      </c>
      <c r="S57" s="397"/>
      <c r="T57" s="401">
        <f>'descarga app P&amp;S'!M81/1000</f>
        <v>413835.24666</v>
      </c>
      <c r="U57" s="397"/>
      <c r="V57" s="445">
        <f>'descarga app P&amp;S'!J81/1000</f>
        <v>69166.853550000014</v>
      </c>
      <c r="W57" s="445"/>
      <c r="X57" s="445">
        <f>'descarga app P&amp;S'!D81/1000</f>
        <v>55246.834889999998</v>
      </c>
      <c r="Y57" s="397"/>
      <c r="Z57" s="401">
        <f>'descarga app P&amp;S'!B81/1000</f>
        <v>1272883.2807700001</v>
      </c>
      <c r="AA57" s="61"/>
    </row>
    <row r="58" spans="1:34" ht="15.75" x14ac:dyDescent="0.3">
      <c r="A58" s="75" t="s">
        <v>18</v>
      </c>
      <c r="B58" s="483">
        <f>SUM(D58:AA58)</f>
        <v>1697784.8830500001</v>
      </c>
      <c r="C58" s="402"/>
      <c r="D58" s="394">
        <f>'descarga app P&amp;S'!G82/1000</f>
        <v>6765.7204800000009</v>
      </c>
      <c r="E58" s="397"/>
      <c r="F58" s="398">
        <f>'descarga app P&amp;S'!L82/1000</f>
        <v>0</v>
      </c>
      <c r="G58" s="397"/>
      <c r="H58" s="394">
        <f>'descarga app P&amp;S'!K82/1000</f>
        <v>36105.767009999996</v>
      </c>
      <c r="I58" s="397"/>
      <c r="J58" s="398">
        <f>'descarga app P&amp;S'!I82/1000</f>
        <v>146975.05219999998</v>
      </c>
      <c r="K58" s="397"/>
      <c r="L58" s="412">
        <f>'descarga app P&amp;S'!E82/1000</f>
        <v>12979.743839999999</v>
      </c>
      <c r="M58" s="412"/>
      <c r="N58" s="412">
        <f>'descarga app P&amp;S'!C82/1000</f>
        <v>56292.692779999998</v>
      </c>
      <c r="O58" s="397"/>
      <c r="P58" s="398">
        <f>'descarga app P&amp;S'!F82/1000</f>
        <v>9067.02369</v>
      </c>
      <c r="Q58" s="397"/>
      <c r="R58" s="434">
        <f>'descarga app P&amp;S'!H82/1000</f>
        <v>7129.03622</v>
      </c>
      <c r="S58" s="397"/>
      <c r="T58" s="398">
        <f>'descarga app P&amp;S'!M82/1000</f>
        <v>176412.23315000001</v>
      </c>
      <c r="U58" s="397"/>
      <c r="V58" s="413">
        <f>'descarga app P&amp;S'!J82/1000</f>
        <v>1914.24929</v>
      </c>
      <c r="W58" s="397"/>
      <c r="X58" s="413">
        <f>'descarga app P&amp;S'!D82/1000</f>
        <v>2198.5051800000001</v>
      </c>
      <c r="Y58" s="397"/>
      <c r="Z58" s="398">
        <f>'descarga app P&amp;S'!B82/1000</f>
        <v>1241944.8592100001</v>
      </c>
      <c r="AA58" s="61"/>
    </row>
    <row r="59" spans="1:34" ht="15.75" x14ac:dyDescent="0.3">
      <c r="A59" s="60" t="s">
        <v>19</v>
      </c>
      <c r="B59" s="477">
        <f>SUM(D59:AA59)</f>
        <v>1870860.6314600001</v>
      </c>
      <c r="C59" s="402"/>
      <c r="D59" s="396">
        <f>'descarga app P&amp;S'!G83/1000</f>
        <v>290434.05764000001</v>
      </c>
      <c r="E59" s="397"/>
      <c r="F59" s="397">
        <f>'descarga app P&amp;S'!L83/1000</f>
        <v>0</v>
      </c>
      <c r="G59" s="397"/>
      <c r="H59" s="396">
        <f>'descarga app P&amp;S'!K83/1000</f>
        <v>261703.77386000002</v>
      </c>
      <c r="I59" s="397"/>
      <c r="J59" s="397">
        <f>'descarga app P&amp;S'!I83/1000</f>
        <v>329995.63985000004</v>
      </c>
      <c r="K59" s="397"/>
      <c r="L59" s="411">
        <f>'descarga app P&amp;S'!E83/1000</f>
        <v>96006.450150000004</v>
      </c>
      <c r="M59" s="411"/>
      <c r="N59" s="411">
        <f>'descarga app P&amp;S'!C83/1000</f>
        <v>338761.23206000001</v>
      </c>
      <c r="O59" s="397"/>
      <c r="P59" s="397">
        <f>'descarga app P&amp;S'!F83/1000</f>
        <v>134010.72258</v>
      </c>
      <c r="Q59" s="397"/>
      <c r="R59" s="448">
        <f>'descarga app P&amp;S'!H83/1000</f>
        <v>31286.386280000002</v>
      </c>
      <c r="S59" s="397"/>
      <c r="T59" s="397">
        <f>'descarga app P&amp;S'!M83/1000</f>
        <v>237423.01350999999</v>
      </c>
      <c r="U59" s="397"/>
      <c r="V59" s="529">
        <f>'descarga app P&amp;S'!J83/1000</f>
        <v>67252.604260000007</v>
      </c>
      <c r="W59" s="397"/>
      <c r="X59" s="529">
        <f>'descarga app P&amp;S'!D83/1000</f>
        <v>53048.329709999998</v>
      </c>
      <c r="Y59" s="397"/>
      <c r="Z59" s="397">
        <f>'descarga app P&amp;S'!B83/1000</f>
        <v>30938.421559999999</v>
      </c>
      <c r="AA59" s="61"/>
    </row>
    <row r="60" spans="1:34" ht="15.75" x14ac:dyDescent="0.3">
      <c r="A60" s="63"/>
      <c r="B60" s="394"/>
      <c r="C60" s="392"/>
      <c r="D60" s="394"/>
      <c r="E60" s="397"/>
      <c r="F60" s="398"/>
      <c r="G60" s="397"/>
      <c r="H60" s="394"/>
      <c r="I60" s="397"/>
      <c r="J60" s="398"/>
      <c r="K60" s="397"/>
      <c r="L60" s="412"/>
      <c r="M60" s="412"/>
      <c r="N60" s="412"/>
      <c r="O60" s="397"/>
      <c r="P60" s="398"/>
      <c r="Q60" s="397"/>
      <c r="R60" s="434"/>
      <c r="S60" s="397"/>
      <c r="T60" s="398"/>
      <c r="U60" s="397"/>
      <c r="V60" s="413"/>
      <c r="W60" s="397"/>
      <c r="X60" s="413"/>
      <c r="Y60" s="397"/>
      <c r="Z60" s="398"/>
      <c r="AA60" s="61"/>
    </row>
    <row r="61" spans="1:34" ht="16.5" thickBot="1" x14ac:dyDescent="0.35">
      <c r="A61" s="65" t="s">
        <v>128</v>
      </c>
      <c r="B61" s="449">
        <f>SUM(D61:Z61)</f>
        <v>8807903.0652399994</v>
      </c>
      <c r="C61" s="392"/>
      <c r="D61" s="449">
        <f>'descarga app P&amp;S'!G84/1000</f>
        <v>663218.88046999997</v>
      </c>
      <c r="E61" s="481"/>
      <c r="F61" s="577">
        <f>'descarga app P&amp;S'!L84/1000</f>
        <v>583632.9953200001</v>
      </c>
      <c r="G61" s="481"/>
      <c r="H61" s="449">
        <f>'descarga app P&amp;S'!K84/1000</f>
        <v>1057163.7144299999</v>
      </c>
      <c r="I61" s="481"/>
      <c r="J61" s="577">
        <f>'descarga app P&amp;S'!I84/1000</f>
        <v>1723996.9134200001</v>
      </c>
      <c r="K61" s="481"/>
      <c r="L61" s="578">
        <f>'descarga app P&amp;S'!E84/1000</f>
        <v>237851.34236000001</v>
      </c>
      <c r="M61" s="578"/>
      <c r="N61" s="578">
        <f>'descarga app P&amp;S'!C84/1000</f>
        <v>1105757.2927899999</v>
      </c>
      <c r="O61" s="481"/>
      <c r="P61" s="577">
        <f>'descarga app P&amp;S'!F84/1000</f>
        <v>669869.50808000006</v>
      </c>
      <c r="Q61" s="481"/>
      <c r="R61" s="579">
        <f>'descarga app P&amp;S'!H84/1000</f>
        <v>317645.89481000003</v>
      </c>
      <c r="S61" s="481"/>
      <c r="T61" s="577">
        <f>'descarga app P&amp;S'!M84/1000</f>
        <v>617925.10048999998</v>
      </c>
      <c r="U61" s="577"/>
      <c r="V61" s="577">
        <f>'descarga app P&amp;S'!J84/1000</f>
        <v>144683.28511000003</v>
      </c>
      <c r="W61" s="577"/>
      <c r="X61" s="577">
        <f>'descarga app P&amp;S'!D84/1000</f>
        <v>254813.71662999998</v>
      </c>
      <c r="Y61" s="481"/>
      <c r="Z61" s="577">
        <f>'descarga app P&amp;S'!B84/1000</f>
        <v>1431344.4213299998</v>
      </c>
      <c r="AA61" s="61"/>
    </row>
    <row r="63" spans="1:34" ht="15" customHeight="1" x14ac:dyDescent="0.25">
      <c r="A63" s="313"/>
      <c r="B63" s="328"/>
      <c r="C63" s="76"/>
      <c r="D63" s="76"/>
      <c r="E63" s="76"/>
      <c r="F63" s="76"/>
      <c r="G63" s="76"/>
      <c r="H63" s="76"/>
      <c r="I63" s="76"/>
      <c r="J63" s="76"/>
      <c r="K63" s="76"/>
      <c r="L63" s="76"/>
      <c r="M63" s="76"/>
      <c r="N63" s="76"/>
      <c r="O63" s="76"/>
      <c r="P63" s="76"/>
      <c r="Q63" s="76"/>
      <c r="R63" s="554"/>
      <c r="S63" s="76"/>
      <c r="T63" s="76"/>
      <c r="U63" s="76"/>
      <c r="V63" s="554"/>
      <c r="W63" s="76"/>
      <c r="X63" s="554"/>
      <c r="Y63" s="76"/>
      <c r="Z63" s="76"/>
      <c r="AA63" s="76"/>
      <c r="AB63" s="76"/>
      <c r="AC63" s="76"/>
      <c r="AD63" s="76"/>
      <c r="AE63" s="76"/>
      <c r="AF63" s="76"/>
      <c r="AG63" s="76"/>
      <c r="AH63" s="76"/>
    </row>
    <row r="64" spans="1:34" x14ac:dyDescent="0.25">
      <c r="A64" s="314"/>
      <c r="B64" s="489"/>
      <c r="C64" s="315"/>
      <c r="D64" s="616"/>
      <c r="E64" s="315"/>
      <c r="F64" s="315"/>
      <c r="G64" s="315"/>
      <c r="H64" s="315"/>
      <c r="I64" s="315"/>
      <c r="J64" s="315"/>
      <c r="K64" s="315"/>
      <c r="L64" s="315"/>
      <c r="M64" s="315"/>
      <c r="N64" s="315"/>
      <c r="O64" s="315"/>
      <c r="P64" s="315"/>
      <c r="Q64" s="315"/>
      <c r="R64" s="555"/>
      <c r="S64" s="315"/>
      <c r="T64" s="315"/>
      <c r="U64" s="315"/>
      <c r="V64" s="555"/>
      <c r="W64" s="315"/>
      <c r="X64" s="555"/>
      <c r="Y64" s="315"/>
      <c r="Z64" s="315"/>
      <c r="AA64" s="76"/>
      <c r="AB64" s="76"/>
      <c r="AC64" s="76"/>
      <c r="AD64" s="76"/>
      <c r="AE64" s="76"/>
      <c r="AF64" s="76"/>
      <c r="AG64" s="76"/>
      <c r="AH64" s="76"/>
    </row>
    <row r="67" spans="2:16" x14ac:dyDescent="0.25">
      <c r="D67" s="381"/>
      <c r="H67" s="381"/>
      <c r="P67" s="415"/>
    </row>
    <row r="68" spans="2:16" x14ac:dyDescent="0.25">
      <c r="B68" s="381"/>
      <c r="D68" s="415"/>
      <c r="H68" s="415"/>
      <c r="P68" s="580"/>
    </row>
    <row r="69" spans="2:16" x14ac:dyDescent="0.25">
      <c r="B69" s="381"/>
      <c r="D69" s="415"/>
      <c r="H69" s="573"/>
      <c r="P69" s="415"/>
    </row>
    <row r="70" spans="2:16" x14ac:dyDescent="0.25">
      <c r="B70" s="381"/>
      <c r="D70" s="381"/>
      <c r="P70" s="415"/>
    </row>
    <row r="71" spans="2:16" x14ac:dyDescent="0.25">
      <c r="B71" s="381"/>
      <c r="D71" s="381"/>
    </row>
    <row r="72" spans="2:16" x14ac:dyDescent="0.25">
      <c r="B72" s="381"/>
      <c r="D72" s="381"/>
    </row>
    <row r="73" spans="2:16" x14ac:dyDescent="0.25">
      <c r="B73" s="381"/>
      <c r="D73" s="381"/>
    </row>
    <row r="74" spans="2:16" x14ac:dyDescent="0.25">
      <c r="B74" s="381"/>
      <c r="D74" s="381"/>
    </row>
    <row r="75" spans="2:16" x14ac:dyDescent="0.25">
      <c r="B75" s="381"/>
      <c r="D75" s="381"/>
    </row>
    <row r="76" spans="2:16" x14ac:dyDescent="0.25">
      <c r="B76" s="381"/>
      <c r="D76" s="381"/>
    </row>
    <row r="77" spans="2:16" x14ac:dyDescent="0.25">
      <c r="B77" s="381"/>
      <c r="D77" s="381"/>
    </row>
    <row r="78" spans="2:16" x14ac:dyDescent="0.25">
      <c r="B78" s="381"/>
      <c r="D78" s="381"/>
    </row>
    <row r="79" spans="2:16" x14ac:dyDescent="0.25">
      <c r="B79" s="381"/>
      <c r="D79" s="381"/>
    </row>
    <row r="80" spans="2:16" x14ac:dyDescent="0.25">
      <c r="D80" s="356"/>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8">
    <tabColor rgb="FFFFFF00"/>
  </sheetPr>
  <dimension ref="A1:N114"/>
  <sheetViews>
    <sheetView zoomScale="110" zoomScaleNormal="110" workbookViewId="0">
      <pane xSplit="1" ySplit="4" topLeftCell="B63" activePane="bottomRight" state="frozen"/>
      <selection activeCell="E61" sqref="E61"/>
      <selection pane="topRight" activeCell="E61" sqref="E61"/>
      <selection pane="bottomLeft" activeCell="E61" sqref="E61"/>
      <selection pane="bottomRight" activeCell="D70" sqref="D70"/>
    </sheetView>
  </sheetViews>
  <sheetFormatPr baseColWidth="10" defaultColWidth="11.42578125" defaultRowHeight="15" x14ac:dyDescent="0.25"/>
  <cols>
    <col min="1" max="1" width="51.140625" style="381" customWidth="1"/>
    <col min="2" max="2" width="18.5703125" style="381" customWidth="1"/>
    <col min="3" max="3" width="18.140625" style="381" customWidth="1"/>
    <col min="4" max="4" width="16.42578125" style="380" customWidth="1"/>
    <col min="5" max="5" width="16.140625" style="381" customWidth="1"/>
    <col min="6" max="6" width="17.42578125" style="381" customWidth="1"/>
    <col min="7" max="7" width="16.28515625" style="381" customWidth="1"/>
    <col min="8" max="8" width="17.42578125" style="380" customWidth="1"/>
    <col min="9" max="9" width="16.28515625" style="381" customWidth="1"/>
    <col min="10" max="10" width="15" style="380" bestFit="1" customWidth="1"/>
    <col min="11" max="11" width="19" style="380" customWidth="1"/>
    <col min="12" max="12" width="16.28515625" style="381" customWidth="1"/>
    <col min="13" max="13" width="17.28515625" style="380" bestFit="1" customWidth="1"/>
    <col min="14" max="14" width="19.7109375" style="381" customWidth="1"/>
    <col min="15" max="15" width="18.140625" style="381" customWidth="1"/>
    <col min="16" max="16" width="16.85546875" style="381" customWidth="1"/>
    <col min="17" max="16384" width="11.42578125" style="381"/>
  </cols>
  <sheetData>
    <row r="1" spans="1:13" x14ac:dyDescent="0.25">
      <c r="A1" s="381" t="s">
        <v>226</v>
      </c>
      <c r="B1" s="470" t="s">
        <v>380</v>
      </c>
    </row>
    <row r="2" spans="1:13" x14ac:dyDescent="0.25">
      <c r="L2" s="432"/>
      <c r="M2" s="597"/>
    </row>
    <row r="3" spans="1:13" x14ac:dyDescent="0.25">
      <c r="A3" s="381" t="s">
        <v>227</v>
      </c>
      <c r="B3" s="381" t="s">
        <v>228</v>
      </c>
      <c r="C3" s="381" t="s">
        <v>229</v>
      </c>
      <c r="D3" s="617" t="s">
        <v>230</v>
      </c>
      <c r="E3" s="432">
        <v>4</v>
      </c>
      <c r="F3" s="381" t="s">
        <v>231</v>
      </c>
      <c r="G3" s="381" t="s">
        <v>232</v>
      </c>
      <c r="H3" s="438" t="s">
        <v>233</v>
      </c>
      <c r="I3" s="381" t="s">
        <v>234</v>
      </c>
      <c r="J3" s="438" t="s">
        <v>235</v>
      </c>
      <c r="K3" s="615">
        <v>10</v>
      </c>
      <c r="L3" s="432">
        <v>11</v>
      </c>
      <c r="M3" s="615">
        <v>12</v>
      </c>
    </row>
    <row r="4" spans="1:13" x14ac:dyDescent="0.25">
      <c r="A4" s="381" t="s">
        <v>236</v>
      </c>
      <c r="B4" s="381" t="s">
        <v>237</v>
      </c>
      <c r="C4" s="381" t="s">
        <v>69</v>
      </c>
      <c r="D4" s="639" t="s">
        <v>79</v>
      </c>
      <c r="E4" s="381" t="s">
        <v>71</v>
      </c>
      <c r="F4" s="381" t="s">
        <v>76</v>
      </c>
      <c r="G4" s="381" t="s">
        <v>88</v>
      </c>
      <c r="H4" s="638" t="s">
        <v>78</v>
      </c>
      <c r="I4" s="438" t="s">
        <v>70</v>
      </c>
      <c r="J4" s="438" t="s">
        <v>77</v>
      </c>
      <c r="K4" s="438" t="s">
        <v>73</v>
      </c>
      <c r="L4" s="381" t="s">
        <v>74</v>
      </c>
      <c r="M4" s="438" t="s">
        <v>238</v>
      </c>
    </row>
    <row r="5" spans="1:13" s="466" customFormat="1" ht="15.75" x14ac:dyDescent="0.3">
      <c r="A5" s="465" t="s">
        <v>14</v>
      </c>
      <c r="B5" s="467">
        <v>125784718.06</v>
      </c>
      <c r="C5" s="467">
        <v>463164148.06</v>
      </c>
      <c r="D5" s="467">
        <v>89300424.209999993</v>
      </c>
      <c r="E5" s="467">
        <v>74618928.170000002</v>
      </c>
      <c r="F5" s="467">
        <v>568729015.02999997</v>
      </c>
      <c r="G5" s="467">
        <v>112313587.3</v>
      </c>
      <c r="H5" s="467">
        <v>69227718.870000005</v>
      </c>
      <c r="I5" s="467">
        <v>1042962230.53</v>
      </c>
      <c r="J5" s="467">
        <v>6758949.9399999995</v>
      </c>
      <c r="K5" s="467">
        <v>633095470.86000001</v>
      </c>
      <c r="L5" s="467">
        <v>713442655.40999997</v>
      </c>
      <c r="M5" s="467">
        <v>150608709.93000001</v>
      </c>
    </row>
    <row r="6" spans="1:13" ht="15.75" x14ac:dyDescent="0.3">
      <c r="A6" t="s">
        <v>183</v>
      </c>
      <c r="B6" s="381" t="s">
        <v>363</v>
      </c>
      <c r="C6" s="438" t="s">
        <v>363</v>
      </c>
      <c r="D6" s="438" t="s">
        <v>363</v>
      </c>
      <c r="E6" s="381" t="s">
        <v>363</v>
      </c>
      <c r="F6" s="381" t="s">
        <v>363</v>
      </c>
      <c r="G6" s="381">
        <v>4375260.46</v>
      </c>
      <c r="H6" s="381" t="s">
        <v>363</v>
      </c>
      <c r="I6" s="381">
        <v>6686246.1699999999</v>
      </c>
      <c r="J6" s="381">
        <v>0</v>
      </c>
      <c r="K6" s="438" t="s">
        <v>363</v>
      </c>
      <c r="L6" s="438" t="s">
        <v>363</v>
      </c>
      <c r="M6" s="438" t="s">
        <v>363</v>
      </c>
    </row>
    <row r="7" spans="1:13" ht="15.75" x14ac:dyDescent="0.3">
      <c r="A7" t="s">
        <v>15</v>
      </c>
      <c r="B7" s="381">
        <v>25260701.960000001</v>
      </c>
      <c r="C7" s="438">
        <v>16826319.59</v>
      </c>
      <c r="D7" s="438" t="s">
        <v>363</v>
      </c>
      <c r="E7" s="381">
        <v>19370830.969999999</v>
      </c>
      <c r="F7" s="381">
        <v>55173322.090000004</v>
      </c>
      <c r="G7" s="381">
        <v>24514412.640000001</v>
      </c>
      <c r="H7" s="381">
        <v>3660395.36</v>
      </c>
      <c r="I7" s="381">
        <v>81356294.170000002</v>
      </c>
      <c r="J7" s="381">
        <v>6758949.9399999995</v>
      </c>
      <c r="K7" s="438">
        <v>219514214.72999999</v>
      </c>
      <c r="L7" s="438">
        <v>6048948.0300000003</v>
      </c>
      <c r="M7" s="438">
        <v>52407702.850000001</v>
      </c>
    </row>
    <row r="8" spans="1:13" ht="15.75" x14ac:dyDescent="0.3">
      <c r="A8" t="s">
        <v>239</v>
      </c>
      <c r="B8" s="381">
        <v>100524016.09999999</v>
      </c>
      <c r="C8" s="438">
        <v>446337828.47000003</v>
      </c>
      <c r="D8" s="438">
        <v>89300424.209999993</v>
      </c>
      <c r="E8" s="381">
        <v>55248097.200000003</v>
      </c>
      <c r="F8" s="381">
        <v>513555692.94</v>
      </c>
      <c r="G8" s="381">
        <v>83423914.200000003</v>
      </c>
      <c r="H8" s="381">
        <v>65567323.509999998</v>
      </c>
      <c r="I8" s="381">
        <v>954919690.19000006</v>
      </c>
      <c r="J8" s="381">
        <v>0</v>
      </c>
      <c r="K8" s="438">
        <v>413581256.13</v>
      </c>
      <c r="L8" s="438">
        <v>707393707.38</v>
      </c>
      <c r="M8" s="438">
        <v>98201007.079999998</v>
      </c>
    </row>
    <row r="9" spans="1:13" s="466" customFormat="1" ht="15.75" x14ac:dyDescent="0.3">
      <c r="A9" s="465" t="s">
        <v>21</v>
      </c>
      <c r="B9" s="467">
        <v>34900661.240000002</v>
      </c>
      <c r="C9" s="467">
        <v>17160439.449999999</v>
      </c>
      <c r="D9" s="467" t="s">
        <v>363</v>
      </c>
      <c r="E9" s="467">
        <v>15138108.51</v>
      </c>
      <c r="F9" s="467">
        <v>87442929.109999999</v>
      </c>
      <c r="G9" s="467" t="s">
        <v>363</v>
      </c>
      <c r="H9" s="467">
        <v>701512.36</v>
      </c>
      <c r="I9" s="467">
        <v>26851718.43</v>
      </c>
      <c r="J9" s="467">
        <v>24237568.18</v>
      </c>
      <c r="K9" s="467">
        <v>45565837.560000002</v>
      </c>
      <c r="L9" s="467" t="s">
        <v>363</v>
      </c>
      <c r="M9" s="467">
        <v>41798727.979999997</v>
      </c>
    </row>
    <row r="10" spans="1:13" ht="15.75" x14ac:dyDescent="0.3">
      <c r="A10" t="s">
        <v>184</v>
      </c>
      <c r="B10" s="381" t="s">
        <v>363</v>
      </c>
      <c r="C10" s="381">
        <v>2910474.36</v>
      </c>
      <c r="D10" s="381" t="s">
        <v>363</v>
      </c>
      <c r="E10" s="381">
        <v>5193031.05</v>
      </c>
      <c r="F10" s="381">
        <v>13043812.74</v>
      </c>
      <c r="G10" s="381" t="s">
        <v>363</v>
      </c>
      <c r="H10" s="381" t="s">
        <v>363</v>
      </c>
      <c r="I10" s="381">
        <v>364764.73</v>
      </c>
      <c r="J10" s="381">
        <v>24237568.18</v>
      </c>
      <c r="K10" s="438">
        <v>2946766.9</v>
      </c>
      <c r="L10" s="438" t="s">
        <v>363</v>
      </c>
      <c r="M10" s="438" t="s">
        <v>363</v>
      </c>
    </row>
    <row r="11" spans="1:13" ht="15.75" x14ac:dyDescent="0.3">
      <c r="A11" t="s">
        <v>185</v>
      </c>
      <c r="B11" s="381" t="s">
        <v>363</v>
      </c>
      <c r="C11" s="381" t="s">
        <v>363</v>
      </c>
      <c r="D11" s="381" t="s">
        <v>363</v>
      </c>
      <c r="E11" s="381">
        <v>9945077.4600000009</v>
      </c>
      <c r="F11" s="381">
        <v>39789291.359999999</v>
      </c>
      <c r="G11" s="381" t="s">
        <v>363</v>
      </c>
      <c r="H11" s="381" t="s">
        <v>363</v>
      </c>
      <c r="I11" s="381">
        <v>20686980.719999999</v>
      </c>
      <c r="J11" s="381">
        <v>0</v>
      </c>
      <c r="K11" s="438">
        <v>1558838.14</v>
      </c>
      <c r="L11" s="438" t="s">
        <v>363</v>
      </c>
      <c r="M11" s="438" t="s">
        <v>363</v>
      </c>
    </row>
    <row r="12" spans="1:13" ht="15.75" x14ac:dyDescent="0.3">
      <c r="A12" t="s">
        <v>186</v>
      </c>
      <c r="B12" s="381">
        <v>34900661.240000002</v>
      </c>
      <c r="C12" s="381">
        <v>14249965.09</v>
      </c>
      <c r="D12" s="381" t="s">
        <v>363</v>
      </c>
      <c r="E12" s="381" t="s">
        <v>363</v>
      </c>
      <c r="F12" s="381">
        <v>34609825.009999998</v>
      </c>
      <c r="G12" s="381" t="s">
        <v>363</v>
      </c>
      <c r="H12" s="381">
        <v>701512.36</v>
      </c>
      <c r="I12" s="381">
        <v>5799972.9800000004</v>
      </c>
      <c r="J12" s="381">
        <v>0</v>
      </c>
      <c r="K12" s="438">
        <v>41060232.520000003</v>
      </c>
      <c r="L12" s="438" t="s">
        <v>363</v>
      </c>
      <c r="M12" s="438">
        <v>41798727.979999997</v>
      </c>
    </row>
    <row r="13" spans="1:13" s="466" customFormat="1" ht="15.75" x14ac:dyDescent="0.3">
      <c r="A13" s="465" t="s">
        <v>20</v>
      </c>
      <c r="B13" s="467">
        <v>244165593.25999999</v>
      </c>
      <c r="C13" s="467">
        <v>328071848.05000001</v>
      </c>
      <c r="D13" s="467">
        <v>19037965.890000001</v>
      </c>
      <c r="E13" s="467">
        <v>37386608.509999998</v>
      </c>
      <c r="F13" s="467">
        <v>52551284.140000001</v>
      </c>
      <c r="G13" s="467">
        <v>95124858.769999996</v>
      </c>
      <c r="H13" s="467">
        <v>24701509.48</v>
      </c>
      <c r="I13" s="467">
        <v>643892280.63</v>
      </c>
      <c r="J13" s="467">
        <v>42451206.329999998</v>
      </c>
      <c r="K13" s="467">
        <v>141481905.61000001</v>
      </c>
      <c r="L13" s="467" t="s">
        <v>363</v>
      </c>
      <c r="M13" s="467">
        <v>182913369.25999999</v>
      </c>
    </row>
    <row r="14" spans="1:13" ht="15.75" x14ac:dyDescent="0.3">
      <c r="A14" t="s">
        <v>187</v>
      </c>
      <c r="B14" s="381">
        <v>834765.83</v>
      </c>
      <c r="C14" s="381">
        <v>24247099.050000001</v>
      </c>
      <c r="D14" s="381">
        <v>4091229.89</v>
      </c>
      <c r="E14" s="381" t="s">
        <v>363</v>
      </c>
      <c r="F14" s="381" t="s">
        <v>363</v>
      </c>
      <c r="G14" s="381" t="s">
        <v>363</v>
      </c>
      <c r="H14" s="381" t="s">
        <v>363</v>
      </c>
      <c r="I14" s="381">
        <v>369739.67</v>
      </c>
      <c r="J14" s="381">
        <v>0</v>
      </c>
      <c r="K14" s="438" t="s">
        <v>363</v>
      </c>
      <c r="L14" s="438" t="s">
        <v>363</v>
      </c>
      <c r="M14" s="438" t="s">
        <v>363</v>
      </c>
    </row>
    <row r="15" spans="1:13" ht="15.75" x14ac:dyDescent="0.3">
      <c r="A15" t="s">
        <v>188</v>
      </c>
      <c r="B15" s="381" t="s">
        <v>363</v>
      </c>
      <c r="C15" s="381">
        <v>34980268.780000001</v>
      </c>
      <c r="D15" s="381" t="s">
        <v>363</v>
      </c>
      <c r="E15" s="381" t="s">
        <v>363</v>
      </c>
      <c r="F15" s="381">
        <v>2499932.59</v>
      </c>
      <c r="G15" s="381">
        <v>437710.44</v>
      </c>
      <c r="H15" s="381" t="s">
        <v>363</v>
      </c>
      <c r="I15" s="381">
        <v>5497728.3300000001</v>
      </c>
      <c r="J15" s="381">
        <v>5007090.95</v>
      </c>
      <c r="K15" s="438">
        <v>4096360.03</v>
      </c>
      <c r="L15" s="438" t="s">
        <v>363</v>
      </c>
      <c r="M15" s="438">
        <v>3136866.5</v>
      </c>
    </row>
    <row r="16" spans="1:13" ht="15.75" x14ac:dyDescent="0.3">
      <c r="A16" t="s">
        <v>189</v>
      </c>
      <c r="B16" s="381">
        <v>9204599.7400000002</v>
      </c>
      <c r="C16" s="381">
        <v>16956226.670000002</v>
      </c>
      <c r="D16" s="381">
        <v>4225616</v>
      </c>
      <c r="E16" s="381" t="s">
        <v>363</v>
      </c>
      <c r="F16" s="381">
        <v>2162316.75</v>
      </c>
      <c r="G16" s="381">
        <v>4076428.91</v>
      </c>
      <c r="H16" s="381" t="s">
        <v>363</v>
      </c>
      <c r="I16" s="381">
        <v>20894298.890000001</v>
      </c>
      <c r="J16" s="381">
        <v>1504053.29</v>
      </c>
      <c r="K16" s="438" t="s">
        <v>363</v>
      </c>
      <c r="L16" s="438" t="s">
        <v>363</v>
      </c>
      <c r="M16" s="438" t="s">
        <v>363</v>
      </c>
    </row>
    <row r="17" spans="1:13" ht="15.75" x14ac:dyDescent="0.3">
      <c r="A17" t="s">
        <v>190</v>
      </c>
      <c r="B17" s="381" t="s">
        <v>363</v>
      </c>
      <c r="C17" s="381">
        <v>867453.43</v>
      </c>
      <c r="D17" s="381" t="s">
        <v>363</v>
      </c>
      <c r="E17" s="381" t="s">
        <v>363</v>
      </c>
      <c r="F17" s="381" t="s">
        <v>363</v>
      </c>
      <c r="G17" s="381">
        <v>28504.55</v>
      </c>
      <c r="H17" s="381" t="s">
        <v>363</v>
      </c>
      <c r="I17" s="381">
        <v>37311.35</v>
      </c>
      <c r="J17" s="381">
        <v>0</v>
      </c>
      <c r="K17" s="438">
        <v>1209449.1399999999</v>
      </c>
      <c r="L17" s="438" t="s">
        <v>363</v>
      </c>
      <c r="M17" s="438" t="s">
        <v>363</v>
      </c>
    </row>
    <row r="18" spans="1:13" ht="15.75" x14ac:dyDescent="0.3">
      <c r="A18" t="s">
        <v>221</v>
      </c>
      <c r="B18" s="381">
        <v>298707.03000000003</v>
      </c>
      <c r="C18" s="381">
        <v>1510114.96</v>
      </c>
      <c r="D18" s="381" t="s">
        <v>363</v>
      </c>
      <c r="E18" s="381">
        <v>12504164.91</v>
      </c>
      <c r="F18" s="381">
        <v>10597124.68</v>
      </c>
      <c r="G18" s="381">
        <v>1624005.4</v>
      </c>
      <c r="H18" s="381" t="s">
        <v>363</v>
      </c>
      <c r="I18" s="381">
        <v>6646725.0999999996</v>
      </c>
      <c r="J18" s="381">
        <v>64660.520000000004</v>
      </c>
      <c r="K18" s="438">
        <v>412427.78</v>
      </c>
      <c r="L18" s="438" t="s">
        <v>363</v>
      </c>
      <c r="M18" s="438">
        <v>7362275.29</v>
      </c>
    </row>
    <row r="19" spans="1:13" ht="15.75" x14ac:dyDescent="0.3">
      <c r="A19" t="s">
        <v>240</v>
      </c>
      <c r="B19" s="381" t="s">
        <v>363</v>
      </c>
      <c r="C19" s="381" t="s">
        <v>363</v>
      </c>
      <c r="D19" s="381" t="s">
        <v>363</v>
      </c>
      <c r="E19" s="381" t="s">
        <v>363</v>
      </c>
      <c r="F19" s="381" t="s">
        <v>363</v>
      </c>
      <c r="G19" s="381" t="s">
        <v>363</v>
      </c>
      <c r="H19" s="381" t="s">
        <v>363</v>
      </c>
      <c r="I19" s="381" t="s">
        <v>363</v>
      </c>
      <c r="J19" s="381">
        <v>0</v>
      </c>
      <c r="K19" s="438" t="s">
        <v>363</v>
      </c>
      <c r="L19" s="438" t="s">
        <v>363</v>
      </c>
      <c r="M19" s="438" t="s">
        <v>363</v>
      </c>
    </row>
    <row r="20" spans="1:13" ht="15.75" x14ac:dyDescent="0.3">
      <c r="A20" t="s">
        <v>193</v>
      </c>
      <c r="B20" s="381">
        <v>328801.34000000003</v>
      </c>
      <c r="C20" s="381">
        <v>7588056.8099999996</v>
      </c>
      <c r="D20" s="381" t="s">
        <v>363</v>
      </c>
      <c r="E20" s="381">
        <v>231824</v>
      </c>
      <c r="F20" s="381">
        <v>1991111.95</v>
      </c>
      <c r="G20" s="381">
        <v>7800378.71</v>
      </c>
      <c r="H20" s="381">
        <v>13636369.970000001</v>
      </c>
      <c r="I20" s="381">
        <v>118629733.77</v>
      </c>
      <c r="J20" s="381">
        <v>1543548.21</v>
      </c>
      <c r="K20" s="438">
        <v>2083424.32</v>
      </c>
      <c r="L20" s="438" t="s">
        <v>363</v>
      </c>
      <c r="M20" s="438">
        <v>15556848.17</v>
      </c>
    </row>
    <row r="21" spans="1:13" ht="15.75" x14ac:dyDescent="0.3">
      <c r="A21" t="s">
        <v>241</v>
      </c>
      <c r="B21" s="381">
        <v>931224.7</v>
      </c>
      <c r="C21" s="381">
        <v>38188063.340000004</v>
      </c>
      <c r="D21" s="381" t="s">
        <v>363</v>
      </c>
      <c r="E21" s="381">
        <v>5414876.7599999998</v>
      </c>
      <c r="F21" s="381">
        <v>1877093.06</v>
      </c>
      <c r="G21" s="381">
        <v>16566402.57</v>
      </c>
      <c r="H21" s="381" t="s">
        <v>363</v>
      </c>
      <c r="I21" s="381">
        <v>24232075.969999999</v>
      </c>
      <c r="J21" s="381">
        <v>12110942.43</v>
      </c>
      <c r="K21" s="438">
        <v>20028546.600000001</v>
      </c>
      <c r="L21" s="438" t="s">
        <v>363</v>
      </c>
      <c r="M21" s="438">
        <v>8393162.4499999993</v>
      </c>
    </row>
    <row r="22" spans="1:13" ht="15.75" x14ac:dyDescent="0.3">
      <c r="A22" t="s">
        <v>242</v>
      </c>
      <c r="B22" s="381">
        <v>2457961.7999999998</v>
      </c>
      <c r="C22" s="381">
        <v>44810523.939999998</v>
      </c>
      <c r="D22" s="381" t="s">
        <v>363</v>
      </c>
      <c r="E22" s="381">
        <v>1778209.87</v>
      </c>
      <c r="F22" s="381">
        <v>2778803.42</v>
      </c>
      <c r="G22" s="381">
        <v>9194602.4900000002</v>
      </c>
      <c r="H22" s="381">
        <v>3767707.28</v>
      </c>
      <c r="I22" s="381">
        <v>112232020.34999999</v>
      </c>
      <c r="J22" s="381">
        <v>6944785.21</v>
      </c>
      <c r="K22" s="438">
        <v>8058942.2400000002</v>
      </c>
      <c r="L22" s="438" t="s">
        <v>363</v>
      </c>
      <c r="M22" s="438">
        <v>6373586.3700000001</v>
      </c>
    </row>
    <row r="23" spans="1:13" ht="15.75" x14ac:dyDescent="0.3">
      <c r="A23" t="s">
        <v>196</v>
      </c>
      <c r="B23" s="381" t="s">
        <v>363</v>
      </c>
      <c r="C23" s="381">
        <v>2044778.42</v>
      </c>
      <c r="D23" s="381" t="s">
        <v>363</v>
      </c>
      <c r="E23" s="381" t="s">
        <v>363</v>
      </c>
      <c r="F23" s="381" t="s">
        <v>363</v>
      </c>
      <c r="G23" s="381" t="s">
        <v>363</v>
      </c>
      <c r="H23" s="381" t="s">
        <v>363</v>
      </c>
      <c r="I23" s="381" t="s">
        <v>363</v>
      </c>
      <c r="J23" s="381">
        <v>0</v>
      </c>
      <c r="K23" s="438" t="s">
        <v>363</v>
      </c>
      <c r="L23" s="438" t="s">
        <v>363</v>
      </c>
      <c r="M23" s="438" t="s">
        <v>363</v>
      </c>
    </row>
    <row r="24" spans="1:13" ht="15.75" x14ac:dyDescent="0.3">
      <c r="A24" t="s">
        <v>197</v>
      </c>
      <c r="B24" s="381" t="s">
        <v>363</v>
      </c>
      <c r="C24" s="381" t="s">
        <v>363</v>
      </c>
      <c r="D24" s="381" t="s">
        <v>363</v>
      </c>
      <c r="E24" s="381" t="s">
        <v>363</v>
      </c>
      <c r="F24" s="381" t="s">
        <v>363</v>
      </c>
      <c r="G24" s="381" t="s">
        <v>363</v>
      </c>
      <c r="H24" s="381" t="s">
        <v>363</v>
      </c>
      <c r="I24" s="381" t="s">
        <v>363</v>
      </c>
      <c r="J24" s="381">
        <v>0</v>
      </c>
      <c r="K24" s="438" t="s">
        <v>363</v>
      </c>
      <c r="L24" s="438" t="s">
        <v>363</v>
      </c>
      <c r="M24" s="438" t="s">
        <v>363</v>
      </c>
    </row>
    <row r="25" spans="1:13" ht="15.75" x14ac:dyDescent="0.3">
      <c r="A25" t="s">
        <v>198</v>
      </c>
      <c r="B25" s="381">
        <v>12594458.460000001</v>
      </c>
      <c r="C25" s="381">
        <v>939156.61</v>
      </c>
      <c r="D25" s="381" t="s">
        <v>363</v>
      </c>
      <c r="E25" s="381">
        <v>1390136.74</v>
      </c>
      <c r="F25" s="381">
        <v>161226.88</v>
      </c>
      <c r="G25" s="381">
        <v>26994.41</v>
      </c>
      <c r="H25" s="381" t="s">
        <v>363</v>
      </c>
      <c r="I25" s="381">
        <v>354269.94</v>
      </c>
      <c r="J25" s="381">
        <v>40255.83</v>
      </c>
      <c r="K25" s="438">
        <v>5934013.6200000001</v>
      </c>
      <c r="L25" s="438" t="s">
        <v>363</v>
      </c>
      <c r="M25" s="438">
        <v>4478783.57</v>
      </c>
    </row>
    <row r="26" spans="1:13" ht="15.75" x14ac:dyDescent="0.3">
      <c r="A26" t="s">
        <v>199</v>
      </c>
      <c r="B26" s="381">
        <v>33258435.670000002</v>
      </c>
      <c r="C26" s="381">
        <v>25997533.469999999</v>
      </c>
      <c r="D26" s="381" t="s">
        <v>363</v>
      </c>
      <c r="E26" s="381">
        <v>48271.42</v>
      </c>
      <c r="F26" s="381">
        <v>12101286.02</v>
      </c>
      <c r="G26" s="381">
        <v>1917682.8</v>
      </c>
      <c r="H26" s="381">
        <v>4168652.08</v>
      </c>
      <c r="I26" s="381">
        <v>52904584.390000001</v>
      </c>
      <c r="J26" s="381">
        <v>3558643.96</v>
      </c>
      <c r="K26" s="438">
        <v>26795459.199999999</v>
      </c>
      <c r="L26" s="438" t="s">
        <v>363</v>
      </c>
      <c r="M26" s="438" t="s">
        <v>363</v>
      </c>
    </row>
    <row r="27" spans="1:13" ht="15.75" x14ac:dyDescent="0.3">
      <c r="A27" t="s">
        <v>243</v>
      </c>
      <c r="B27" s="381" t="s">
        <v>363</v>
      </c>
      <c r="C27" s="381" t="s">
        <v>363</v>
      </c>
      <c r="D27" s="381" t="s">
        <v>363</v>
      </c>
      <c r="E27" s="381" t="s">
        <v>363</v>
      </c>
      <c r="F27" s="381" t="s">
        <v>363</v>
      </c>
      <c r="G27" s="381" t="s">
        <v>363</v>
      </c>
      <c r="H27" s="381" t="s">
        <v>363</v>
      </c>
      <c r="I27" s="381" t="s">
        <v>363</v>
      </c>
      <c r="J27" s="381">
        <v>0</v>
      </c>
      <c r="K27" s="438" t="s">
        <v>363</v>
      </c>
      <c r="L27" s="438" t="s">
        <v>363</v>
      </c>
      <c r="M27" s="438" t="s">
        <v>363</v>
      </c>
    </row>
    <row r="28" spans="1:13" ht="15.75" x14ac:dyDescent="0.3">
      <c r="A28" t="s">
        <v>201</v>
      </c>
      <c r="B28" s="381">
        <v>133070064.16</v>
      </c>
      <c r="C28" s="381">
        <v>22310965.350000001</v>
      </c>
      <c r="D28" s="381" t="s">
        <v>363</v>
      </c>
      <c r="E28" s="381">
        <v>7018828.3099999996</v>
      </c>
      <c r="F28" s="381">
        <v>8364703.8399999999</v>
      </c>
      <c r="G28" s="381">
        <v>4328528.01</v>
      </c>
      <c r="H28" s="381" t="s">
        <v>363</v>
      </c>
      <c r="I28" s="381">
        <v>58531036.609999999</v>
      </c>
      <c r="J28" s="381">
        <v>8791930.9000000004</v>
      </c>
      <c r="K28" s="438">
        <v>14047734.57</v>
      </c>
      <c r="L28" s="438" t="s">
        <v>363</v>
      </c>
      <c r="M28" s="438">
        <v>15556107.220000001</v>
      </c>
    </row>
    <row r="29" spans="1:13" ht="15.75" x14ac:dyDescent="0.3">
      <c r="A29" t="s">
        <v>244</v>
      </c>
      <c r="B29" s="381" t="s">
        <v>363</v>
      </c>
      <c r="C29" s="381">
        <v>7253086.1900000004</v>
      </c>
      <c r="D29" s="381" t="s">
        <v>363</v>
      </c>
      <c r="E29" s="381">
        <v>140547.95000000001</v>
      </c>
      <c r="F29" s="381">
        <v>127150.13</v>
      </c>
      <c r="G29" s="381" t="s">
        <v>363</v>
      </c>
      <c r="H29" s="381" t="s">
        <v>363</v>
      </c>
      <c r="I29" s="381" t="s">
        <v>363</v>
      </c>
      <c r="J29" s="381">
        <v>0</v>
      </c>
      <c r="K29" s="438" t="s">
        <v>363</v>
      </c>
      <c r="L29" s="438" t="s">
        <v>363</v>
      </c>
      <c r="M29" s="438">
        <v>1194749.1499999999</v>
      </c>
    </row>
    <row r="30" spans="1:13" ht="15.75" x14ac:dyDescent="0.3">
      <c r="A30" t="s">
        <v>203</v>
      </c>
      <c r="B30" s="381">
        <v>1695186.61</v>
      </c>
      <c r="C30" s="381">
        <v>1367316.8</v>
      </c>
      <c r="D30" s="381">
        <v>10721120</v>
      </c>
      <c r="E30" s="381">
        <v>300464.33</v>
      </c>
      <c r="F30" s="381">
        <v>72565</v>
      </c>
      <c r="G30" s="381">
        <v>21221287.84</v>
      </c>
      <c r="H30" s="381" t="s">
        <v>363</v>
      </c>
      <c r="I30" s="381">
        <v>85435658.120000005</v>
      </c>
      <c r="J30" s="381">
        <v>61752.5</v>
      </c>
      <c r="K30" s="438">
        <v>10863798.199999999</v>
      </c>
      <c r="L30" s="438" t="s">
        <v>363</v>
      </c>
      <c r="M30" s="438">
        <v>934721.78</v>
      </c>
    </row>
    <row r="31" spans="1:13" ht="15.75" x14ac:dyDescent="0.3">
      <c r="A31" t="s">
        <v>245</v>
      </c>
      <c r="B31" s="381">
        <v>4464.71</v>
      </c>
      <c r="C31" s="381">
        <v>150446.62</v>
      </c>
      <c r="D31" s="381" t="s">
        <v>363</v>
      </c>
      <c r="E31" s="381" t="s">
        <v>363</v>
      </c>
      <c r="F31" s="381" t="s">
        <v>363</v>
      </c>
      <c r="G31" s="381" t="s">
        <v>363</v>
      </c>
      <c r="H31" s="381" t="s">
        <v>363</v>
      </c>
      <c r="I31" s="381" t="s">
        <v>363</v>
      </c>
      <c r="J31" s="381">
        <v>0</v>
      </c>
      <c r="K31" s="438" t="s">
        <v>363</v>
      </c>
      <c r="L31" s="438" t="s">
        <v>363</v>
      </c>
      <c r="M31" s="438" t="s">
        <v>363</v>
      </c>
    </row>
    <row r="32" spans="1:13" ht="15.75" x14ac:dyDescent="0.3">
      <c r="A32" t="s">
        <v>246</v>
      </c>
      <c r="B32" s="381">
        <v>82899.429999999993</v>
      </c>
      <c r="C32" s="381">
        <v>62392080.579999998</v>
      </c>
      <c r="D32" s="381" t="s">
        <v>363</v>
      </c>
      <c r="E32" s="381">
        <v>2801726.08</v>
      </c>
      <c r="F32" s="381">
        <v>425461.29</v>
      </c>
      <c r="G32" s="381">
        <v>100419.53</v>
      </c>
      <c r="H32" s="381">
        <v>2657530.5099999998</v>
      </c>
      <c r="I32" s="381">
        <v>79723815.849999994</v>
      </c>
      <c r="J32" s="381">
        <v>657447.72</v>
      </c>
      <c r="K32" s="438">
        <v>2868294.82</v>
      </c>
      <c r="L32" s="438" t="s">
        <v>363</v>
      </c>
      <c r="M32" s="438">
        <v>68501255.359999999</v>
      </c>
    </row>
    <row r="33" spans="1:14" ht="15.75" x14ac:dyDescent="0.3">
      <c r="A33" t="s">
        <v>206</v>
      </c>
      <c r="B33" s="381" t="s">
        <v>363</v>
      </c>
      <c r="C33" s="381">
        <v>389291.51</v>
      </c>
      <c r="D33" s="381" t="s">
        <v>363</v>
      </c>
      <c r="E33" s="381" t="s">
        <v>363</v>
      </c>
      <c r="F33" s="381" t="s">
        <v>363</v>
      </c>
      <c r="G33" s="381" t="s">
        <v>363</v>
      </c>
      <c r="H33" s="381" t="s">
        <v>363</v>
      </c>
      <c r="I33" s="381" t="s">
        <v>363</v>
      </c>
      <c r="J33" s="381">
        <v>0</v>
      </c>
      <c r="K33" s="438" t="s">
        <v>363</v>
      </c>
      <c r="L33" s="438" t="s">
        <v>363</v>
      </c>
      <c r="M33" s="438">
        <v>4226831.04</v>
      </c>
    </row>
    <row r="34" spans="1:14" ht="15.75" x14ac:dyDescent="0.3">
      <c r="A34" t="s">
        <v>207</v>
      </c>
      <c r="B34" s="381">
        <v>37259958.18</v>
      </c>
      <c r="C34" s="381">
        <v>2386243.02</v>
      </c>
      <c r="D34" s="381" t="s">
        <v>363</v>
      </c>
      <c r="E34" s="381">
        <v>116190.72</v>
      </c>
      <c r="F34" s="381" t="s">
        <v>363</v>
      </c>
      <c r="G34" s="381" t="s">
        <v>363</v>
      </c>
      <c r="H34" s="381" t="s">
        <v>363</v>
      </c>
      <c r="I34" s="381" t="s">
        <v>363</v>
      </c>
      <c r="J34" s="381">
        <v>0</v>
      </c>
      <c r="K34" s="438" t="s">
        <v>363</v>
      </c>
      <c r="L34" s="438" t="s">
        <v>363</v>
      </c>
      <c r="M34" s="438">
        <v>17882096.719999999</v>
      </c>
    </row>
    <row r="35" spans="1:14" ht="15.75" x14ac:dyDescent="0.3">
      <c r="A35" t="s">
        <v>208</v>
      </c>
      <c r="B35" s="381">
        <v>12144065.6</v>
      </c>
      <c r="C35" s="381">
        <v>33693142.5</v>
      </c>
      <c r="D35" s="381" t="s">
        <v>363</v>
      </c>
      <c r="E35" s="381">
        <v>5641367.4199999999</v>
      </c>
      <c r="F35" s="381">
        <v>9392508.5299999993</v>
      </c>
      <c r="G35" s="381">
        <v>27801913.109999999</v>
      </c>
      <c r="H35" s="381">
        <v>471249.64</v>
      </c>
      <c r="I35" s="381">
        <v>78403282.290000007</v>
      </c>
      <c r="J35" s="381">
        <v>2166094.81</v>
      </c>
      <c r="K35" s="438">
        <v>45083455.090000004</v>
      </c>
      <c r="L35" s="438" t="s">
        <v>363</v>
      </c>
      <c r="M35" s="438">
        <v>29316085.640000001</v>
      </c>
    </row>
    <row r="36" spans="1:14" s="466" customFormat="1" ht="15.75" x14ac:dyDescent="0.3">
      <c r="A36" s="465" t="s">
        <v>213</v>
      </c>
      <c r="B36" s="467">
        <v>157073013.71000001</v>
      </c>
      <c r="C36" s="467">
        <v>770533166.66999996</v>
      </c>
      <c r="D36" s="467">
        <v>316460129.24000001</v>
      </c>
      <c r="E36" s="467">
        <v>89651500.099999994</v>
      </c>
      <c r="F36" s="467">
        <v>408600579.37</v>
      </c>
      <c r="G36" s="467">
        <v>739873581.50999999</v>
      </c>
      <c r="H36" s="467">
        <v>401654667.81999999</v>
      </c>
      <c r="I36" s="467">
        <v>1300251302.45</v>
      </c>
      <c r="J36" s="467">
        <v>192844639.00999999</v>
      </c>
      <c r="K36" s="467">
        <v>1465588028.54</v>
      </c>
      <c r="L36" s="467">
        <v>736638819.80999994</v>
      </c>
      <c r="M36" s="467">
        <v>321799389.97000003</v>
      </c>
      <c r="N36" s="467"/>
    </row>
    <row r="37" spans="1:14" ht="15.75" x14ac:dyDescent="0.3">
      <c r="A37" t="s">
        <v>247</v>
      </c>
      <c r="B37" s="381" t="s">
        <v>363</v>
      </c>
      <c r="C37" s="381" t="s">
        <v>363</v>
      </c>
      <c r="D37" s="381" t="s">
        <v>363</v>
      </c>
      <c r="E37" s="381" t="s">
        <v>363</v>
      </c>
      <c r="F37" s="381" t="s">
        <v>363</v>
      </c>
      <c r="G37" s="381" t="s">
        <v>363</v>
      </c>
      <c r="H37" s="381">
        <v>13685139.279999999</v>
      </c>
      <c r="I37" s="381" t="s">
        <v>363</v>
      </c>
      <c r="J37" s="381">
        <v>0</v>
      </c>
      <c r="K37" s="438" t="s">
        <v>363</v>
      </c>
      <c r="L37" s="438" t="s">
        <v>363</v>
      </c>
      <c r="M37" s="438" t="s">
        <v>363</v>
      </c>
      <c r="N37" s="409"/>
    </row>
    <row r="38" spans="1:14" ht="15.75" x14ac:dyDescent="0.3">
      <c r="A38" t="s">
        <v>215</v>
      </c>
      <c r="B38" s="381" t="s">
        <v>363</v>
      </c>
      <c r="C38" s="381" t="s">
        <v>363</v>
      </c>
      <c r="D38" s="381" t="s">
        <v>363</v>
      </c>
      <c r="E38" s="381" t="s">
        <v>363</v>
      </c>
      <c r="F38" s="381" t="s">
        <v>363</v>
      </c>
      <c r="G38" s="381" t="s">
        <v>363</v>
      </c>
      <c r="H38" s="381" t="s">
        <v>363</v>
      </c>
      <c r="I38" s="381" t="s">
        <v>363</v>
      </c>
      <c r="J38" s="381">
        <v>0</v>
      </c>
      <c r="K38" s="438" t="s">
        <v>363</v>
      </c>
      <c r="L38" s="438" t="s">
        <v>363</v>
      </c>
      <c r="M38" s="438" t="s">
        <v>363</v>
      </c>
      <c r="N38" s="409"/>
    </row>
    <row r="39" spans="1:14" ht="15.75" x14ac:dyDescent="0.3">
      <c r="A39" t="s">
        <v>13</v>
      </c>
      <c r="B39" s="381">
        <v>157073013.71000001</v>
      </c>
      <c r="C39" s="381">
        <v>753189322.26999998</v>
      </c>
      <c r="D39" s="381">
        <v>314235374.47000003</v>
      </c>
      <c r="E39" s="381">
        <v>22380679.800000001</v>
      </c>
      <c r="F39" s="381">
        <v>405567147.52999997</v>
      </c>
      <c r="G39" s="381">
        <v>428327183.38</v>
      </c>
      <c r="H39" s="381">
        <v>387969528.54000002</v>
      </c>
      <c r="I39" s="381">
        <v>1202477464.01</v>
      </c>
      <c r="J39" s="381">
        <v>175564641.91</v>
      </c>
      <c r="K39" s="438">
        <v>1424006618.9200001</v>
      </c>
      <c r="L39" s="438">
        <v>357232755.67000002</v>
      </c>
      <c r="M39" s="438">
        <v>301736081.82999998</v>
      </c>
      <c r="N39" s="409"/>
    </row>
    <row r="40" spans="1:14" ht="15.75" x14ac:dyDescent="0.3">
      <c r="A40" t="s">
        <v>12</v>
      </c>
      <c r="B40" s="381" t="s">
        <v>363</v>
      </c>
      <c r="C40" s="381">
        <v>17343844.399999999</v>
      </c>
      <c r="D40" s="381">
        <v>2224754.77</v>
      </c>
      <c r="E40" s="381">
        <v>67270820.299999997</v>
      </c>
      <c r="F40" s="381">
        <v>3033431.84</v>
      </c>
      <c r="G40" s="381">
        <v>311546398.13</v>
      </c>
      <c r="H40" s="381" t="s">
        <v>363</v>
      </c>
      <c r="I40" s="381">
        <v>97773838.439999998</v>
      </c>
      <c r="J40" s="381">
        <v>17279997.099999998</v>
      </c>
      <c r="K40" s="438">
        <v>41581409.619999997</v>
      </c>
      <c r="L40" s="438">
        <v>379406064.13999999</v>
      </c>
      <c r="M40" s="438">
        <v>20063308.140000001</v>
      </c>
      <c r="N40" s="409"/>
    </row>
    <row r="41" spans="1:14" s="466" customFormat="1" ht="15.75" x14ac:dyDescent="0.3">
      <c r="A41" s="465" t="s">
        <v>17</v>
      </c>
      <c r="B41" s="467">
        <v>518349292.83999997</v>
      </c>
      <c r="C41" s="467">
        <v>1159146220.4000001</v>
      </c>
      <c r="D41" s="467">
        <v>119889477.25</v>
      </c>
      <c r="E41" s="467">
        <v>397333167.55000001</v>
      </c>
      <c r="F41" s="467">
        <v>546155251.21000004</v>
      </c>
      <c r="G41" s="467">
        <v>677531254.52999997</v>
      </c>
      <c r="H41" s="467">
        <v>101136676.39</v>
      </c>
      <c r="I41" s="467">
        <v>1836845743.73</v>
      </c>
      <c r="J41" s="467">
        <v>248106088.43000001</v>
      </c>
      <c r="K41" s="467">
        <v>841755215.15999997</v>
      </c>
      <c r="L41" s="467" t="s">
        <v>363</v>
      </c>
      <c r="M41" s="467">
        <v>678935624.10000002</v>
      </c>
      <c r="N41" s="467"/>
    </row>
    <row r="42" spans="1:14" ht="15.75" x14ac:dyDescent="0.3">
      <c r="A42" t="s">
        <v>248</v>
      </c>
      <c r="B42" s="381">
        <v>467571735.20999998</v>
      </c>
      <c r="C42" s="381">
        <v>507928702.18000001</v>
      </c>
      <c r="D42" s="381">
        <v>33688187.560000002</v>
      </c>
      <c r="E42" s="381">
        <v>212248205.16</v>
      </c>
      <c r="F42" s="381">
        <v>337294885.81999999</v>
      </c>
      <c r="G42" s="381">
        <v>289023774.35000002</v>
      </c>
      <c r="H42" s="381">
        <v>58953564.770000003</v>
      </c>
      <c r="I42" s="381">
        <v>1159697876.1400001</v>
      </c>
      <c r="J42" s="381">
        <v>134692606.65000001</v>
      </c>
      <c r="K42" s="438">
        <v>404742713.48000002</v>
      </c>
      <c r="L42" s="438" t="s">
        <v>363</v>
      </c>
      <c r="M42" s="438">
        <v>388808063.39999998</v>
      </c>
    </row>
    <row r="43" spans="1:14" ht="15.75" x14ac:dyDescent="0.3">
      <c r="A43" t="s">
        <v>249</v>
      </c>
      <c r="B43" s="381">
        <v>50777557.640000001</v>
      </c>
      <c r="C43" s="381">
        <v>651217518.22000003</v>
      </c>
      <c r="D43" s="381">
        <v>86201289.689999998</v>
      </c>
      <c r="E43" s="381">
        <v>185084962.38999999</v>
      </c>
      <c r="F43" s="381">
        <v>208860365.38999999</v>
      </c>
      <c r="G43" s="381">
        <v>388507480.18000001</v>
      </c>
      <c r="H43" s="381">
        <v>42183111.619999997</v>
      </c>
      <c r="I43" s="381">
        <v>677147867.59000003</v>
      </c>
      <c r="J43" s="381">
        <v>113413481.78</v>
      </c>
      <c r="K43" s="438">
        <v>437012501.68000001</v>
      </c>
      <c r="L43" s="438" t="s">
        <v>363</v>
      </c>
      <c r="M43" s="438">
        <v>290127560.69999999</v>
      </c>
    </row>
    <row r="44" spans="1:14" s="453" customFormat="1" ht="15.75" x14ac:dyDescent="0.3">
      <c r="A44" s="451" t="s">
        <v>250</v>
      </c>
      <c r="B44" s="452">
        <v>1080273279.1199999</v>
      </c>
      <c r="C44" s="452">
        <v>2738075822.6300001</v>
      </c>
      <c r="D44" s="452">
        <v>544687996.59000003</v>
      </c>
      <c r="E44" s="452">
        <v>614128312.84000003</v>
      </c>
      <c r="F44" s="452">
        <v>1663479058.8599999</v>
      </c>
      <c r="G44" s="452">
        <v>1624843282.1099999</v>
      </c>
      <c r="H44" s="452">
        <v>597422084.91999996</v>
      </c>
      <c r="I44" s="452">
        <v>4850803275.7700005</v>
      </c>
      <c r="J44" s="452">
        <v>514398451.88999999</v>
      </c>
      <c r="K44" s="452">
        <v>3127486457.73</v>
      </c>
      <c r="L44" s="452">
        <v>1450081475.22</v>
      </c>
      <c r="M44" s="452">
        <v>1376055821.24</v>
      </c>
      <c r="N44" s="452"/>
    </row>
    <row r="45" spans="1:14" s="466" customFormat="1" ht="15.75" x14ac:dyDescent="0.3">
      <c r="A45" s="465" t="s">
        <v>251</v>
      </c>
      <c r="B45" s="467">
        <v>79363936.439999998</v>
      </c>
      <c r="C45" s="467">
        <v>384352027.61000001</v>
      </c>
      <c r="D45" s="467">
        <v>67768248.709999993</v>
      </c>
      <c r="E45" s="467">
        <v>74883833.219999999</v>
      </c>
      <c r="F45" s="467">
        <v>368889418.77999997</v>
      </c>
      <c r="G45" s="467">
        <v>88201255.579999998</v>
      </c>
      <c r="H45" s="527">
        <v>49006646.43</v>
      </c>
      <c r="I45" s="467">
        <v>756247017.01999998</v>
      </c>
      <c r="J45" s="467">
        <v>4860008.6400000006</v>
      </c>
      <c r="K45" s="467">
        <v>355233529.54000002</v>
      </c>
      <c r="L45" s="467">
        <v>454570022.26999998</v>
      </c>
      <c r="M45" s="467">
        <v>80919353.030000001</v>
      </c>
    </row>
    <row r="46" spans="1:14" ht="15.75" x14ac:dyDescent="0.3">
      <c r="A46" t="s">
        <v>252</v>
      </c>
      <c r="B46" s="381" t="s">
        <v>363</v>
      </c>
      <c r="C46" s="381" t="s">
        <v>363</v>
      </c>
      <c r="D46" s="381" t="s">
        <v>363</v>
      </c>
      <c r="E46" s="381" t="s">
        <v>363</v>
      </c>
      <c r="F46" s="381" t="s">
        <v>363</v>
      </c>
      <c r="G46" s="381" t="s">
        <v>363</v>
      </c>
      <c r="H46" s="528" t="s">
        <v>363</v>
      </c>
      <c r="I46" s="381">
        <v>4136430.44</v>
      </c>
      <c r="J46" s="381">
        <v>0</v>
      </c>
      <c r="K46" s="438" t="s">
        <v>363</v>
      </c>
      <c r="L46" s="438" t="s">
        <v>363</v>
      </c>
      <c r="M46" s="438" t="s">
        <v>363</v>
      </c>
    </row>
    <row r="47" spans="1:14" ht="15.75" x14ac:dyDescent="0.3">
      <c r="A47" t="s">
        <v>253</v>
      </c>
      <c r="B47" s="381">
        <v>4177758.96</v>
      </c>
      <c r="C47" s="381">
        <v>5233725.04</v>
      </c>
      <c r="D47" s="381" t="s">
        <v>363</v>
      </c>
      <c r="E47" s="381">
        <v>4679734.16</v>
      </c>
      <c r="F47" s="381">
        <v>9282873.7899999991</v>
      </c>
      <c r="G47" s="381">
        <v>7684138.8499999996</v>
      </c>
      <c r="H47" s="381">
        <v>1445746.49</v>
      </c>
      <c r="I47" s="381">
        <v>25093980.800000001</v>
      </c>
      <c r="J47" s="381">
        <v>4860008.6400000006</v>
      </c>
      <c r="K47" s="438">
        <v>23215908.09</v>
      </c>
      <c r="L47" s="438" t="s">
        <v>363</v>
      </c>
      <c r="M47" s="438">
        <v>7234586.25</v>
      </c>
    </row>
    <row r="48" spans="1:14" ht="15.75" x14ac:dyDescent="0.3">
      <c r="A48" t="s">
        <v>254</v>
      </c>
      <c r="B48" s="381">
        <v>75186177.480000004</v>
      </c>
      <c r="C48" s="381">
        <v>379118302.56999999</v>
      </c>
      <c r="D48" s="381">
        <v>67768248.709999993</v>
      </c>
      <c r="E48" s="381">
        <v>69722899.060000002</v>
      </c>
      <c r="F48" s="381">
        <v>359606544.99000001</v>
      </c>
      <c r="G48" s="381">
        <v>80517116.730000004</v>
      </c>
      <c r="H48" s="381">
        <v>47560899.939999998</v>
      </c>
      <c r="I48" s="381">
        <v>727016605.77999997</v>
      </c>
      <c r="J48" s="381">
        <v>0</v>
      </c>
      <c r="K48" s="438">
        <v>332017621.44999999</v>
      </c>
      <c r="L48" s="438">
        <v>454570022.26999998</v>
      </c>
      <c r="M48" s="438">
        <v>73684766.780000001</v>
      </c>
    </row>
    <row r="49" spans="1:13" s="466" customFormat="1" ht="15.75" x14ac:dyDescent="0.3">
      <c r="A49" s="465" t="s">
        <v>255</v>
      </c>
      <c r="B49" s="466" t="s">
        <v>363</v>
      </c>
      <c r="C49" s="466" t="s">
        <v>363</v>
      </c>
      <c r="D49" s="466" t="s">
        <v>363</v>
      </c>
      <c r="E49" s="466">
        <v>24357111.420000002</v>
      </c>
      <c r="F49" s="466">
        <v>7060200.1799999997</v>
      </c>
      <c r="G49" s="466" t="s">
        <v>363</v>
      </c>
      <c r="H49" s="466" t="s">
        <v>363</v>
      </c>
      <c r="I49" s="466">
        <v>9257950.6699999999</v>
      </c>
      <c r="J49" s="466">
        <v>528200</v>
      </c>
      <c r="K49" s="438" t="s">
        <v>363</v>
      </c>
      <c r="L49" s="438" t="s">
        <v>363</v>
      </c>
      <c r="M49" s="438">
        <v>588614.52</v>
      </c>
    </row>
    <row r="50" spans="1:13" ht="15.75" x14ac:dyDescent="0.3">
      <c r="A50" t="s">
        <v>256</v>
      </c>
      <c r="B50" s="381" t="s">
        <v>363</v>
      </c>
      <c r="C50" s="381" t="s">
        <v>363</v>
      </c>
      <c r="D50" s="381" t="s">
        <v>363</v>
      </c>
      <c r="E50" s="381" t="s">
        <v>363</v>
      </c>
      <c r="F50" s="381" t="s">
        <v>363</v>
      </c>
      <c r="G50" s="381" t="s">
        <v>363</v>
      </c>
      <c r="H50" s="381" t="s">
        <v>363</v>
      </c>
      <c r="I50" s="381" t="s">
        <v>363</v>
      </c>
      <c r="J50" s="381">
        <v>528200</v>
      </c>
      <c r="K50" s="438" t="s">
        <v>363</v>
      </c>
      <c r="L50" s="438" t="s">
        <v>363</v>
      </c>
      <c r="M50" s="438" t="s">
        <v>363</v>
      </c>
    </row>
    <row r="51" spans="1:13" ht="15.75" x14ac:dyDescent="0.3">
      <c r="A51" t="s">
        <v>257</v>
      </c>
      <c r="B51" s="381" t="s">
        <v>363</v>
      </c>
      <c r="C51" s="381" t="s">
        <v>363</v>
      </c>
      <c r="D51" s="381" t="s">
        <v>363</v>
      </c>
      <c r="E51" s="381">
        <v>24357111.420000002</v>
      </c>
      <c r="F51" s="381" t="s">
        <v>363</v>
      </c>
      <c r="G51" s="381" t="s">
        <v>363</v>
      </c>
      <c r="H51" s="381" t="s">
        <v>363</v>
      </c>
      <c r="I51" s="381">
        <v>9257950.6699999999</v>
      </c>
      <c r="J51" s="381">
        <v>0</v>
      </c>
      <c r="K51" s="438" t="s">
        <v>363</v>
      </c>
      <c r="L51" s="438" t="s">
        <v>363</v>
      </c>
      <c r="M51" s="438" t="s">
        <v>363</v>
      </c>
    </row>
    <row r="52" spans="1:13" ht="15.75" x14ac:dyDescent="0.3">
      <c r="A52" t="s">
        <v>258</v>
      </c>
      <c r="B52" s="381" t="s">
        <v>363</v>
      </c>
      <c r="C52" s="381" t="s">
        <v>363</v>
      </c>
      <c r="D52" s="381" t="s">
        <v>363</v>
      </c>
      <c r="E52" s="381" t="s">
        <v>363</v>
      </c>
      <c r="F52" s="381">
        <v>7060200.1799999997</v>
      </c>
      <c r="G52" s="381" t="s">
        <v>363</v>
      </c>
      <c r="H52" s="381" t="s">
        <v>363</v>
      </c>
      <c r="I52" s="381" t="s">
        <v>363</v>
      </c>
      <c r="J52" s="381">
        <v>0</v>
      </c>
      <c r="K52" s="438" t="s">
        <v>363</v>
      </c>
      <c r="L52" s="438" t="s">
        <v>363</v>
      </c>
      <c r="M52" s="438">
        <v>588614.52</v>
      </c>
    </row>
    <row r="53" spans="1:13" s="466" customFormat="1" ht="15.75" x14ac:dyDescent="0.3">
      <c r="A53" s="465" t="s">
        <v>259</v>
      </c>
      <c r="B53" s="467">
        <v>53928011.200000003</v>
      </c>
      <c r="C53" s="467">
        <v>40514561.75</v>
      </c>
      <c r="D53" s="467">
        <v>2667120.7799999998</v>
      </c>
      <c r="E53" s="467">
        <v>1421278.49</v>
      </c>
      <c r="F53" s="467">
        <v>4119025.08</v>
      </c>
      <c r="G53" s="467">
        <v>37174556.090000004</v>
      </c>
      <c r="H53" s="467">
        <v>1974359.02</v>
      </c>
      <c r="I53" s="467">
        <v>169601362.61000001</v>
      </c>
      <c r="J53" s="467">
        <v>1543738.9200000002</v>
      </c>
      <c r="K53" s="467">
        <v>65702008.420000002</v>
      </c>
      <c r="L53" s="467" t="s">
        <v>363</v>
      </c>
      <c r="M53" s="467">
        <v>43531129.619999997</v>
      </c>
    </row>
    <row r="54" spans="1:13" ht="15.75" x14ac:dyDescent="0.3">
      <c r="A54" t="s">
        <v>260</v>
      </c>
      <c r="B54" s="381">
        <v>1482423.44</v>
      </c>
      <c r="C54" s="381">
        <v>7432317.4299999997</v>
      </c>
      <c r="D54" s="381">
        <v>1938739.92</v>
      </c>
      <c r="E54" s="381" t="s">
        <v>363</v>
      </c>
      <c r="F54" s="381" t="s">
        <v>363</v>
      </c>
      <c r="G54" s="381" t="s">
        <v>363</v>
      </c>
      <c r="H54" s="381" t="s">
        <v>363</v>
      </c>
      <c r="I54" s="381" t="s">
        <v>363</v>
      </c>
      <c r="J54" s="381">
        <v>0</v>
      </c>
      <c r="K54" s="438" t="s">
        <v>363</v>
      </c>
      <c r="L54" s="438" t="s">
        <v>363</v>
      </c>
      <c r="M54" s="438" t="s">
        <v>363</v>
      </c>
    </row>
    <row r="55" spans="1:13" ht="15.75" x14ac:dyDescent="0.3">
      <c r="A55" t="s">
        <v>261</v>
      </c>
      <c r="B55" s="381" t="s">
        <v>363</v>
      </c>
      <c r="C55" s="381">
        <v>3773411.72</v>
      </c>
      <c r="D55" s="381" t="s">
        <v>363</v>
      </c>
      <c r="E55" s="381" t="s">
        <v>363</v>
      </c>
      <c r="F55" s="381">
        <v>109900.23</v>
      </c>
      <c r="G55" s="381">
        <v>187100</v>
      </c>
      <c r="H55" s="381" t="s">
        <v>363</v>
      </c>
      <c r="I55" s="381" t="s">
        <v>363</v>
      </c>
      <c r="J55" s="381">
        <v>0</v>
      </c>
      <c r="K55" s="438">
        <v>38519608.049999997</v>
      </c>
      <c r="L55" s="438" t="s">
        <v>363</v>
      </c>
      <c r="M55" s="438">
        <v>98364.05</v>
      </c>
    </row>
    <row r="56" spans="1:13" ht="15.75" x14ac:dyDescent="0.3">
      <c r="A56" t="s">
        <v>262</v>
      </c>
      <c r="B56" s="381">
        <v>18729471.079999998</v>
      </c>
      <c r="C56" s="381" t="s">
        <v>363</v>
      </c>
      <c r="D56" s="381" t="s">
        <v>363</v>
      </c>
      <c r="E56" s="381" t="s">
        <v>363</v>
      </c>
      <c r="F56" s="381">
        <v>362368.94</v>
      </c>
      <c r="G56" s="381" t="s">
        <v>363</v>
      </c>
      <c r="H56" s="381" t="s">
        <v>363</v>
      </c>
      <c r="I56" s="381" t="s">
        <v>363</v>
      </c>
      <c r="J56" s="381">
        <v>0</v>
      </c>
      <c r="K56" s="438" t="s">
        <v>363</v>
      </c>
      <c r="L56" s="438" t="s">
        <v>363</v>
      </c>
      <c r="M56" s="438" t="s">
        <v>363</v>
      </c>
    </row>
    <row r="57" spans="1:13" ht="15.75" x14ac:dyDescent="0.3">
      <c r="A57" t="s">
        <v>263</v>
      </c>
      <c r="B57" s="381" t="s">
        <v>363</v>
      </c>
      <c r="C57" s="381" t="s">
        <v>363</v>
      </c>
      <c r="D57" s="381" t="s">
        <v>363</v>
      </c>
      <c r="E57" s="381" t="s">
        <v>363</v>
      </c>
      <c r="F57" s="381" t="s">
        <v>363</v>
      </c>
      <c r="G57" s="381" t="s">
        <v>363</v>
      </c>
      <c r="H57" s="381" t="s">
        <v>363</v>
      </c>
      <c r="I57" s="381" t="s">
        <v>363</v>
      </c>
      <c r="J57" s="381">
        <v>0</v>
      </c>
      <c r="K57" s="438" t="s">
        <v>363</v>
      </c>
      <c r="L57" s="438" t="s">
        <v>363</v>
      </c>
      <c r="M57" s="438" t="s">
        <v>363</v>
      </c>
    </row>
    <row r="58" spans="1:13" ht="15.75" x14ac:dyDescent="0.3">
      <c r="A58" t="s">
        <v>264</v>
      </c>
      <c r="B58" s="381" t="s">
        <v>363</v>
      </c>
      <c r="C58" s="381">
        <v>7315.35</v>
      </c>
      <c r="D58" s="381" t="s">
        <v>363</v>
      </c>
      <c r="E58" s="381">
        <v>264936.8</v>
      </c>
      <c r="F58" s="381" t="s">
        <v>363</v>
      </c>
      <c r="G58" s="381">
        <v>36130.69</v>
      </c>
      <c r="H58" s="381" t="s">
        <v>363</v>
      </c>
      <c r="I58" s="381">
        <v>2435844.7799999998</v>
      </c>
      <c r="J58" s="381">
        <v>0</v>
      </c>
      <c r="K58" s="438" t="s">
        <v>363</v>
      </c>
      <c r="L58" s="438" t="s">
        <v>363</v>
      </c>
      <c r="M58" s="438" t="s">
        <v>363</v>
      </c>
    </row>
    <row r="59" spans="1:13" ht="15.75" x14ac:dyDescent="0.3">
      <c r="A59" t="s">
        <v>265</v>
      </c>
      <c r="B59" s="381" t="s">
        <v>363</v>
      </c>
      <c r="C59" s="381" t="s">
        <v>363</v>
      </c>
      <c r="D59" s="381" t="s">
        <v>363</v>
      </c>
      <c r="E59" s="381" t="s">
        <v>363</v>
      </c>
      <c r="F59" s="381" t="s">
        <v>363</v>
      </c>
      <c r="G59" s="381" t="s">
        <v>363</v>
      </c>
      <c r="H59" s="381" t="s">
        <v>363</v>
      </c>
      <c r="I59" s="381" t="s">
        <v>363</v>
      </c>
      <c r="J59" s="381">
        <v>0</v>
      </c>
      <c r="K59" s="438" t="s">
        <v>363</v>
      </c>
      <c r="L59" s="438" t="s">
        <v>363</v>
      </c>
      <c r="M59" s="438" t="s">
        <v>363</v>
      </c>
    </row>
    <row r="60" spans="1:13" ht="15.75" x14ac:dyDescent="0.3">
      <c r="A60" t="s">
        <v>266</v>
      </c>
      <c r="B60" s="381">
        <v>21587.97</v>
      </c>
      <c r="C60" s="381">
        <v>1251785.6499999999</v>
      </c>
      <c r="D60" s="381" t="s">
        <v>363</v>
      </c>
      <c r="E60" s="381" t="s">
        <v>363</v>
      </c>
      <c r="F60" s="381">
        <v>16412</v>
      </c>
      <c r="G60" s="381">
        <v>536110.07999999996</v>
      </c>
      <c r="H60" s="381">
        <v>285944.48</v>
      </c>
      <c r="I60" s="381">
        <v>13745588.77</v>
      </c>
      <c r="J60" s="381">
        <v>0</v>
      </c>
      <c r="K60" s="438">
        <v>411628.16</v>
      </c>
      <c r="L60" s="438" t="s">
        <v>363</v>
      </c>
      <c r="M60" s="438">
        <v>455013.39</v>
      </c>
    </row>
    <row r="61" spans="1:13" ht="15.75" x14ac:dyDescent="0.3">
      <c r="A61" t="s">
        <v>267</v>
      </c>
      <c r="B61" s="381" t="s">
        <v>363</v>
      </c>
      <c r="C61" s="381">
        <v>9982548.6899999995</v>
      </c>
      <c r="D61" s="381" t="s">
        <v>363</v>
      </c>
      <c r="E61" s="381">
        <v>471809.54</v>
      </c>
      <c r="F61" s="381">
        <v>1500000</v>
      </c>
      <c r="G61" s="381">
        <v>5375052.1299999999</v>
      </c>
      <c r="H61" s="381" t="s">
        <v>363</v>
      </c>
      <c r="I61" s="381">
        <v>2397364.61</v>
      </c>
      <c r="J61" s="381">
        <v>1416267.35</v>
      </c>
      <c r="K61" s="438">
        <v>94314.559999999998</v>
      </c>
      <c r="L61" s="438" t="s">
        <v>363</v>
      </c>
      <c r="M61" s="438">
        <v>3023615.77</v>
      </c>
    </row>
    <row r="62" spans="1:13" ht="15.75" x14ac:dyDescent="0.3">
      <c r="A62" t="s">
        <v>268</v>
      </c>
      <c r="B62" s="381">
        <v>747750.68</v>
      </c>
      <c r="C62" s="381">
        <v>6759294.9900000002</v>
      </c>
      <c r="D62" s="381" t="s">
        <v>363</v>
      </c>
      <c r="E62" s="381">
        <v>178264.9</v>
      </c>
      <c r="F62" s="381">
        <v>434736.35</v>
      </c>
      <c r="G62" s="381">
        <v>13371197.16</v>
      </c>
      <c r="H62" s="381">
        <v>1176085.29</v>
      </c>
      <c r="I62" s="381">
        <v>16739729.699999999</v>
      </c>
      <c r="J62" s="381">
        <v>0</v>
      </c>
      <c r="K62" s="438">
        <v>61851.91</v>
      </c>
      <c r="L62" s="438" t="s">
        <v>363</v>
      </c>
      <c r="M62" s="438">
        <v>270459.18</v>
      </c>
    </row>
    <row r="63" spans="1:13" ht="15.75" x14ac:dyDescent="0.3">
      <c r="A63" t="s">
        <v>269</v>
      </c>
      <c r="B63" s="381" t="s">
        <v>363</v>
      </c>
      <c r="C63" s="381">
        <v>5450</v>
      </c>
      <c r="D63" s="381" t="s">
        <v>363</v>
      </c>
      <c r="E63" s="381" t="s">
        <v>363</v>
      </c>
      <c r="F63" s="381" t="s">
        <v>363</v>
      </c>
      <c r="G63" s="381" t="s">
        <v>363</v>
      </c>
      <c r="H63" s="381" t="s">
        <v>363</v>
      </c>
      <c r="I63" s="381" t="s">
        <v>363</v>
      </c>
      <c r="J63" s="381">
        <v>0</v>
      </c>
      <c r="K63" s="438" t="s">
        <v>363</v>
      </c>
      <c r="L63" s="438" t="s">
        <v>363</v>
      </c>
      <c r="M63" s="438" t="s">
        <v>363</v>
      </c>
    </row>
    <row r="64" spans="1:13" ht="15.75" x14ac:dyDescent="0.3">
      <c r="A64" t="s">
        <v>270</v>
      </c>
      <c r="B64" s="381" t="s">
        <v>363</v>
      </c>
      <c r="C64" s="381" t="s">
        <v>363</v>
      </c>
      <c r="D64" s="381" t="s">
        <v>363</v>
      </c>
      <c r="E64" s="381" t="s">
        <v>363</v>
      </c>
      <c r="F64" s="381" t="s">
        <v>363</v>
      </c>
      <c r="G64" s="381" t="s">
        <v>363</v>
      </c>
      <c r="H64" s="381" t="s">
        <v>363</v>
      </c>
      <c r="I64" s="381" t="s">
        <v>363</v>
      </c>
      <c r="J64" s="381">
        <v>0</v>
      </c>
      <c r="K64" s="438" t="s">
        <v>363</v>
      </c>
      <c r="L64" s="438" t="s">
        <v>363</v>
      </c>
      <c r="M64" s="438">
        <v>12206.14</v>
      </c>
    </row>
    <row r="65" spans="1:13" ht="15.75" x14ac:dyDescent="0.3">
      <c r="A65" t="s">
        <v>271</v>
      </c>
      <c r="B65" s="381" t="s">
        <v>363</v>
      </c>
      <c r="C65" s="381" t="s">
        <v>363</v>
      </c>
      <c r="D65" s="381" t="s">
        <v>363</v>
      </c>
      <c r="E65" s="381" t="s">
        <v>363</v>
      </c>
      <c r="F65" s="381" t="s">
        <v>363</v>
      </c>
      <c r="G65" s="381" t="s">
        <v>363</v>
      </c>
      <c r="H65" s="381" t="s">
        <v>363</v>
      </c>
      <c r="I65" s="381" t="s">
        <v>363</v>
      </c>
      <c r="J65" s="381">
        <v>0</v>
      </c>
      <c r="K65" s="438" t="s">
        <v>363</v>
      </c>
      <c r="L65" s="438" t="s">
        <v>363</v>
      </c>
      <c r="M65" s="438" t="s">
        <v>363</v>
      </c>
    </row>
    <row r="66" spans="1:13" ht="15.75" x14ac:dyDescent="0.3">
      <c r="A66" t="s">
        <v>272</v>
      </c>
      <c r="B66" s="381">
        <v>5434580.8399999999</v>
      </c>
      <c r="C66" s="381" t="s">
        <v>363</v>
      </c>
      <c r="D66" s="381" t="s">
        <v>363</v>
      </c>
      <c r="E66" s="381" t="s">
        <v>363</v>
      </c>
      <c r="F66" s="381" t="s">
        <v>363</v>
      </c>
      <c r="G66" s="381">
        <v>327009.61</v>
      </c>
      <c r="H66" s="381">
        <v>512329.25</v>
      </c>
      <c r="I66" s="381">
        <v>22420041.609999999</v>
      </c>
      <c r="J66" s="381">
        <v>0</v>
      </c>
      <c r="K66" s="438">
        <v>18145478.949999999</v>
      </c>
      <c r="L66" s="438" t="s">
        <v>363</v>
      </c>
      <c r="M66" s="438" t="s">
        <v>363</v>
      </c>
    </row>
    <row r="67" spans="1:13" ht="15.75" x14ac:dyDescent="0.3">
      <c r="A67" t="s">
        <v>273</v>
      </c>
      <c r="B67" s="381" t="s">
        <v>363</v>
      </c>
      <c r="C67" s="381" t="s">
        <v>363</v>
      </c>
      <c r="D67" s="381" t="s">
        <v>363</v>
      </c>
      <c r="E67" s="381" t="s">
        <v>363</v>
      </c>
      <c r="F67" s="381" t="s">
        <v>363</v>
      </c>
      <c r="G67" s="381" t="s">
        <v>363</v>
      </c>
      <c r="H67" s="381" t="s">
        <v>363</v>
      </c>
      <c r="I67" s="381" t="s">
        <v>363</v>
      </c>
      <c r="J67" s="381">
        <v>0</v>
      </c>
      <c r="K67" s="438" t="s">
        <v>363</v>
      </c>
      <c r="L67" s="438" t="s">
        <v>363</v>
      </c>
      <c r="M67" s="438" t="s">
        <v>363</v>
      </c>
    </row>
    <row r="68" spans="1:13" ht="15.75" x14ac:dyDescent="0.3">
      <c r="A68" t="s">
        <v>274</v>
      </c>
      <c r="B68" s="381">
        <v>4383781.13</v>
      </c>
      <c r="C68" s="381">
        <v>812915.28</v>
      </c>
      <c r="D68" s="381" t="s">
        <v>363</v>
      </c>
      <c r="E68" s="381">
        <v>486805.94</v>
      </c>
      <c r="F68" s="381">
        <v>56389.41</v>
      </c>
      <c r="G68" s="381">
        <v>2548528.08</v>
      </c>
      <c r="H68" s="381" t="s">
        <v>363</v>
      </c>
      <c r="I68" s="381">
        <v>2378482.7000000002</v>
      </c>
      <c r="J68" s="381">
        <v>22598.77</v>
      </c>
      <c r="K68" s="438">
        <v>905390.29</v>
      </c>
      <c r="L68" s="438" t="s">
        <v>363</v>
      </c>
      <c r="M68" s="438">
        <v>3204938.4</v>
      </c>
    </row>
    <row r="69" spans="1:13" ht="15.75" x14ac:dyDescent="0.3">
      <c r="A69" t="s">
        <v>275</v>
      </c>
      <c r="B69" s="381" t="s">
        <v>363</v>
      </c>
      <c r="C69" s="381" t="s">
        <v>363</v>
      </c>
      <c r="D69" s="381" t="s">
        <v>363</v>
      </c>
      <c r="E69" s="381" t="s">
        <v>363</v>
      </c>
      <c r="F69" s="381" t="s">
        <v>363</v>
      </c>
      <c r="G69" s="381" t="s">
        <v>363</v>
      </c>
      <c r="H69" s="381" t="s">
        <v>363</v>
      </c>
      <c r="I69" s="381" t="s">
        <v>363</v>
      </c>
      <c r="J69" s="381">
        <v>0</v>
      </c>
      <c r="K69" s="438" t="s">
        <v>363</v>
      </c>
      <c r="L69" s="438" t="s">
        <v>363</v>
      </c>
      <c r="M69" s="438">
        <v>6148456.5700000003</v>
      </c>
    </row>
    <row r="70" spans="1:13" ht="15.75" x14ac:dyDescent="0.3">
      <c r="A70" t="s">
        <v>276</v>
      </c>
      <c r="B70" s="381">
        <v>3552535.4</v>
      </c>
      <c r="C70" s="381" t="s">
        <v>363</v>
      </c>
      <c r="D70" s="381">
        <v>728380.86</v>
      </c>
      <c r="E70" s="381" t="s">
        <v>363</v>
      </c>
      <c r="F70" s="381" t="s">
        <v>363</v>
      </c>
      <c r="G70" s="381">
        <v>3798142.47</v>
      </c>
      <c r="H70" s="381" t="s">
        <v>363</v>
      </c>
      <c r="I70" s="381">
        <v>135000</v>
      </c>
      <c r="J70" s="381">
        <v>0</v>
      </c>
      <c r="K70" s="438">
        <v>42459.199999999997</v>
      </c>
      <c r="L70" s="438" t="s">
        <v>363</v>
      </c>
      <c r="M70" s="438">
        <v>2285272.34</v>
      </c>
    </row>
    <row r="71" spans="1:13" ht="15.75" x14ac:dyDescent="0.3">
      <c r="A71" t="s">
        <v>277</v>
      </c>
      <c r="B71" s="381" t="s">
        <v>363</v>
      </c>
      <c r="C71" s="381">
        <v>10626.96</v>
      </c>
      <c r="D71" s="381" t="s">
        <v>363</v>
      </c>
      <c r="E71" s="381" t="s">
        <v>363</v>
      </c>
      <c r="F71" s="381" t="s">
        <v>363</v>
      </c>
      <c r="G71" s="381" t="s">
        <v>363</v>
      </c>
      <c r="H71" s="381" t="s">
        <v>363</v>
      </c>
      <c r="I71" s="381" t="s">
        <v>363</v>
      </c>
      <c r="J71" s="381">
        <v>0</v>
      </c>
      <c r="K71" s="438" t="s">
        <v>363</v>
      </c>
      <c r="L71" s="438" t="s">
        <v>363</v>
      </c>
      <c r="M71" s="438" t="s">
        <v>363</v>
      </c>
    </row>
    <row r="72" spans="1:13" ht="15.75" x14ac:dyDescent="0.3">
      <c r="A72" t="s">
        <v>278</v>
      </c>
      <c r="B72" s="381" t="s">
        <v>363</v>
      </c>
      <c r="C72" s="381">
        <v>6014501.5300000003</v>
      </c>
      <c r="D72" s="381" t="s">
        <v>363</v>
      </c>
      <c r="E72" s="381" t="s">
        <v>363</v>
      </c>
      <c r="F72" s="381" t="s">
        <v>363</v>
      </c>
      <c r="G72" s="381">
        <v>2119660.08</v>
      </c>
      <c r="H72" s="381" t="s">
        <v>363</v>
      </c>
      <c r="I72" s="381">
        <v>91727915.780000001</v>
      </c>
      <c r="J72" s="381">
        <v>0</v>
      </c>
      <c r="K72" s="438" t="s">
        <v>363</v>
      </c>
      <c r="L72" s="438" t="s">
        <v>363</v>
      </c>
      <c r="M72" s="438">
        <v>22468290.649999999</v>
      </c>
    </row>
    <row r="73" spans="1:13" ht="15.75" x14ac:dyDescent="0.3">
      <c r="A73" t="s">
        <v>279</v>
      </c>
      <c r="B73" s="381" t="s">
        <v>363</v>
      </c>
      <c r="C73" s="381" t="s">
        <v>363</v>
      </c>
      <c r="D73" s="381" t="s">
        <v>363</v>
      </c>
      <c r="E73" s="381" t="s">
        <v>363</v>
      </c>
      <c r="F73" s="381" t="s">
        <v>363</v>
      </c>
      <c r="G73" s="381" t="s">
        <v>363</v>
      </c>
      <c r="H73" s="381" t="s">
        <v>363</v>
      </c>
      <c r="I73" s="381" t="s">
        <v>363</v>
      </c>
      <c r="J73" s="381">
        <v>0</v>
      </c>
      <c r="K73" s="438" t="s">
        <v>363</v>
      </c>
      <c r="L73" s="438" t="s">
        <v>363</v>
      </c>
      <c r="M73" s="438">
        <v>1494764.39</v>
      </c>
    </row>
    <row r="74" spans="1:13" ht="15.75" x14ac:dyDescent="0.3">
      <c r="A74" t="s">
        <v>280</v>
      </c>
      <c r="B74" s="381">
        <v>7713851.8200000003</v>
      </c>
      <c r="C74" s="381" t="s">
        <v>363</v>
      </c>
      <c r="D74" s="381" t="s">
        <v>363</v>
      </c>
      <c r="E74" s="381" t="s">
        <v>363</v>
      </c>
      <c r="F74" s="381" t="s">
        <v>363</v>
      </c>
      <c r="G74" s="381" t="s">
        <v>363</v>
      </c>
      <c r="H74" s="381" t="s">
        <v>363</v>
      </c>
      <c r="I74" s="381" t="s">
        <v>363</v>
      </c>
      <c r="J74" s="381">
        <v>0</v>
      </c>
      <c r="K74" s="438" t="s">
        <v>363</v>
      </c>
      <c r="L74" s="438" t="s">
        <v>363</v>
      </c>
      <c r="M74" s="438">
        <v>1614413.93</v>
      </c>
    </row>
    <row r="75" spans="1:13" ht="15.75" x14ac:dyDescent="0.3">
      <c r="A75" t="s">
        <v>281</v>
      </c>
      <c r="B75" s="381">
        <v>11862028.84</v>
      </c>
      <c r="C75" s="381">
        <v>4464394.1500000004</v>
      </c>
      <c r="D75" s="381" t="s">
        <v>363</v>
      </c>
      <c r="E75" s="381">
        <v>19461.310000000001</v>
      </c>
      <c r="F75" s="381">
        <v>1639218.15</v>
      </c>
      <c r="G75" s="381">
        <v>8875625.7899999991</v>
      </c>
      <c r="H75" s="381" t="s">
        <v>363</v>
      </c>
      <c r="I75" s="381">
        <v>17621394.66</v>
      </c>
      <c r="J75" s="381">
        <v>104872.8</v>
      </c>
      <c r="K75" s="438">
        <v>7521277.2999999998</v>
      </c>
      <c r="L75" s="438" t="s">
        <v>363</v>
      </c>
      <c r="M75" s="438">
        <v>2455334.81</v>
      </c>
    </row>
    <row r="76" spans="1:13" s="466" customFormat="1" ht="15.75" x14ac:dyDescent="0.3">
      <c r="A76" s="488" t="s">
        <v>282</v>
      </c>
      <c r="B76" s="467">
        <v>25169192.920000002</v>
      </c>
      <c r="C76" s="467">
        <v>285836778.58999997</v>
      </c>
      <c r="D76" s="467">
        <v>128562512.25</v>
      </c>
      <c r="E76" s="467">
        <v>28202925.239999998</v>
      </c>
      <c r="F76" s="467">
        <v>146723117.77000001</v>
      </c>
      <c r="G76" s="467">
        <v>240643290.68000001</v>
      </c>
      <c r="H76" s="467">
        <v>228249466.86000001</v>
      </c>
      <c r="I76" s="467">
        <v>311919891.06999999</v>
      </c>
      <c r="J76" s="467">
        <v>68584484</v>
      </c>
      <c r="K76" s="467">
        <v>338418635.61000001</v>
      </c>
      <c r="L76" s="467">
        <v>129062973.05</v>
      </c>
      <c r="M76" s="467">
        <v>79050756.659999996</v>
      </c>
    </row>
    <row r="77" spans="1:13" ht="15.75" x14ac:dyDescent="0.3">
      <c r="A77" t="s">
        <v>283</v>
      </c>
      <c r="B77" s="381" t="s">
        <v>363</v>
      </c>
      <c r="C77" s="381" t="s">
        <v>363</v>
      </c>
      <c r="D77" s="381" t="s">
        <v>363</v>
      </c>
      <c r="E77" s="381" t="s">
        <v>363</v>
      </c>
      <c r="F77" s="381" t="s">
        <v>363</v>
      </c>
      <c r="G77" s="381" t="s">
        <v>363</v>
      </c>
      <c r="H77" s="381">
        <v>8094000</v>
      </c>
      <c r="I77" s="381" t="s">
        <v>363</v>
      </c>
      <c r="J77" s="381">
        <v>0</v>
      </c>
      <c r="K77" s="438" t="s">
        <v>363</v>
      </c>
      <c r="L77" s="438" t="s">
        <v>363</v>
      </c>
      <c r="M77" s="438" t="s">
        <v>363</v>
      </c>
    </row>
    <row r="78" spans="1:13" ht="15.75" x14ac:dyDescent="0.3">
      <c r="A78" t="s">
        <v>284</v>
      </c>
      <c r="B78" s="381" t="s">
        <v>363</v>
      </c>
      <c r="C78" s="381" t="s">
        <v>363</v>
      </c>
      <c r="D78" s="381" t="s">
        <v>363</v>
      </c>
      <c r="E78" s="381" t="s">
        <v>363</v>
      </c>
      <c r="F78" s="381" t="s">
        <v>363</v>
      </c>
      <c r="G78" s="381" t="s">
        <v>363</v>
      </c>
      <c r="H78" s="381" t="s">
        <v>363</v>
      </c>
      <c r="I78" s="381" t="s">
        <v>363</v>
      </c>
      <c r="J78" s="381">
        <v>0</v>
      </c>
      <c r="K78" s="438" t="s">
        <v>363</v>
      </c>
      <c r="L78" s="438" t="s">
        <v>363</v>
      </c>
      <c r="M78" s="438" t="s">
        <v>363</v>
      </c>
    </row>
    <row r="79" spans="1:13" ht="15.75" x14ac:dyDescent="0.3">
      <c r="A79" t="s">
        <v>285</v>
      </c>
      <c r="B79" s="381">
        <v>25169192.920000002</v>
      </c>
      <c r="C79" s="381">
        <v>283230380.08999997</v>
      </c>
      <c r="D79" s="467">
        <v>128562512.25</v>
      </c>
      <c r="E79" s="381">
        <v>8241487.4900000002</v>
      </c>
      <c r="F79" s="381">
        <v>146723117.77000001</v>
      </c>
      <c r="G79" s="381">
        <v>124174346.05</v>
      </c>
      <c r="H79" s="381">
        <v>220155466.86000001</v>
      </c>
      <c r="I79" s="381">
        <v>288864992.04000002</v>
      </c>
      <c r="J79" s="381">
        <v>66059484</v>
      </c>
      <c r="K79" s="438">
        <v>322149345.43000001</v>
      </c>
      <c r="L79" s="438">
        <v>44052152.340000004</v>
      </c>
      <c r="M79" s="438">
        <v>72595096.739999995</v>
      </c>
    </row>
    <row r="80" spans="1:13" ht="15.75" x14ac:dyDescent="0.3">
      <c r="A80" t="s">
        <v>286</v>
      </c>
      <c r="B80" s="381" t="s">
        <v>363</v>
      </c>
      <c r="C80" s="381">
        <v>2606398.5</v>
      </c>
      <c r="D80" s="381" t="s">
        <v>363</v>
      </c>
      <c r="E80" s="381">
        <v>19961437.75</v>
      </c>
      <c r="F80" s="381" t="s">
        <v>363</v>
      </c>
      <c r="G80" s="381">
        <v>116468944.63</v>
      </c>
      <c r="H80" s="381" t="s">
        <v>363</v>
      </c>
      <c r="I80" s="381">
        <v>23054899.030000001</v>
      </c>
      <c r="J80" s="381">
        <v>2525000</v>
      </c>
      <c r="K80" s="438">
        <v>16269290.18</v>
      </c>
      <c r="L80" s="438">
        <v>85010820.709999993</v>
      </c>
      <c r="M80" s="438">
        <v>6455659.9199999999</v>
      </c>
    </row>
    <row r="81" spans="1:13" s="466" customFormat="1" ht="15.75" x14ac:dyDescent="0.3">
      <c r="A81" s="465" t="s">
        <v>287</v>
      </c>
      <c r="B81" s="467">
        <v>1272883280.77</v>
      </c>
      <c r="C81" s="467">
        <v>395053924.83999997</v>
      </c>
      <c r="D81" s="467">
        <v>55246834.890000001</v>
      </c>
      <c r="E81" s="467">
        <v>108986193.98999999</v>
      </c>
      <c r="F81" s="467">
        <v>143077746.27000001</v>
      </c>
      <c r="G81" s="467">
        <v>297199778.12</v>
      </c>
      <c r="H81" s="467">
        <v>38415422.5</v>
      </c>
      <c r="I81" s="467">
        <v>476970692.05000001</v>
      </c>
      <c r="J81" s="467">
        <v>69166853.550000012</v>
      </c>
      <c r="K81" s="467">
        <v>297809540.87</v>
      </c>
      <c r="L81" s="467" t="s">
        <v>363</v>
      </c>
      <c r="M81" s="467">
        <v>413835246.66000003</v>
      </c>
    </row>
    <row r="82" spans="1:13" ht="15.75" x14ac:dyDescent="0.3">
      <c r="A82" t="s">
        <v>288</v>
      </c>
      <c r="B82" s="381">
        <v>1241944859.21</v>
      </c>
      <c r="C82" s="381">
        <v>56292692.780000001</v>
      </c>
      <c r="D82" s="381">
        <v>2198505.1800000002</v>
      </c>
      <c r="E82" s="381">
        <v>12979743.84</v>
      </c>
      <c r="F82" s="381">
        <v>9067023.6899999995</v>
      </c>
      <c r="G82" s="381">
        <v>6765720.4800000004</v>
      </c>
      <c r="H82" s="381">
        <v>7129036.2199999997</v>
      </c>
      <c r="I82" s="381">
        <v>146975052.19999999</v>
      </c>
      <c r="J82" s="381">
        <v>1914249.29</v>
      </c>
      <c r="K82" s="438">
        <v>36105767.009999998</v>
      </c>
      <c r="L82" s="438" t="s">
        <v>363</v>
      </c>
      <c r="M82" s="438">
        <v>176412233.15000001</v>
      </c>
    </row>
    <row r="83" spans="1:13" ht="15.75" x14ac:dyDescent="0.3">
      <c r="A83" t="s">
        <v>289</v>
      </c>
      <c r="B83" s="381">
        <v>30938421.559999999</v>
      </c>
      <c r="C83" s="381">
        <v>338761232.06</v>
      </c>
      <c r="D83" s="381">
        <v>53048329.710000001</v>
      </c>
      <c r="E83" s="381">
        <v>96006450.150000006</v>
      </c>
      <c r="F83" s="381">
        <v>134010722.58</v>
      </c>
      <c r="G83" s="381">
        <v>290434057.63999999</v>
      </c>
      <c r="H83" s="381">
        <v>31286386.280000001</v>
      </c>
      <c r="I83" s="381">
        <v>329995639.85000002</v>
      </c>
      <c r="J83" s="381">
        <v>67252604.260000005</v>
      </c>
      <c r="K83" s="438">
        <v>261703773.86000001</v>
      </c>
      <c r="L83" s="438" t="s">
        <v>363</v>
      </c>
      <c r="M83" s="438">
        <v>237423013.50999999</v>
      </c>
    </row>
    <row r="84" spans="1:13" s="452" customFormat="1" ht="15.75" x14ac:dyDescent="0.3">
      <c r="A84" s="454" t="s">
        <v>290</v>
      </c>
      <c r="B84" s="452">
        <v>1431344421.3299999</v>
      </c>
      <c r="C84" s="452">
        <v>1105757292.79</v>
      </c>
      <c r="D84" s="452">
        <v>254813716.63</v>
      </c>
      <c r="E84" s="452">
        <v>237851342.36000001</v>
      </c>
      <c r="F84" s="452">
        <v>669869508.08000004</v>
      </c>
      <c r="G84" s="452">
        <v>663218880.47000003</v>
      </c>
      <c r="H84" s="452">
        <v>317645894.81</v>
      </c>
      <c r="I84" s="452">
        <v>1723996913.4200001</v>
      </c>
      <c r="J84" s="452">
        <v>144683285.11000001</v>
      </c>
      <c r="K84" s="452">
        <v>1057163714.4299999</v>
      </c>
      <c r="L84" s="452">
        <v>583632995.32000005</v>
      </c>
      <c r="M84" s="452">
        <v>617925100.49000001</v>
      </c>
    </row>
    <row r="85" spans="1:13" x14ac:dyDescent="0.25">
      <c r="B85" s="381" t="s">
        <v>363</v>
      </c>
      <c r="C85" s="381" t="s">
        <v>363</v>
      </c>
      <c r="D85" s="380" t="s">
        <v>363</v>
      </c>
      <c r="E85" s="381" t="s">
        <v>363</v>
      </c>
      <c r="F85" s="381">
        <v>188546.49</v>
      </c>
      <c r="G85" s="381" t="s">
        <v>363</v>
      </c>
      <c r="H85" s="438" t="s">
        <v>363</v>
      </c>
      <c r="I85" s="381" t="s">
        <v>363</v>
      </c>
      <c r="K85" s="380" t="s">
        <v>363</v>
      </c>
      <c r="L85" s="381" t="s">
        <v>363</v>
      </c>
      <c r="M85" s="380" t="s">
        <v>363</v>
      </c>
    </row>
    <row r="86" spans="1:13" x14ac:dyDescent="0.25">
      <c r="B86" s="381" t="s">
        <v>363</v>
      </c>
      <c r="C86" s="381" t="s">
        <v>363</v>
      </c>
      <c r="D86" s="380" t="s">
        <v>363</v>
      </c>
      <c r="E86" s="381" t="s">
        <v>363</v>
      </c>
      <c r="F86" s="381">
        <v>99</v>
      </c>
      <c r="G86" s="381" t="s">
        <v>363</v>
      </c>
      <c r="H86" s="438" t="s">
        <v>363</v>
      </c>
      <c r="I86" s="381" t="s">
        <v>363</v>
      </c>
      <c r="K86" s="380" t="s">
        <v>363</v>
      </c>
      <c r="L86" s="381" t="s">
        <v>363</v>
      </c>
      <c r="M86" s="380" t="s">
        <v>363</v>
      </c>
    </row>
    <row r="87" spans="1:13" x14ac:dyDescent="0.25">
      <c r="B87" s="381" t="s">
        <v>363</v>
      </c>
      <c r="C87" s="381" t="s">
        <v>363</v>
      </c>
      <c r="D87" s="380" t="s">
        <v>363</v>
      </c>
      <c r="E87" s="381" t="s">
        <v>363</v>
      </c>
      <c r="F87" s="381">
        <v>12898</v>
      </c>
      <c r="G87" s="381">
        <v>11923</v>
      </c>
      <c r="H87" s="438" t="s">
        <v>363</v>
      </c>
      <c r="I87" s="381" t="s">
        <v>363</v>
      </c>
      <c r="K87" s="380" t="s">
        <v>363</v>
      </c>
      <c r="L87" s="381" t="s">
        <v>363</v>
      </c>
      <c r="M87" s="380" t="s">
        <v>363</v>
      </c>
    </row>
    <row r="88" spans="1:13" x14ac:dyDescent="0.25">
      <c r="B88" s="381" t="s">
        <v>363</v>
      </c>
      <c r="C88" s="381" t="s">
        <v>363</v>
      </c>
      <c r="D88" s="380" t="s">
        <v>363</v>
      </c>
      <c r="E88" s="381" t="s">
        <v>363</v>
      </c>
      <c r="F88" s="381">
        <v>1904.51</v>
      </c>
      <c r="G88" s="381" t="s">
        <v>363</v>
      </c>
      <c r="H88" s="438" t="s">
        <v>363</v>
      </c>
      <c r="I88" s="381" t="s">
        <v>363</v>
      </c>
      <c r="K88" s="380" t="s">
        <v>363</v>
      </c>
      <c r="L88" s="381" t="s">
        <v>363</v>
      </c>
      <c r="M88" s="380" t="s">
        <v>363</v>
      </c>
    </row>
    <row r="89" spans="1:13" x14ac:dyDescent="0.25">
      <c r="B89" s="381" t="s">
        <v>363</v>
      </c>
      <c r="C89" s="381" t="s">
        <v>363</v>
      </c>
      <c r="D89" s="380" t="s">
        <v>363</v>
      </c>
      <c r="E89" s="381" t="s">
        <v>363</v>
      </c>
      <c r="F89" s="381">
        <v>5.2431328802773002E-4</v>
      </c>
      <c r="G89" s="381" t="s">
        <v>363</v>
      </c>
      <c r="H89" s="438" t="s">
        <v>363</v>
      </c>
      <c r="I89" s="381" t="s">
        <v>363</v>
      </c>
      <c r="K89" s="380" t="s">
        <v>363</v>
      </c>
      <c r="L89" s="381" t="s">
        <v>363</v>
      </c>
      <c r="M89" s="380" t="s">
        <v>363</v>
      </c>
    </row>
    <row r="90" spans="1:13" x14ac:dyDescent="0.25">
      <c r="B90" s="381" t="s">
        <v>363</v>
      </c>
      <c r="C90" s="381" t="s">
        <v>363</v>
      </c>
      <c r="D90" s="380" t="s">
        <v>363</v>
      </c>
      <c r="E90" s="381" t="s">
        <v>363</v>
      </c>
      <c r="F90" s="381">
        <v>174999.98</v>
      </c>
      <c r="G90" s="381" t="s">
        <v>363</v>
      </c>
      <c r="H90" s="438" t="s">
        <v>363</v>
      </c>
      <c r="I90" s="381" t="s">
        <v>363</v>
      </c>
      <c r="K90" s="380" t="s">
        <v>363</v>
      </c>
      <c r="L90" s="381" t="s">
        <v>363</v>
      </c>
      <c r="M90" s="380" t="s">
        <v>363</v>
      </c>
    </row>
    <row r="91" spans="1:13" x14ac:dyDescent="0.25">
      <c r="B91" s="381" t="s">
        <v>363</v>
      </c>
      <c r="C91" s="381" t="s">
        <v>363</v>
      </c>
      <c r="D91" s="380" t="s">
        <v>363</v>
      </c>
      <c r="E91" s="381" t="s">
        <v>363</v>
      </c>
      <c r="F91" s="381">
        <v>1</v>
      </c>
      <c r="G91" s="381" t="s">
        <v>363</v>
      </c>
      <c r="H91" s="438" t="s">
        <v>363</v>
      </c>
      <c r="I91" s="381" t="s">
        <v>363</v>
      </c>
      <c r="K91" s="380" t="s">
        <v>363</v>
      </c>
      <c r="L91" s="381" t="s">
        <v>363</v>
      </c>
      <c r="M91" s="380" t="s">
        <v>363</v>
      </c>
    </row>
    <row r="92" spans="1:13" x14ac:dyDescent="0.25">
      <c r="B92" s="381" t="s">
        <v>363</v>
      </c>
      <c r="C92" s="381" t="s">
        <v>363</v>
      </c>
      <c r="D92" s="380" t="s">
        <v>363</v>
      </c>
      <c r="E92" s="381" t="s">
        <v>363</v>
      </c>
      <c r="F92" s="381">
        <v>63496</v>
      </c>
      <c r="G92" s="381">
        <v>294450</v>
      </c>
      <c r="H92" s="438" t="s">
        <v>363</v>
      </c>
      <c r="I92" s="381" t="s">
        <v>363</v>
      </c>
      <c r="K92" s="380" t="s">
        <v>363</v>
      </c>
      <c r="L92" s="381" t="s">
        <v>363</v>
      </c>
      <c r="M92" s="380" t="s">
        <v>363</v>
      </c>
    </row>
    <row r="93" spans="1:13" x14ac:dyDescent="0.25">
      <c r="B93" s="381" t="s">
        <v>363</v>
      </c>
      <c r="C93" s="381" t="s">
        <v>363</v>
      </c>
      <c r="D93" s="380" t="s">
        <v>363</v>
      </c>
      <c r="E93" s="381" t="s">
        <v>363</v>
      </c>
      <c r="F93" s="381">
        <v>174999.98</v>
      </c>
      <c r="G93" s="381" t="s">
        <v>363</v>
      </c>
      <c r="H93" s="438" t="s">
        <v>363</v>
      </c>
      <c r="I93" s="381" t="s">
        <v>363</v>
      </c>
      <c r="K93" s="380" t="s">
        <v>363</v>
      </c>
      <c r="L93" s="381" t="s">
        <v>363</v>
      </c>
      <c r="M93" s="380" t="s">
        <v>363</v>
      </c>
    </row>
    <row r="94" spans="1:13" x14ac:dyDescent="0.25">
      <c r="B94" s="381" t="s">
        <v>363</v>
      </c>
      <c r="C94" s="381" t="s">
        <v>363</v>
      </c>
      <c r="D94" s="380" t="s">
        <v>363</v>
      </c>
      <c r="E94" s="381" t="s">
        <v>363</v>
      </c>
      <c r="F94" s="381">
        <v>1.1927226101773999E-3</v>
      </c>
      <c r="G94" s="381" t="s">
        <v>363</v>
      </c>
      <c r="H94" s="438" t="s">
        <v>363</v>
      </c>
      <c r="I94" s="381" t="s">
        <v>363</v>
      </c>
      <c r="K94" s="380" t="s">
        <v>363</v>
      </c>
      <c r="L94" s="381" t="s">
        <v>363</v>
      </c>
      <c r="M94" s="380" t="s">
        <v>363</v>
      </c>
    </row>
    <row r="95" spans="1:13" x14ac:dyDescent="0.25">
      <c r="B95" s="381" t="s">
        <v>363</v>
      </c>
      <c r="C95" s="381" t="s">
        <v>363</v>
      </c>
      <c r="D95" s="380" t="s">
        <v>363</v>
      </c>
      <c r="E95" s="381" t="s">
        <v>363</v>
      </c>
      <c r="F95" s="381">
        <v>2548314.98</v>
      </c>
      <c r="G95" s="381" t="s">
        <v>363</v>
      </c>
      <c r="H95" s="438" t="s">
        <v>363</v>
      </c>
      <c r="I95" s="381" t="s">
        <v>363</v>
      </c>
      <c r="K95" s="380" t="s">
        <v>363</v>
      </c>
      <c r="L95" s="381" t="s">
        <v>363</v>
      </c>
      <c r="M95" s="380" t="s">
        <v>363</v>
      </c>
    </row>
    <row r="96" spans="1:13" x14ac:dyDescent="0.25">
      <c r="B96" s="381" t="s">
        <v>363</v>
      </c>
      <c r="C96" s="381" t="s">
        <v>363</v>
      </c>
      <c r="D96" s="380" t="s">
        <v>363</v>
      </c>
      <c r="E96" s="381" t="s">
        <v>363</v>
      </c>
      <c r="F96" s="381" t="s">
        <v>363</v>
      </c>
      <c r="G96" s="381" t="s">
        <v>363</v>
      </c>
      <c r="H96" s="438" t="s">
        <v>363</v>
      </c>
      <c r="I96" s="381" t="s">
        <v>363</v>
      </c>
      <c r="K96" s="380" t="s">
        <v>363</v>
      </c>
      <c r="L96" s="381" t="s">
        <v>363</v>
      </c>
      <c r="M96" s="380" t="s">
        <v>363</v>
      </c>
    </row>
    <row r="97" spans="2:13" x14ac:dyDescent="0.25">
      <c r="B97" s="381" t="s">
        <v>363</v>
      </c>
      <c r="C97" s="381" t="s">
        <v>363</v>
      </c>
      <c r="D97" s="380" t="s">
        <v>363</v>
      </c>
      <c r="E97" s="381" t="s">
        <v>363</v>
      </c>
      <c r="F97" s="381" t="s">
        <v>363</v>
      </c>
      <c r="G97" s="381" t="s">
        <v>363</v>
      </c>
      <c r="H97" s="380" t="s">
        <v>363</v>
      </c>
      <c r="I97" s="381" t="s">
        <v>363</v>
      </c>
      <c r="K97" s="380" t="s">
        <v>363</v>
      </c>
      <c r="L97" s="381" t="s">
        <v>363</v>
      </c>
      <c r="M97" s="380" t="s">
        <v>363</v>
      </c>
    </row>
    <row r="98" spans="2:13" x14ac:dyDescent="0.25">
      <c r="B98" s="381" t="s">
        <v>363</v>
      </c>
      <c r="C98" s="381" t="s">
        <v>363</v>
      </c>
      <c r="D98" s="380" t="s">
        <v>363</v>
      </c>
      <c r="E98" s="381" t="s">
        <v>363</v>
      </c>
      <c r="F98" s="381">
        <v>192</v>
      </c>
      <c r="G98" s="381">
        <v>156890</v>
      </c>
      <c r="H98" s="380" t="s">
        <v>363</v>
      </c>
      <c r="I98" s="381" t="s">
        <v>363</v>
      </c>
      <c r="K98" s="380" t="s">
        <v>363</v>
      </c>
      <c r="L98" s="381" t="s">
        <v>363</v>
      </c>
      <c r="M98" s="380" t="s">
        <v>363</v>
      </c>
    </row>
    <row r="99" spans="2:13" x14ac:dyDescent="0.25">
      <c r="B99" s="381" t="s">
        <v>363</v>
      </c>
      <c r="C99" s="381" t="s">
        <v>363</v>
      </c>
      <c r="D99" s="380" t="s">
        <v>363</v>
      </c>
      <c r="E99" s="381" t="s">
        <v>363</v>
      </c>
      <c r="F99" s="381" t="s">
        <v>363</v>
      </c>
      <c r="G99" s="381" t="s">
        <v>363</v>
      </c>
      <c r="H99" s="380" t="s">
        <v>363</v>
      </c>
      <c r="I99" s="381" t="s">
        <v>363</v>
      </c>
      <c r="K99" s="380" t="s">
        <v>363</v>
      </c>
      <c r="L99" s="381" t="s">
        <v>363</v>
      </c>
      <c r="M99" s="380" t="s">
        <v>363</v>
      </c>
    </row>
    <row r="100" spans="2:13" x14ac:dyDescent="0.25">
      <c r="B100" s="381" t="s">
        <v>363</v>
      </c>
      <c r="C100" s="381" t="s">
        <v>363</v>
      </c>
      <c r="D100" s="380" t="s">
        <v>363</v>
      </c>
      <c r="E100" s="381" t="s">
        <v>363</v>
      </c>
      <c r="F100" s="381" t="s">
        <v>363</v>
      </c>
      <c r="G100" s="381" t="s">
        <v>363</v>
      </c>
      <c r="H100" s="380" t="s">
        <v>363</v>
      </c>
      <c r="I100" s="381" t="s">
        <v>363</v>
      </c>
      <c r="K100" s="380" t="s">
        <v>363</v>
      </c>
      <c r="L100" s="381" t="s">
        <v>363</v>
      </c>
      <c r="M100" s="380" t="s">
        <v>363</v>
      </c>
    </row>
    <row r="101" spans="2:13" x14ac:dyDescent="0.25">
      <c r="B101" s="381" t="s">
        <v>363</v>
      </c>
      <c r="C101" s="381" t="s">
        <v>363</v>
      </c>
      <c r="D101" s="380" t="s">
        <v>363</v>
      </c>
      <c r="E101" s="381" t="s">
        <v>363</v>
      </c>
      <c r="F101" s="381">
        <v>2911861.45</v>
      </c>
      <c r="G101" s="381" t="s">
        <v>363</v>
      </c>
      <c r="H101" s="380" t="s">
        <v>363</v>
      </c>
      <c r="I101" s="381" t="s">
        <v>363</v>
      </c>
      <c r="K101" s="380" t="s">
        <v>363</v>
      </c>
      <c r="L101" s="381" t="s">
        <v>363</v>
      </c>
      <c r="M101" s="380" t="s">
        <v>363</v>
      </c>
    </row>
    <row r="102" spans="2:13" x14ac:dyDescent="0.25">
      <c r="B102" s="381" t="s">
        <v>363</v>
      </c>
      <c r="C102" s="381" t="s">
        <v>363</v>
      </c>
      <c r="D102" s="380" t="s">
        <v>363</v>
      </c>
      <c r="E102" s="381" t="s">
        <v>363</v>
      </c>
      <c r="F102" s="381">
        <v>100</v>
      </c>
      <c r="G102" s="381" t="s">
        <v>363</v>
      </c>
      <c r="H102" s="380" t="s">
        <v>363</v>
      </c>
      <c r="I102" s="381" t="s">
        <v>363</v>
      </c>
      <c r="K102" s="380" t="s">
        <v>363</v>
      </c>
      <c r="L102" s="381" t="s">
        <v>363</v>
      </c>
      <c r="M102" s="380" t="s">
        <v>363</v>
      </c>
    </row>
    <row r="103" spans="2:13" x14ac:dyDescent="0.25">
      <c r="B103" s="381" t="s">
        <v>363</v>
      </c>
      <c r="C103" s="381" t="s">
        <v>363</v>
      </c>
      <c r="D103" s="380" t="s">
        <v>363</v>
      </c>
      <c r="E103" s="381" t="s">
        <v>363</v>
      </c>
      <c r="F103" s="381">
        <v>29118.6145</v>
      </c>
      <c r="G103" s="381" t="s">
        <v>363</v>
      </c>
      <c r="H103" s="380" t="s">
        <v>363</v>
      </c>
      <c r="I103" s="381" t="s">
        <v>363</v>
      </c>
      <c r="K103" s="380" t="s">
        <v>363</v>
      </c>
      <c r="L103" s="381" t="s">
        <v>363</v>
      </c>
      <c r="M103" s="380" t="s">
        <v>363</v>
      </c>
    </row>
    <row r="104" spans="2:13" x14ac:dyDescent="0.25">
      <c r="B104" s="381" t="s">
        <v>363</v>
      </c>
      <c r="C104" s="381" t="s">
        <v>363</v>
      </c>
      <c r="D104" s="380" t="s">
        <v>363</v>
      </c>
      <c r="E104" s="381" t="s">
        <v>363</v>
      </c>
      <c r="F104" s="381">
        <v>4.3469084872157998E-3</v>
      </c>
      <c r="G104" s="381" t="s">
        <v>363</v>
      </c>
      <c r="H104" s="380" t="s">
        <v>363</v>
      </c>
      <c r="I104" s="381" t="s">
        <v>363</v>
      </c>
      <c r="K104" s="380" t="s">
        <v>363</v>
      </c>
      <c r="L104" s="381" t="s">
        <v>363</v>
      </c>
      <c r="M104" s="380" t="s">
        <v>363</v>
      </c>
    </row>
    <row r="105" spans="2:13" x14ac:dyDescent="0.25">
      <c r="B105" s="381" t="s">
        <v>363</v>
      </c>
      <c r="C105" s="381" t="s">
        <v>363</v>
      </c>
      <c r="D105" s="380" t="s">
        <v>363</v>
      </c>
      <c r="E105" s="381" t="s">
        <v>363</v>
      </c>
      <c r="F105" s="381" t="s">
        <v>363</v>
      </c>
      <c r="G105" s="381" t="s">
        <v>363</v>
      </c>
      <c r="H105" s="380" t="s">
        <v>363</v>
      </c>
      <c r="I105" s="381" t="s">
        <v>363</v>
      </c>
      <c r="K105" s="380" t="s">
        <v>363</v>
      </c>
      <c r="L105" s="381" t="s">
        <v>363</v>
      </c>
      <c r="M105" s="380" t="s">
        <v>363</v>
      </c>
    </row>
    <row r="106" spans="2:13" x14ac:dyDescent="0.25">
      <c r="B106" s="381" t="s">
        <v>363</v>
      </c>
      <c r="C106" s="381" t="s">
        <v>363</v>
      </c>
      <c r="D106" s="380" t="s">
        <v>363</v>
      </c>
      <c r="E106" s="381" t="s">
        <v>363</v>
      </c>
      <c r="F106" s="381" t="s">
        <v>363</v>
      </c>
      <c r="G106" s="381" t="s">
        <v>363</v>
      </c>
      <c r="H106" s="380" t="s">
        <v>363</v>
      </c>
      <c r="I106" s="381" t="s">
        <v>363</v>
      </c>
      <c r="K106" s="380" t="s">
        <v>363</v>
      </c>
      <c r="L106" s="381" t="s">
        <v>363</v>
      </c>
      <c r="M106" s="380" t="s">
        <v>363</v>
      </c>
    </row>
    <row r="107" spans="2:13" x14ac:dyDescent="0.25">
      <c r="B107" s="381" t="s">
        <v>363</v>
      </c>
      <c r="C107" s="381" t="s">
        <v>363</v>
      </c>
      <c r="D107" s="380" t="s">
        <v>363</v>
      </c>
      <c r="E107" s="381" t="s">
        <v>363</v>
      </c>
      <c r="F107" s="381" t="s">
        <v>363</v>
      </c>
      <c r="G107" s="381" t="s">
        <v>363</v>
      </c>
      <c r="H107" s="380" t="s">
        <v>363</v>
      </c>
      <c r="I107" s="381" t="s">
        <v>363</v>
      </c>
      <c r="K107" s="380" t="s">
        <v>363</v>
      </c>
      <c r="L107" s="381" t="s">
        <v>363</v>
      </c>
      <c r="M107" s="380" t="s">
        <v>363</v>
      </c>
    </row>
    <row r="108" spans="2:13" x14ac:dyDescent="0.25">
      <c r="B108" s="381" t="s">
        <v>363</v>
      </c>
      <c r="C108" s="381" t="s">
        <v>363</v>
      </c>
      <c r="D108" s="380" t="s">
        <v>363</v>
      </c>
      <c r="E108" s="381" t="s">
        <v>363</v>
      </c>
      <c r="F108" s="381" t="s">
        <v>363</v>
      </c>
      <c r="G108" s="381" t="s">
        <v>363</v>
      </c>
      <c r="H108" s="380" t="s">
        <v>363</v>
      </c>
      <c r="I108" s="381" t="s">
        <v>363</v>
      </c>
      <c r="K108" s="380" t="s">
        <v>363</v>
      </c>
      <c r="L108" s="381" t="s">
        <v>363</v>
      </c>
      <c r="M108" s="380" t="s">
        <v>363</v>
      </c>
    </row>
    <row r="109" spans="2:13" x14ac:dyDescent="0.25">
      <c r="B109" s="381" t="s">
        <v>363</v>
      </c>
      <c r="C109" s="381" t="s">
        <v>363</v>
      </c>
      <c r="D109" s="380" t="s">
        <v>363</v>
      </c>
      <c r="E109" s="381" t="s">
        <v>363</v>
      </c>
      <c r="F109" s="381" t="s">
        <v>363</v>
      </c>
      <c r="G109" s="381" t="s">
        <v>363</v>
      </c>
      <c r="H109" s="380" t="s">
        <v>363</v>
      </c>
      <c r="I109" s="381" t="s">
        <v>363</v>
      </c>
      <c r="K109" s="380" t="s">
        <v>363</v>
      </c>
      <c r="L109" s="381" t="s">
        <v>363</v>
      </c>
      <c r="M109" s="380" t="s">
        <v>363</v>
      </c>
    </row>
    <row r="110" spans="2:13" x14ac:dyDescent="0.25">
      <c r="B110" s="381" t="s">
        <v>363</v>
      </c>
      <c r="C110" s="381" t="s">
        <v>363</v>
      </c>
      <c r="D110" s="380" t="s">
        <v>363</v>
      </c>
      <c r="E110" s="381" t="s">
        <v>363</v>
      </c>
      <c r="F110" s="381" t="s">
        <v>363</v>
      </c>
      <c r="G110" s="381" t="s">
        <v>363</v>
      </c>
      <c r="H110" s="380" t="s">
        <v>363</v>
      </c>
      <c r="I110" s="381" t="s">
        <v>363</v>
      </c>
      <c r="K110" s="380" t="s">
        <v>363</v>
      </c>
      <c r="L110" s="381" t="s">
        <v>363</v>
      </c>
      <c r="M110" s="380" t="s">
        <v>363</v>
      </c>
    </row>
    <row r="111" spans="2:13" x14ac:dyDescent="0.25">
      <c r="B111" s="381" t="s">
        <v>363</v>
      </c>
      <c r="C111" s="381" t="s">
        <v>363</v>
      </c>
      <c r="D111" s="380" t="s">
        <v>363</v>
      </c>
      <c r="E111" s="381" t="s">
        <v>363</v>
      </c>
      <c r="F111" s="381" t="s">
        <v>363</v>
      </c>
      <c r="G111" s="381" t="s">
        <v>363</v>
      </c>
      <c r="H111" s="380" t="s">
        <v>363</v>
      </c>
      <c r="I111" s="381" t="s">
        <v>363</v>
      </c>
      <c r="K111" s="380" t="s">
        <v>363</v>
      </c>
      <c r="L111" s="381" t="s">
        <v>363</v>
      </c>
      <c r="M111" s="380" t="s">
        <v>363</v>
      </c>
    </row>
    <row r="112" spans="2:13" x14ac:dyDescent="0.25">
      <c r="B112" s="381" t="s">
        <v>363</v>
      </c>
      <c r="C112" s="381" t="s">
        <v>363</v>
      </c>
      <c r="D112" s="380" t="s">
        <v>363</v>
      </c>
      <c r="E112" s="381" t="s">
        <v>363</v>
      </c>
      <c r="F112" s="381" t="s">
        <v>363</v>
      </c>
      <c r="G112" s="381" t="s">
        <v>363</v>
      </c>
      <c r="H112" s="380" t="s">
        <v>363</v>
      </c>
      <c r="I112" s="381" t="s">
        <v>363</v>
      </c>
      <c r="K112" s="380" t="s">
        <v>363</v>
      </c>
      <c r="L112" s="381" t="s">
        <v>363</v>
      </c>
      <c r="M112" s="380" t="s">
        <v>363</v>
      </c>
    </row>
    <row r="113" spans="2:13" x14ac:dyDescent="0.25">
      <c r="B113" s="381" t="s">
        <v>363</v>
      </c>
      <c r="C113" s="381" t="s">
        <v>363</v>
      </c>
      <c r="D113" s="380" t="s">
        <v>363</v>
      </c>
      <c r="E113" s="381" t="s">
        <v>363</v>
      </c>
      <c r="F113" s="381" t="s">
        <v>363</v>
      </c>
      <c r="G113" s="381" t="s">
        <v>363</v>
      </c>
      <c r="H113" s="380" t="s">
        <v>363</v>
      </c>
      <c r="I113" s="381" t="s">
        <v>363</v>
      </c>
      <c r="K113" s="380" t="s">
        <v>363</v>
      </c>
      <c r="L113" s="381" t="s">
        <v>363</v>
      </c>
      <c r="M113" s="380" t="s">
        <v>363</v>
      </c>
    </row>
    <row r="114" spans="2:13" x14ac:dyDescent="0.25">
      <c r="B114" s="381" t="s">
        <v>363</v>
      </c>
      <c r="C114" s="381" t="s">
        <v>363</v>
      </c>
      <c r="D114" s="380" t="s">
        <v>363</v>
      </c>
      <c r="E114" s="381" t="s">
        <v>363</v>
      </c>
      <c r="F114" s="381" t="s">
        <v>363</v>
      </c>
      <c r="G114" s="381" t="s">
        <v>363</v>
      </c>
      <c r="H114" s="380" t="s">
        <v>363</v>
      </c>
      <c r="I114" s="381" t="s">
        <v>363</v>
      </c>
      <c r="K114" s="380" t="s">
        <v>363</v>
      </c>
      <c r="L114" s="381" t="s">
        <v>363</v>
      </c>
      <c r="M114" s="380" t="s">
        <v>363</v>
      </c>
    </row>
  </sheetData>
  <pageMargins left="0.7" right="0.7" top="0.75" bottom="0.75" header="0.3" footer="0.3"/>
  <pageSetup orientation="portrait" horizontalDpi="90" verticalDpi="9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26">
    <tabColor rgb="FFFFC000"/>
  </sheetPr>
  <dimension ref="A1:V69"/>
  <sheetViews>
    <sheetView topLeftCell="A45" zoomScale="90" zoomScaleNormal="90" workbookViewId="0">
      <pane xSplit="1" topLeftCell="B1" activePane="topRight" state="frozen"/>
      <selection activeCell="D4" sqref="D4"/>
      <selection pane="topRight" activeCell="F60" sqref="F60"/>
    </sheetView>
  </sheetViews>
  <sheetFormatPr baseColWidth="10" defaultColWidth="11.5703125" defaultRowHeight="15" x14ac:dyDescent="0.25"/>
  <cols>
    <col min="1" max="1" width="66" style="48" bestFit="1" customWidth="1"/>
    <col min="2" max="2" width="29.7109375" style="48" customWidth="1"/>
    <col min="3" max="3" width="11.5703125" style="48" hidden="1" customWidth="1"/>
    <col min="4" max="4" width="4.140625" style="48" hidden="1" customWidth="1"/>
    <col min="5" max="8" width="23.5703125" style="48" customWidth="1"/>
    <col min="9" max="9" width="20.28515625" style="48" customWidth="1"/>
    <col min="10" max="10" width="23.5703125" style="343" customWidth="1"/>
    <col min="11" max="14" width="23.5703125" style="48" customWidth="1"/>
    <col min="15" max="15" width="23.5703125" style="433" customWidth="1"/>
    <col min="16" max="16" width="23.5703125" style="48" customWidth="1"/>
    <col min="17" max="17" width="15.7109375" style="48" bestFit="1" customWidth="1"/>
    <col min="18" max="19" width="11.5703125" style="48"/>
    <col min="20" max="20" width="27.7109375" style="48" customWidth="1"/>
    <col min="21" max="21" width="18.85546875" style="48" customWidth="1"/>
    <col min="22" max="22" width="16" style="48" bestFit="1" customWidth="1"/>
    <col min="23" max="16384" width="11.5703125" style="48"/>
  </cols>
  <sheetData>
    <row r="1" spans="1:16" x14ac:dyDescent="0.25">
      <c r="A1" s="321"/>
      <c r="B1" s="316"/>
      <c r="C1" s="316"/>
      <c r="D1" s="316"/>
      <c r="E1" s="316"/>
      <c r="F1" s="316"/>
      <c r="G1" s="316"/>
      <c r="H1" s="316"/>
    </row>
    <row r="2" spans="1:16" ht="26.25" x14ac:dyDescent="0.25">
      <c r="A2" s="317" t="s">
        <v>339</v>
      </c>
      <c r="B2" s="317"/>
      <c r="C2" s="317"/>
      <c r="D2" s="317"/>
      <c r="E2" s="317"/>
      <c r="F2" s="317"/>
      <c r="G2" s="317"/>
      <c r="H2" s="317"/>
    </row>
    <row r="3" spans="1:16" ht="21" x14ac:dyDescent="0.25">
      <c r="A3" s="318" t="s">
        <v>292</v>
      </c>
      <c r="B3" s="318"/>
      <c r="C3" s="318"/>
      <c r="D3" s="318"/>
      <c r="E3" s="318"/>
      <c r="F3" s="318"/>
      <c r="G3" s="318"/>
      <c r="H3" s="318"/>
    </row>
    <row r="4" spans="1:16" ht="17.25" x14ac:dyDescent="0.25">
      <c r="A4" s="319" t="s">
        <v>381</v>
      </c>
      <c r="B4" s="319"/>
      <c r="C4" s="319"/>
      <c r="D4" s="319"/>
      <c r="E4" s="319"/>
      <c r="F4" s="319"/>
      <c r="G4" s="319"/>
      <c r="H4" s="319"/>
    </row>
    <row r="5" spans="1:16" x14ac:dyDescent="0.25">
      <c r="A5" s="320" t="s">
        <v>340</v>
      </c>
      <c r="B5" s="389"/>
      <c r="C5" s="320"/>
      <c r="D5" s="320"/>
      <c r="E5" s="320"/>
      <c r="F5" s="320"/>
      <c r="G5" s="320"/>
      <c r="H5" s="320"/>
    </row>
    <row r="6" spans="1:16" x14ac:dyDescent="0.25">
      <c r="B6" s="356"/>
    </row>
    <row r="7" spans="1:16" ht="15.75" thickBot="1" x14ac:dyDescent="0.3">
      <c r="B7" s="356"/>
      <c r="D7" s="77"/>
      <c r="E7" s="77"/>
      <c r="F7" s="77"/>
      <c r="G7" s="77"/>
      <c r="H7" s="77"/>
      <c r="J7" s="344"/>
      <c r="K7" s="77"/>
      <c r="L7" s="77"/>
      <c r="M7" s="77"/>
      <c r="N7" s="77"/>
      <c r="O7" s="562"/>
      <c r="P7" s="77"/>
    </row>
    <row r="8" spans="1:16" ht="15.75" thickBot="1" x14ac:dyDescent="0.3">
      <c r="A8" s="78"/>
      <c r="B8" s="79"/>
      <c r="D8" s="77"/>
      <c r="E8" s="677" t="s">
        <v>294</v>
      </c>
      <c r="F8" s="678"/>
      <c r="G8" s="678"/>
      <c r="H8" s="678"/>
      <c r="I8" s="678"/>
      <c r="J8" s="678"/>
      <c r="K8" s="678"/>
      <c r="L8" s="678"/>
      <c r="M8" s="678"/>
      <c r="N8" s="678"/>
      <c r="O8" s="678"/>
      <c r="P8" s="678"/>
    </row>
    <row r="9" spans="1:16" ht="30" x14ac:dyDescent="0.3">
      <c r="A9" s="80" t="s">
        <v>295</v>
      </c>
      <c r="B9" s="103" t="s">
        <v>128</v>
      </c>
      <c r="C9"/>
      <c r="D9" s="104"/>
      <c r="E9" s="17" t="s">
        <v>119</v>
      </c>
      <c r="F9" s="15" t="s">
        <v>74</v>
      </c>
      <c r="G9" s="15" t="s">
        <v>120</v>
      </c>
      <c r="H9" s="15" t="s">
        <v>121</v>
      </c>
      <c r="I9" s="16" t="s">
        <v>127</v>
      </c>
      <c r="J9" s="16" t="s">
        <v>122</v>
      </c>
      <c r="K9" s="15" t="s">
        <v>76</v>
      </c>
      <c r="L9" s="15" t="s">
        <v>123</v>
      </c>
      <c r="M9" s="15" t="s">
        <v>124</v>
      </c>
      <c r="N9" s="15" t="s">
        <v>125</v>
      </c>
      <c r="O9" s="15" t="s">
        <v>365</v>
      </c>
      <c r="P9" s="16" t="s">
        <v>126</v>
      </c>
    </row>
    <row r="10" spans="1:16" ht="15.75" x14ac:dyDescent="0.3">
      <c r="A10" s="81" t="s">
        <v>296</v>
      </c>
      <c r="B10" s="416">
        <f>SUM(E10:P10)</f>
        <v>28386078.018379997</v>
      </c>
      <c r="C10" s="397"/>
      <c r="D10" s="417"/>
      <c r="E10" s="416">
        <f>'descarga BG'!G4/1000</f>
        <v>3145763.0545600001</v>
      </c>
      <c r="F10" s="416">
        <f>'descarga BG'!L4/1000</f>
        <v>4090442.8763600001</v>
      </c>
      <c r="G10" s="416">
        <f>'descarga BG'!K4/1000</f>
        <v>3004227.1197599997</v>
      </c>
      <c r="H10" s="416">
        <f>'descarga BG'!I4/1000</f>
        <v>4511865.5646200003</v>
      </c>
      <c r="I10" s="421">
        <f>'descarga BG'!E4/1000</f>
        <v>1437777.7154300001</v>
      </c>
      <c r="J10" s="421">
        <f>'descarga BG'!C4/1000</f>
        <v>3731519.7039600001</v>
      </c>
      <c r="K10" s="416">
        <f>'descarga BG'!F4/1000</f>
        <v>1918752.65295</v>
      </c>
      <c r="L10" s="416">
        <f>'descarga BG'!H4/1000</f>
        <v>1331027.9349399998</v>
      </c>
      <c r="M10" s="416">
        <f>'descarga BG'!M4/1000</f>
        <v>1905971.2281500003</v>
      </c>
      <c r="N10" s="416">
        <f>'descarga BG'!J4/1000</f>
        <v>753587.1349200001</v>
      </c>
      <c r="O10" s="416">
        <f>'descarga BG'!D4/1000</f>
        <v>1107993.1197000002</v>
      </c>
      <c r="P10" s="421">
        <f>'descarga BG'!B4/1000</f>
        <v>1447149.9130299999</v>
      </c>
    </row>
    <row r="11" spans="1:16" ht="15.75" x14ac:dyDescent="0.3">
      <c r="A11" s="82" t="s">
        <v>297</v>
      </c>
      <c r="B11" s="418"/>
      <c r="C11" s="397"/>
      <c r="D11" s="392"/>
      <c r="E11" s="418"/>
      <c r="F11" s="418"/>
      <c r="G11" s="418"/>
      <c r="H11" s="418"/>
      <c r="I11" s="422"/>
      <c r="J11" s="422"/>
      <c r="K11" s="418"/>
      <c r="L11" s="418"/>
      <c r="M11" s="418"/>
      <c r="N11" s="418"/>
      <c r="O11" s="424"/>
      <c r="P11" s="422"/>
    </row>
    <row r="12" spans="1:16" ht="15.75" x14ac:dyDescent="0.3">
      <c r="A12" s="83" t="s">
        <v>298</v>
      </c>
      <c r="B12" s="418">
        <f t="shared" ref="B12:B21" si="0">SUM(E12:P12)</f>
        <v>1715521.6950600001</v>
      </c>
      <c r="C12" s="397"/>
      <c r="D12" s="392"/>
      <c r="E12" s="418">
        <f>'descarga BG'!G5/1000</f>
        <v>519283.12160000001</v>
      </c>
      <c r="F12" s="418">
        <f>'descarga BG'!L5/1000</f>
        <v>87918.546770000001</v>
      </c>
      <c r="G12" s="418">
        <f>'descarga BG'!K5/1000</f>
        <v>148250.90697000001</v>
      </c>
      <c r="H12" s="418">
        <f>'descarga BG'!I5/1000</f>
        <v>172903.89733000001</v>
      </c>
      <c r="I12" s="422">
        <f>'descarga BG'!E5/1000</f>
        <v>102340.40573</v>
      </c>
      <c r="J12" s="422">
        <f>'descarga BG'!C5/1000</f>
        <v>242109.85913999999</v>
      </c>
      <c r="K12" s="418">
        <f>'descarga BG'!F5/1000</f>
        <v>93358.355890000006</v>
      </c>
      <c r="L12" s="418">
        <f>'descarga BG'!H5/1000</f>
        <v>126298.03108</v>
      </c>
      <c r="M12" s="418">
        <f>'descarga BG'!M5/1000</f>
        <v>17365.376980000001</v>
      </c>
      <c r="N12" s="418">
        <f>'descarga BG'!J5/1000</f>
        <v>14246.88766</v>
      </c>
      <c r="O12" s="418">
        <f>'descarga BG'!D5/1000</f>
        <v>10860.798449999998</v>
      </c>
      <c r="P12" s="422">
        <f>'descarga BG'!B5/1000</f>
        <v>180585.50746000002</v>
      </c>
    </row>
    <row r="13" spans="1:16" ht="15.75" x14ac:dyDescent="0.3">
      <c r="A13" s="83" t="s">
        <v>299</v>
      </c>
      <c r="B13" s="418">
        <f t="shared" si="0"/>
        <v>14136011.7125</v>
      </c>
      <c r="C13" s="397"/>
      <c r="D13" s="392"/>
      <c r="E13" s="418">
        <f>'descarga BG'!G6/1000</f>
        <v>1952292.77382</v>
      </c>
      <c r="F13" s="418">
        <f>'descarga BG'!L6/1000</f>
        <v>1712699.7754600001</v>
      </c>
      <c r="G13" s="418">
        <f>'descarga BG'!K6/1000</f>
        <v>1483946.4720300001</v>
      </c>
      <c r="H13" s="418">
        <f>'descarga BG'!I6/1000</f>
        <v>2334937.5123899998</v>
      </c>
      <c r="I13" s="422">
        <f>'descarga BG'!E6/1000</f>
        <v>751694.44253</v>
      </c>
      <c r="J13" s="422">
        <f>'descarga BG'!C6/1000</f>
        <v>1873490.94429</v>
      </c>
      <c r="K13" s="418">
        <f>'descarga BG'!F6/1000</f>
        <v>572207.08444000001</v>
      </c>
      <c r="L13" s="418">
        <f>'descarga BG'!H6/1000</f>
        <v>995924.61974999995</v>
      </c>
      <c r="M13" s="418">
        <f>'descarga BG'!M6/1000</f>
        <v>991785.4942999999</v>
      </c>
      <c r="N13" s="418">
        <f>'descarga BG'!J6/1000</f>
        <v>507574.69586000004</v>
      </c>
      <c r="O13" s="418">
        <f>'descarga BG'!D6/1000</f>
        <v>687840.45732000005</v>
      </c>
      <c r="P13" s="422">
        <f>'descarga BG'!B6/1000</f>
        <v>271617.44030999998</v>
      </c>
    </row>
    <row r="14" spans="1:16" ht="15.75" x14ac:dyDescent="0.3">
      <c r="A14" s="83" t="s">
        <v>300</v>
      </c>
      <c r="B14" s="418">
        <f t="shared" si="0"/>
        <v>53858.1</v>
      </c>
      <c r="C14" s="397"/>
      <c r="D14" s="392"/>
      <c r="E14" s="418">
        <f>'descarga BG'!G7/1000</f>
        <v>0</v>
      </c>
      <c r="F14" s="418">
        <f>'descarga BG'!L7/1000</f>
        <v>0</v>
      </c>
      <c r="G14" s="418">
        <f>'descarga BG'!K7/1000</f>
        <v>0</v>
      </c>
      <c r="H14" s="418">
        <f>'descarga BG'!I7/1000</f>
        <v>0</v>
      </c>
      <c r="I14" s="422">
        <f>'descarga BG'!E7/1000</f>
        <v>0</v>
      </c>
      <c r="J14" s="422">
        <f>'descarga BG'!C7/1000</f>
        <v>0</v>
      </c>
      <c r="K14" s="418">
        <f>'descarga BG'!F7/1000</f>
        <v>53858.1</v>
      </c>
      <c r="L14" s="418">
        <f>'descarga BG'!H7/1000</f>
        <v>0</v>
      </c>
      <c r="M14" s="418">
        <f>'descarga BG'!M7/1000</f>
        <v>0</v>
      </c>
      <c r="N14" s="418">
        <f>'descarga BG'!J7/1000</f>
        <v>0</v>
      </c>
      <c r="O14" s="418">
        <f>'descarga BG'!D7/1000</f>
        <v>0</v>
      </c>
      <c r="P14" s="422">
        <f>'descarga BG'!B7/1000</f>
        <v>0</v>
      </c>
    </row>
    <row r="15" spans="1:16" ht="15.75" x14ac:dyDescent="0.3">
      <c r="A15" s="83" t="s">
        <v>301</v>
      </c>
      <c r="B15" s="418">
        <f t="shared" si="0"/>
        <v>1162610.1517399999</v>
      </c>
      <c r="C15" s="397"/>
      <c r="D15" s="392"/>
      <c r="E15" s="418">
        <f>'descarga BG'!G8/1000</f>
        <v>0</v>
      </c>
      <c r="F15" s="418">
        <f>'descarga BG'!L8/1000</f>
        <v>122902.95176000001</v>
      </c>
      <c r="G15" s="418">
        <f>'descarga BG'!K8/1000</f>
        <v>32642.97406</v>
      </c>
      <c r="H15" s="418">
        <f>'descarga BG'!I8/1000</f>
        <v>0</v>
      </c>
      <c r="I15" s="422">
        <f>'descarga BG'!E8/1000</f>
        <v>126893.13592</v>
      </c>
      <c r="J15" s="422">
        <f>'descarga BG'!C8/1000</f>
        <v>326299.22941999999</v>
      </c>
      <c r="K15" s="418">
        <f>'descarga BG'!F8/1000</f>
        <v>537728.15948999999</v>
      </c>
      <c r="L15" s="418">
        <f>'descarga BG'!H8/1000</f>
        <v>0</v>
      </c>
      <c r="M15" s="418">
        <f>'descarga BG'!M8/1000</f>
        <v>10778.557839999999</v>
      </c>
      <c r="N15" s="418">
        <f>'descarga BG'!J8/1000</f>
        <v>5365.1432500000001</v>
      </c>
      <c r="O15" s="418">
        <f>'descarga BG'!D8/1000</f>
        <v>0</v>
      </c>
      <c r="P15" s="422">
        <f>'descarga BG'!B8/1000</f>
        <v>0</v>
      </c>
    </row>
    <row r="16" spans="1:16" ht="15.75" x14ac:dyDescent="0.3">
      <c r="A16" s="83" t="s">
        <v>302</v>
      </c>
      <c r="B16" s="418">
        <f t="shared" si="0"/>
        <v>5117443.7622600002</v>
      </c>
      <c r="C16" s="397"/>
      <c r="D16" s="392"/>
      <c r="E16" s="418">
        <f>'descarga BG'!G9/1000</f>
        <v>424453.33762000001</v>
      </c>
      <c r="F16" s="418">
        <f>'descarga BG'!L9/1000</f>
        <v>268520.57536999998</v>
      </c>
      <c r="G16" s="418">
        <f>'descarga BG'!K9/1000</f>
        <v>637150.43290999997</v>
      </c>
      <c r="H16" s="418">
        <f>'descarga BG'!I9/1000</f>
        <v>1162241.04559</v>
      </c>
      <c r="I16" s="422">
        <f>'descarga BG'!E9/1000</f>
        <v>167731.10944</v>
      </c>
      <c r="J16" s="422">
        <f>'descarga BG'!C9/1000</f>
        <v>954547.55121000006</v>
      </c>
      <c r="K16" s="418">
        <f>'descarga BG'!F9/1000</f>
        <v>346098.60706999997</v>
      </c>
      <c r="L16" s="418">
        <f>'descarga BG'!H9/1000</f>
        <v>141697.93206999998</v>
      </c>
      <c r="M16" s="418">
        <f>'descarga BG'!M9/1000</f>
        <v>443333.73174000002</v>
      </c>
      <c r="N16" s="418">
        <f>'descarga BG'!J9/1000</f>
        <v>150716.97137000001</v>
      </c>
      <c r="O16" s="418">
        <f>'descarga BG'!D9/1000</f>
        <v>154912.45340999999</v>
      </c>
      <c r="P16" s="422">
        <f>'descarga BG'!B9/1000</f>
        <v>266040.01446000003</v>
      </c>
    </row>
    <row r="17" spans="1:16" ht="15.75" x14ac:dyDescent="0.3">
      <c r="A17" s="83" t="s">
        <v>303</v>
      </c>
      <c r="B17" s="418">
        <f t="shared" si="0"/>
        <v>4670833.44374</v>
      </c>
      <c r="C17" s="397"/>
      <c r="D17" s="392"/>
      <c r="E17" s="418">
        <f>'descarga BG'!G10/1000</f>
        <v>199973.79908000003</v>
      </c>
      <c r="F17" s="418">
        <f>'descarga BG'!L10/1000</f>
        <v>1795611.0529200002</v>
      </c>
      <c r="G17" s="418">
        <f>'descarga BG'!K10/1000</f>
        <v>428460.56458000001</v>
      </c>
      <c r="H17" s="418">
        <f>'descarga BG'!I10/1000</f>
        <v>675971.13525000005</v>
      </c>
      <c r="I17" s="422">
        <f>'descarga BG'!E10/1000</f>
        <v>18767.931379999998</v>
      </c>
      <c r="J17" s="422">
        <f>'descarga BG'!C10/1000</f>
        <v>103728.61748</v>
      </c>
      <c r="K17" s="418">
        <f>'descarga BG'!F10/1000</f>
        <v>175336.34358000002</v>
      </c>
      <c r="L17" s="418">
        <f>'descarga BG'!H10/1000</f>
        <v>17042.151180000001</v>
      </c>
      <c r="M17" s="418">
        <f>'descarga BG'!M10/1000</f>
        <v>328592.33423000004</v>
      </c>
      <c r="N17" s="418">
        <f>'descarga BG'!J10/1000</f>
        <v>54765.994350000001</v>
      </c>
      <c r="O17" s="418">
        <f>'descarga BG'!D10/1000</f>
        <v>183716.55155999999</v>
      </c>
      <c r="P17" s="422">
        <f>'descarga BG'!B10/1000</f>
        <v>688866.96814999997</v>
      </c>
    </row>
    <row r="18" spans="1:16" ht="15.75" x14ac:dyDescent="0.3">
      <c r="A18" s="83" t="s">
        <v>304</v>
      </c>
      <c r="B18" s="418">
        <f t="shared" si="0"/>
        <v>44966.091439999989</v>
      </c>
      <c r="C18" s="397"/>
      <c r="D18" s="392"/>
      <c r="E18" s="418">
        <f>'descarga BG'!G11/1000</f>
        <v>3977.1</v>
      </c>
      <c r="F18" s="418">
        <f>'descarga BG'!L11/1000</f>
        <v>0</v>
      </c>
      <c r="G18" s="418">
        <f>'descarga BG'!K11/1000</f>
        <v>9480.0109499999999</v>
      </c>
      <c r="H18" s="418">
        <f>'descarga BG'!I11/1000</f>
        <v>4703.5</v>
      </c>
      <c r="I18" s="422">
        <f>'descarga BG'!E11/1000</f>
        <v>2352.78964</v>
      </c>
      <c r="J18" s="422">
        <f>'descarga BG'!C11/1000</f>
        <v>13176.714</v>
      </c>
      <c r="K18" s="418">
        <f>'descarga BG'!F11/1000</f>
        <v>1350.8999899999999</v>
      </c>
      <c r="L18" s="418">
        <f>'descarga BG'!H11/1000</f>
        <v>370</v>
      </c>
      <c r="M18" s="418">
        <f>'descarga BG'!M11/1000</f>
        <v>8535.0499999999993</v>
      </c>
      <c r="N18" s="418">
        <f>'descarga BG'!J11/1000</f>
        <v>0</v>
      </c>
      <c r="O18" s="418">
        <f>'descarga BG'!D11/1000</f>
        <v>150</v>
      </c>
      <c r="P18" s="422">
        <f>'descarga BG'!B11/1000</f>
        <v>870.02685999999994</v>
      </c>
    </row>
    <row r="19" spans="1:16" ht="15.75" x14ac:dyDescent="0.3">
      <c r="A19" s="83" t="s">
        <v>305</v>
      </c>
      <c r="B19" s="418">
        <f t="shared" si="0"/>
        <v>263974.58493000001</v>
      </c>
      <c r="C19" s="397"/>
      <c r="D19" s="392"/>
      <c r="E19" s="418">
        <f>'descarga BG'!G12/1000</f>
        <v>13088.245730000001</v>
      </c>
      <c r="F19" s="418">
        <f>'descarga BG'!L12/1000</f>
        <v>13954.752109999999</v>
      </c>
      <c r="G19" s="418">
        <f>'descarga BG'!K12/1000</f>
        <v>55644.472430000002</v>
      </c>
      <c r="H19" s="418">
        <f>'descarga BG'!I12/1000</f>
        <v>47497.188799999996</v>
      </c>
      <c r="I19" s="422">
        <f>'descarga BG'!E12/1000</f>
        <v>8981.2057299999997</v>
      </c>
      <c r="J19" s="422">
        <f>'descarga BG'!C12/1000</f>
        <v>48918.671780000004</v>
      </c>
      <c r="K19" s="418">
        <f>'descarga BG'!F12/1000</f>
        <v>8440.5146000000004</v>
      </c>
      <c r="L19" s="418">
        <f>'descarga BG'!H12/1000</f>
        <v>36361.271580000001</v>
      </c>
      <c r="M19" s="418">
        <f>'descarga BG'!M12/1000</f>
        <v>10174.46242</v>
      </c>
      <c r="N19" s="418">
        <f>'descarga BG'!J12/1000</f>
        <v>5087.3900400000002</v>
      </c>
      <c r="O19" s="418">
        <f>'descarga BG'!D12/1000</f>
        <v>11512.72364</v>
      </c>
      <c r="P19" s="422">
        <f>'descarga BG'!B12/1000</f>
        <v>4313.6860700000007</v>
      </c>
    </row>
    <row r="20" spans="1:16" ht="15.75" x14ac:dyDescent="0.3">
      <c r="A20" s="83" t="s">
        <v>306</v>
      </c>
      <c r="B20" s="418">
        <f t="shared" si="0"/>
        <v>122752.59336999999</v>
      </c>
      <c r="C20" s="397"/>
      <c r="D20" s="392"/>
      <c r="E20" s="418">
        <f>'descarga BG'!G13/1000</f>
        <v>1025.60771</v>
      </c>
      <c r="F20" s="418">
        <f>'descarga BG'!L13/1000</f>
        <v>0</v>
      </c>
      <c r="G20" s="418">
        <f>'descarga BG'!K13/1000</f>
        <v>11593.828009999999</v>
      </c>
      <c r="H20" s="418">
        <f>'descarga BG'!I13/1000</f>
        <v>0</v>
      </c>
      <c r="I20" s="422">
        <f>'descarga BG'!E13/1000</f>
        <v>100972.68498999999</v>
      </c>
      <c r="J20" s="422">
        <f>'descarga BG'!C13/1000</f>
        <v>876.87266</v>
      </c>
      <c r="K20" s="418">
        <f>'descarga BG'!F13/1000</f>
        <v>8283.6</v>
      </c>
      <c r="L20" s="418">
        <f>'descarga BG'!H13/1000</f>
        <v>0</v>
      </c>
      <c r="M20" s="418">
        <f>'descarga BG'!M13/1000</f>
        <v>0</v>
      </c>
      <c r="N20" s="418">
        <f>'descarga BG'!J13/1000</f>
        <v>0</v>
      </c>
      <c r="O20" s="418">
        <f>'descarga BG'!D13/1000</f>
        <v>0</v>
      </c>
      <c r="P20" s="422">
        <f>'descarga BG'!B13/1000</f>
        <v>0</v>
      </c>
    </row>
    <row r="21" spans="1:16" ht="15.75" x14ac:dyDescent="0.3">
      <c r="A21" s="83" t="s">
        <v>307</v>
      </c>
      <c r="B21" s="418">
        <f t="shared" si="0"/>
        <v>1098105.8833399999</v>
      </c>
      <c r="C21" s="397"/>
      <c r="D21" s="392"/>
      <c r="E21" s="418">
        <f>'descarga BG'!G14/1000</f>
        <v>31669.069</v>
      </c>
      <c r="F21" s="418">
        <f>'descarga BG'!L14/1000</f>
        <v>88835.221969999999</v>
      </c>
      <c r="G21" s="418">
        <f>'descarga BG'!K14/1000</f>
        <v>197057.45781999998</v>
      </c>
      <c r="H21" s="418">
        <f>'descarga BG'!I14/1000</f>
        <v>113611.28526</v>
      </c>
      <c r="I21" s="422">
        <f>'descarga BG'!E14/1000</f>
        <v>158044.01006999999</v>
      </c>
      <c r="J21" s="422">
        <f>'descarga BG'!C14/1000</f>
        <v>168371.24398</v>
      </c>
      <c r="K21" s="418">
        <f>'descarga BG'!F14/1000</f>
        <v>122090.98789</v>
      </c>
      <c r="L21" s="418">
        <f>'descarga BG'!H14/1000</f>
        <v>13333.929279999998</v>
      </c>
      <c r="M21" s="418">
        <f>'descarga BG'!M14/1000</f>
        <v>95406.22064</v>
      </c>
      <c r="N21" s="418">
        <f>'descarga BG'!J14/1000</f>
        <v>15830.052390000001</v>
      </c>
      <c r="O21" s="418">
        <f>'descarga BG'!D14/1000</f>
        <v>59000.135320000001</v>
      </c>
      <c r="P21" s="422">
        <f>'descarga BG'!B14/1000</f>
        <v>34856.269719999997</v>
      </c>
    </row>
    <row r="22" spans="1:16" ht="15.75" x14ac:dyDescent="0.3">
      <c r="A22" s="82"/>
      <c r="B22" s="418"/>
      <c r="C22" s="397"/>
      <c r="D22" s="392"/>
      <c r="E22" s="418"/>
      <c r="F22" s="418"/>
      <c r="G22" s="418"/>
      <c r="H22" s="418"/>
      <c r="I22" s="422"/>
      <c r="J22" s="422"/>
      <c r="K22" s="418"/>
      <c r="L22" s="418"/>
      <c r="M22" s="418"/>
      <c r="N22" s="418"/>
      <c r="O22" s="424"/>
      <c r="P22" s="422"/>
    </row>
    <row r="23" spans="1:16" ht="15.75" x14ac:dyDescent="0.3">
      <c r="A23" s="81" t="s">
        <v>309</v>
      </c>
      <c r="B23" s="416">
        <f>SUM(E23:P23)</f>
        <v>18352461.975299999</v>
      </c>
      <c r="C23" s="397"/>
      <c r="D23" s="417"/>
      <c r="E23" s="416">
        <f>'descarga BG'!G15/1000</f>
        <v>0</v>
      </c>
      <c r="F23" s="416">
        <f>'descarga BG'!L15/1000</f>
        <v>0</v>
      </c>
      <c r="G23" s="416">
        <f>'descarga BG'!K15/1000</f>
        <v>4098159.7558000004</v>
      </c>
      <c r="H23" s="416">
        <f>'descarga BG'!I15/1000</f>
        <v>3680449.7113000001</v>
      </c>
      <c r="I23" s="421">
        <f>'descarga BG'!E15/1000</f>
        <v>1253676.14858</v>
      </c>
      <c r="J23" s="421">
        <f>'descarga BG'!C15/1000</f>
        <v>1096035.6316199999</v>
      </c>
      <c r="K23" s="416">
        <f>'descarga BG'!F15/1000</f>
        <v>2751996.8881000001</v>
      </c>
      <c r="L23" s="416">
        <f>'descarga BG'!H15/1000</f>
        <v>25302.721710000002</v>
      </c>
      <c r="M23" s="416">
        <f>'descarga BG'!M15/1000</f>
        <v>1712552.5648599998</v>
      </c>
      <c r="N23" s="416">
        <f>'descarga BG'!J15/1000</f>
        <v>822462.24575999996</v>
      </c>
      <c r="O23" s="416">
        <f>'descarga BG'!D15/1000</f>
        <v>0</v>
      </c>
      <c r="P23" s="421">
        <f>'descarga BG'!B15/1000</f>
        <v>2911826.3075700002</v>
      </c>
    </row>
    <row r="24" spans="1:16" ht="15.75" x14ac:dyDescent="0.3">
      <c r="A24" s="82"/>
      <c r="B24" s="418"/>
      <c r="C24" s="397"/>
      <c r="D24" s="392"/>
      <c r="E24" s="418"/>
      <c r="F24" s="418"/>
      <c r="G24" s="418"/>
      <c r="H24" s="418"/>
      <c r="I24" s="422"/>
      <c r="J24" s="422"/>
      <c r="K24" s="418"/>
      <c r="L24" s="418"/>
      <c r="M24" s="418"/>
      <c r="N24" s="418"/>
      <c r="O24" s="424"/>
      <c r="P24" s="422"/>
    </row>
    <row r="25" spans="1:16" ht="15.75" x14ac:dyDescent="0.3">
      <c r="A25" s="81" t="s">
        <v>311</v>
      </c>
      <c r="B25" s="416">
        <f>SUM(E25:P25)</f>
        <v>46738539.99368</v>
      </c>
      <c r="C25" s="397"/>
      <c r="D25" s="417"/>
      <c r="E25" s="416">
        <f>'descarga BG'!G16/1000</f>
        <v>3145763.0545600001</v>
      </c>
      <c r="F25" s="416">
        <f>'descarga BG'!L16/1000</f>
        <v>4090442.8763600001</v>
      </c>
      <c r="G25" s="416">
        <f>'descarga BG'!K16/1000</f>
        <v>7102386.8755599996</v>
      </c>
      <c r="H25" s="416">
        <f>'descarga BG'!I16/1000</f>
        <v>8192315.2759199999</v>
      </c>
      <c r="I25" s="421">
        <f>'descarga BG'!E16/1000</f>
        <v>2691453.8640100001</v>
      </c>
      <c r="J25" s="421">
        <f>'descarga BG'!C16/1000</f>
        <v>4827555.3355799997</v>
      </c>
      <c r="K25" s="416">
        <f>'descarga BG'!F16/1000</f>
        <v>4670749.5410500001</v>
      </c>
      <c r="L25" s="416">
        <f>'descarga BG'!H16/1000</f>
        <v>1356330.6566499998</v>
      </c>
      <c r="M25" s="416">
        <f>'descarga BG'!M16/1000</f>
        <v>3618523.7930100001</v>
      </c>
      <c r="N25" s="416">
        <f>'descarga BG'!J16/1000</f>
        <v>1576049.3806800002</v>
      </c>
      <c r="O25" s="416">
        <f>'descarga BG'!D16/1000</f>
        <v>1107993.1197000002</v>
      </c>
      <c r="P25" s="421">
        <f>'descarga BG'!B16/1000</f>
        <v>4358976.2206000006</v>
      </c>
    </row>
    <row r="26" spans="1:16" ht="15.75" x14ac:dyDescent="0.3">
      <c r="A26" s="82"/>
      <c r="B26" s="418"/>
      <c r="C26" s="397"/>
      <c r="D26" s="392"/>
      <c r="E26" s="423"/>
      <c r="F26" s="418"/>
      <c r="G26" s="418"/>
      <c r="H26" s="418"/>
      <c r="I26" s="422"/>
      <c r="J26" s="422"/>
      <c r="K26" s="424"/>
      <c r="L26" s="418"/>
      <c r="M26" s="418"/>
      <c r="N26" s="418"/>
      <c r="O26" s="424"/>
      <c r="P26" s="422"/>
    </row>
    <row r="27" spans="1:16" ht="15.75" x14ac:dyDescent="0.3">
      <c r="A27" s="81" t="s">
        <v>313</v>
      </c>
      <c r="B27" s="416">
        <f>SUM(E27:P27)</f>
        <v>18252649.90907</v>
      </c>
      <c r="C27" s="397"/>
      <c r="D27" s="417"/>
      <c r="E27" s="416">
        <f>'descarga BG'!G17/1000</f>
        <v>1781316.6803400002</v>
      </c>
      <c r="F27" s="416">
        <f>'descarga BG'!L17/1000</f>
        <v>3248023.9914600006</v>
      </c>
      <c r="G27" s="416">
        <f>'descarga BG'!K17/1000</f>
        <v>2103506.3129599998</v>
      </c>
      <c r="H27" s="416">
        <f>'descarga BG'!I17/1000</f>
        <v>2990407.3558200002</v>
      </c>
      <c r="I27" s="421">
        <f>'descarga BG'!E17/1000</f>
        <v>656248.02614999993</v>
      </c>
      <c r="J27" s="421">
        <f>'descarga BG'!C17/1000</f>
        <v>2255299.1494200001</v>
      </c>
      <c r="K27" s="416">
        <f>'descarga BG'!F17/1000</f>
        <v>1282665.23951</v>
      </c>
      <c r="L27" s="416">
        <f>'descarga BG'!H17/1000</f>
        <v>605171.45564000006</v>
      </c>
      <c r="M27" s="416">
        <f>'descarga BG'!M17/1000</f>
        <v>1149346.9629100002</v>
      </c>
      <c r="N27" s="416">
        <f>'descarga BG'!J17/1000</f>
        <v>419764.90792999993</v>
      </c>
      <c r="O27" s="416">
        <f>'descarga BG'!D17/1000</f>
        <v>583513.27185000002</v>
      </c>
      <c r="P27" s="421">
        <f>'descarga BG'!B17/1000</f>
        <v>1177386.5550799998</v>
      </c>
    </row>
    <row r="28" spans="1:16" ht="15.75" x14ac:dyDescent="0.3">
      <c r="A28" s="82"/>
      <c r="B28" s="441"/>
      <c r="C28" s="397"/>
      <c r="D28" s="392"/>
      <c r="E28" s="418"/>
      <c r="F28" s="418"/>
      <c r="G28" s="418"/>
      <c r="H28" s="418"/>
      <c r="I28" s="422"/>
      <c r="J28" s="422"/>
      <c r="K28" s="418"/>
      <c r="L28" s="418"/>
      <c r="M28" s="418"/>
      <c r="N28" s="418"/>
      <c r="O28" s="424"/>
      <c r="P28" s="422"/>
    </row>
    <row r="29" spans="1:16" ht="15.75" x14ac:dyDescent="0.3">
      <c r="A29" s="83" t="s">
        <v>315</v>
      </c>
      <c r="B29" s="418">
        <f t="shared" ref="B29:B37" si="1">SUM(E29:P29)</f>
        <v>578360.96419000009</v>
      </c>
      <c r="C29" s="397"/>
      <c r="D29" s="392"/>
      <c r="E29" s="418">
        <f>'descarga BG'!G18/1000</f>
        <v>19249.348670000003</v>
      </c>
      <c r="F29" s="418">
        <f>'descarga BG'!L18/1000</f>
        <v>43823.912469999996</v>
      </c>
      <c r="G29" s="418">
        <f>'descarga BG'!K18/1000</f>
        <v>27975.408019999999</v>
      </c>
      <c r="H29" s="418">
        <f>'descarga BG'!I18/1000</f>
        <v>116324.14836000001</v>
      </c>
      <c r="I29" s="422">
        <f>'descarga BG'!E18/1000</f>
        <v>13459.290849999999</v>
      </c>
      <c r="J29" s="422">
        <f>'descarga BG'!C18/1000</f>
        <v>40857.781310000006</v>
      </c>
      <c r="K29" s="418">
        <f>'descarga BG'!F18/1000</f>
        <v>107906.78976</v>
      </c>
      <c r="L29" s="418">
        <f>'descarga BG'!H18/1000</f>
        <v>4053.7270600000002</v>
      </c>
      <c r="M29" s="418">
        <f>'descarga BG'!M18/1000</f>
        <v>65716.40019</v>
      </c>
      <c r="N29" s="418">
        <f>'descarga BG'!J18/1000</f>
        <v>5870.4319699999996</v>
      </c>
      <c r="O29" s="418">
        <f>'descarga BG'!D18/1000</f>
        <v>129082.02644</v>
      </c>
      <c r="P29" s="422">
        <f>'descarga BG'!B18/1000</f>
        <v>4041.6990900000001</v>
      </c>
    </row>
    <row r="30" spans="1:16" ht="15.75" x14ac:dyDescent="0.3">
      <c r="A30" s="83" t="s">
        <v>316</v>
      </c>
      <c r="B30" s="418">
        <f>+SUM(E30:P30)</f>
        <v>3983347.7490099999</v>
      </c>
      <c r="C30" s="397"/>
      <c r="D30" s="392"/>
      <c r="E30" s="418">
        <f>'descarga BG'!G19/1000</f>
        <v>287832.36952999997</v>
      </c>
      <c r="F30" s="418">
        <f>'descarga BG'!L19/1000</f>
        <v>179630.06327000001</v>
      </c>
      <c r="G30" s="418">
        <f>'descarga BG'!K19/1000</f>
        <v>408093.77863000002</v>
      </c>
      <c r="H30" s="418">
        <f>'descarga BG'!I19/1000</f>
        <v>883822.52992</v>
      </c>
      <c r="I30" s="422">
        <f>'descarga BG'!E19/1000</f>
        <v>64212.931530000002</v>
      </c>
      <c r="J30" s="422">
        <f>'descarga BG'!C19/1000</f>
        <v>533547.00720999995</v>
      </c>
      <c r="K30" s="418">
        <f>'descarga BG'!F19/1000</f>
        <v>162328.73551</v>
      </c>
      <c r="L30" s="418">
        <f>'descarga BG'!H19/1000</f>
        <v>143139.56321000002</v>
      </c>
      <c r="M30" s="418">
        <f>'descarga BG'!M19/1000</f>
        <v>419814.92631000001</v>
      </c>
      <c r="N30" s="418">
        <f>'descarga BG'!J19/1000</f>
        <v>111956.59236</v>
      </c>
      <c r="O30" s="418">
        <f>'descarga BG'!D19/1000</f>
        <v>147319.00172999999</v>
      </c>
      <c r="P30" s="422">
        <f>'descarga BG'!B19/1000</f>
        <v>641650.24979999999</v>
      </c>
    </row>
    <row r="31" spans="1:16" ht="15.75" x14ac:dyDescent="0.3">
      <c r="A31" s="83" t="s">
        <v>317</v>
      </c>
      <c r="B31" s="418">
        <f t="shared" si="1"/>
        <v>665199.36096000008</v>
      </c>
      <c r="C31" s="397"/>
      <c r="D31" s="392"/>
      <c r="E31" s="418">
        <f>'descarga BG'!G20/1000</f>
        <v>71836.819969999997</v>
      </c>
      <c r="F31" s="418">
        <f>'descarga BG'!L20/1000</f>
        <v>56632.897990000005</v>
      </c>
      <c r="G31" s="418">
        <f>'descarga BG'!K20/1000</f>
        <v>89322.744310000009</v>
      </c>
      <c r="H31" s="418">
        <f>'descarga BG'!I20/1000</f>
        <v>182661.93855000002</v>
      </c>
      <c r="I31" s="422">
        <f>'descarga BG'!E20/1000</f>
        <v>26459.201000000001</v>
      </c>
      <c r="J31" s="422">
        <f>'descarga BG'!C20/1000</f>
        <v>77682.270650000006</v>
      </c>
      <c r="K31" s="418">
        <f>'descarga BG'!F20/1000</f>
        <v>43356.747609999999</v>
      </c>
      <c r="L31" s="418">
        <f>'descarga BG'!H20/1000</f>
        <v>15102.675289999999</v>
      </c>
      <c r="M31" s="418">
        <f>'descarga BG'!M20/1000</f>
        <v>35028.60972</v>
      </c>
      <c r="N31" s="418">
        <f>'descarga BG'!J20/1000</f>
        <v>30664.523089999999</v>
      </c>
      <c r="O31" s="418">
        <f>'descarga BG'!D20/1000</f>
        <v>12992.54565</v>
      </c>
      <c r="P31" s="422">
        <f>'descarga BG'!B20/1000</f>
        <v>23458.387129999999</v>
      </c>
    </row>
    <row r="32" spans="1:16" ht="15.75" x14ac:dyDescent="0.3">
      <c r="A32" s="83" t="s">
        <v>318</v>
      </c>
      <c r="B32" s="418">
        <f t="shared" si="1"/>
        <v>1243042.8861499999</v>
      </c>
      <c r="C32" s="397"/>
      <c r="D32" s="392"/>
      <c r="E32" s="418">
        <f>'descarga BG'!G21/1000</f>
        <v>88605.206189999997</v>
      </c>
      <c r="F32" s="418">
        <f>'descarga BG'!L21/1000</f>
        <v>50341.079619999997</v>
      </c>
      <c r="G32" s="418">
        <f>'descarga BG'!K21/1000</f>
        <v>247095.03443999999</v>
      </c>
      <c r="H32" s="418">
        <f>'descarga BG'!I21/1000</f>
        <v>177056.29553</v>
      </c>
      <c r="I32" s="422">
        <f>'descarga BG'!E21/1000</f>
        <v>66070.339810000005</v>
      </c>
      <c r="J32" s="422">
        <f>'descarga BG'!C21/1000</f>
        <v>242739.15128999998</v>
      </c>
      <c r="K32" s="418">
        <f>'descarga BG'!F21/1000</f>
        <v>117970.13420999999</v>
      </c>
      <c r="L32" s="418">
        <f>'descarga BG'!H21/1000</f>
        <v>46530.395689999998</v>
      </c>
      <c r="M32" s="418">
        <f>'descarga BG'!M21/1000</f>
        <v>52477.500140000004</v>
      </c>
      <c r="N32" s="418">
        <f>'descarga BG'!J21/1000</f>
        <v>45183.897340000003</v>
      </c>
      <c r="O32" s="418">
        <f>'descarga BG'!D21/1000</f>
        <v>26170.66649</v>
      </c>
      <c r="P32" s="422">
        <f>'descarga BG'!B21/1000</f>
        <v>82803.185400000002</v>
      </c>
    </row>
    <row r="33" spans="1:22" ht="15.75" x14ac:dyDescent="0.3">
      <c r="A33" s="83" t="s">
        <v>319</v>
      </c>
      <c r="B33" s="418">
        <f t="shared" si="1"/>
        <v>1116.1222700000001</v>
      </c>
      <c r="C33" s="397"/>
      <c r="D33" s="392"/>
      <c r="E33" s="418">
        <f>'descarga BG'!G22/1000</f>
        <v>1116.1222700000001</v>
      </c>
      <c r="F33" s="418">
        <f>'descarga BG'!L22/1000</f>
        <v>0</v>
      </c>
      <c r="G33" s="418">
        <f>'descarga BG'!K22/1000</f>
        <v>0</v>
      </c>
      <c r="H33" s="418">
        <f>'descarga BG'!I22/1000</f>
        <v>0</v>
      </c>
      <c r="I33" s="422">
        <f>'descarga BG'!E22/1000</f>
        <v>0</v>
      </c>
      <c r="J33" s="422">
        <f>'descarga BG'!C22/1000</f>
        <v>0</v>
      </c>
      <c r="K33" s="418">
        <f>'descarga BG'!F22/1000</f>
        <v>0</v>
      </c>
      <c r="L33" s="418">
        <f>'descarga BG'!H22/1000</f>
        <v>0</v>
      </c>
      <c r="M33" s="418">
        <f>'descarga BG'!M22/1000</f>
        <v>0</v>
      </c>
      <c r="N33" s="418">
        <f>'descarga BG'!J22/1000</f>
        <v>0</v>
      </c>
      <c r="O33" s="418">
        <f>'descarga BG'!D22/1000</f>
        <v>0</v>
      </c>
      <c r="P33" s="422">
        <f>'descarga BG'!B22/1000</f>
        <v>0</v>
      </c>
    </row>
    <row r="34" spans="1:22" ht="15.75" x14ac:dyDescent="0.3">
      <c r="A34" s="83" t="s">
        <v>320</v>
      </c>
      <c r="B34" s="418">
        <f t="shared" si="1"/>
        <v>3326848.0085700001</v>
      </c>
      <c r="C34" s="397"/>
      <c r="D34" s="392"/>
      <c r="E34" s="418">
        <f>'descarga BG'!G23/1000</f>
        <v>203109.96791000001</v>
      </c>
      <c r="F34" s="418">
        <f>'descarga BG'!L23/1000</f>
        <v>54794.915509999999</v>
      </c>
      <c r="G34" s="418">
        <f>'descarga BG'!K23/1000</f>
        <v>703186.81178999995</v>
      </c>
      <c r="H34" s="418">
        <f>'descarga BG'!I23/1000</f>
        <v>814307.42822</v>
      </c>
      <c r="I34" s="422">
        <f>'descarga BG'!E23/1000</f>
        <v>72678.950370000006</v>
      </c>
      <c r="J34" s="422">
        <f>'descarga BG'!C23/1000</f>
        <v>385443.62145999999</v>
      </c>
      <c r="K34" s="418">
        <f>'descarga BG'!F23/1000</f>
        <v>383885.22891000001</v>
      </c>
      <c r="L34" s="418">
        <f>'descarga BG'!H23/1000</f>
        <v>31655.920340000001</v>
      </c>
      <c r="M34" s="418">
        <f>'descarga BG'!M23/1000</f>
        <v>214289.74671000001</v>
      </c>
      <c r="N34" s="418">
        <f>'descarga BG'!J23/1000</f>
        <v>17331.055479999999</v>
      </c>
      <c r="O34" s="418">
        <f>'descarga BG'!D23/1000</f>
        <v>104762.77658000001</v>
      </c>
      <c r="P34" s="422">
        <f>'descarga BG'!B23/1000</f>
        <v>341401.58529000002</v>
      </c>
    </row>
    <row r="35" spans="1:22" ht="15.75" x14ac:dyDescent="0.3">
      <c r="A35" s="83" t="s">
        <v>321</v>
      </c>
      <c r="B35" s="418">
        <f t="shared" si="1"/>
        <v>8080893.950480002</v>
      </c>
      <c r="C35" s="397"/>
      <c r="D35" s="392"/>
      <c r="E35" s="418">
        <f>'descarga BG'!G24/1000</f>
        <v>1068203.0566100001</v>
      </c>
      <c r="F35" s="418">
        <f>'descarga BG'!L24/1000</f>
        <v>2816046.3220300004</v>
      </c>
      <c r="G35" s="418">
        <f>'descarga BG'!K24/1000</f>
        <v>606836.03553999995</v>
      </c>
      <c r="H35" s="418">
        <f>'descarga BG'!I24/1000</f>
        <v>751819.17145999998</v>
      </c>
      <c r="I35" s="422">
        <f>'descarga BG'!E24/1000</f>
        <v>395348.05550999998</v>
      </c>
      <c r="J35" s="422">
        <f>'descarga BG'!C24/1000</f>
        <v>956416.11634000007</v>
      </c>
      <c r="K35" s="418">
        <f>'descarga BG'!F24/1000</f>
        <v>408752.19897000003</v>
      </c>
      <c r="L35" s="418">
        <f>'descarga BG'!H24/1000</f>
        <v>315079.79698000004</v>
      </c>
      <c r="M35" s="418">
        <f>'descarga BG'!M24/1000</f>
        <v>324755.109</v>
      </c>
      <c r="N35" s="418">
        <f>'descarga BG'!J24/1000</f>
        <v>198679.51723</v>
      </c>
      <c r="O35" s="418">
        <f>'descarga BG'!D24/1000</f>
        <v>163015.64913999999</v>
      </c>
      <c r="P35" s="422">
        <f>'descarga BG'!B24/1000</f>
        <v>75942.921669999996</v>
      </c>
    </row>
    <row r="36" spans="1:22" ht="15.75" x14ac:dyDescent="0.3">
      <c r="A36" s="83" t="s">
        <v>322</v>
      </c>
      <c r="B36" s="418">
        <f t="shared" si="1"/>
        <v>109138.36895</v>
      </c>
      <c r="C36" s="397"/>
      <c r="D36" s="392"/>
      <c r="E36" s="418">
        <f>'descarga BG'!G25/1000</f>
        <v>6312.0100199999997</v>
      </c>
      <c r="F36" s="418">
        <f>'descarga BG'!L25/1000</f>
        <v>0</v>
      </c>
      <c r="G36" s="418">
        <f>'descarga BG'!K25/1000</f>
        <v>17281.888360000001</v>
      </c>
      <c r="H36" s="418">
        <f>'descarga BG'!I25/1000</f>
        <v>15796.59823</v>
      </c>
      <c r="I36" s="422">
        <f>'descarga BG'!E25/1000</f>
        <v>625</v>
      </c>
      <c r="J36" s="422">
        <f>'descarga BG'!C25/1000</f>
        <v>18480.94903</v>
      </c>
      <c r="K36" s="418">
        <f>'descarga BG'!F25/1000</f>
        <v>15008.404480000001</v>
      </c>
      <c r="L36" s="418">
        <f>'descarga BG'!H25/1000</f>
        <v>1610.0905</v>
      </c>
      <c r="M36" s="418">
        <f>'descarga BG'!M25/1000</f>
        <v>22903.904930000001</v>
      </c>
      <c r="N36" s="418">
        <f>'descarga BG'!J25/1000</f>
        <v>10078.890460000001</v>
      </c>
      <c r="O36" s="418">
        <f>'descarga BG'!D25/1000</f>
        <v>170.60581999999999</v>
      </c>
      <c r="P36" s="422">
        <f>'descarga BG'!B25/1000</f>
        <v>870.02711999999997</v>
      </c>
    </row>
    <row r="37" spans="1:22" ht="15.75" x14ac:dyDescent="0.3">
      <c r="A37" s="83" t="s">
        <v>323</v>
      </c>
      <c r="B37" s="418">
        <f t="shared" si="1"/>
        <v>264702.49848999997</v>
      </c>
      <c r="C37" s="397"/>
      <c r="D37" s="392"/>
      <c r="E37" s="418">
        <f>'descarga BG'!G26/1000</f>
        <v>35051.779170000002</v>
      </c>
      <c r="F37" s="418">
        <f>'descarga BG'!L26/1000</f>
        <v>46754.800569999999</v>
      </c>
      <c r="G37" s="418">
        <f>'descarga BG'!K26/1000</f>
        <v>3714.6118700000002</v>
      </c>
      <c r="H37" s="418">
        <f>'descarga BG'!I26/1000</f>
        <v>48619.24555</v>
      </c>
      <c r="I37" s="422">
        <f>'descarga BG'!E26/1000</f>
        <v>17394.257079999999</v>
      </c>
      <c r="J37" s="422">
        <f>'descarga BG'!C26/1000</f>
        <v>132.25212999999999</v>
      </c>
      <c r="K37" s="418">
        <f>'descarga BG'!F26/1000</f>
        <v>43457.000060000006</v>
      </c>
      <c r="L37" s="418">
        <f>'descarga BG'!H26/1000</f>
        <v>47999.286570000004</v>
      </c>
      <c r="M37" s="418">
        <f>'descarga BG'!M26/1000</f>
        <v>14360.76591</v>
      </c>
      <c r="N37" s="418">
        <f>'descarga BG'!J26/1000</f>
        <v>0</v>
      </c>
      <c r="O37" s="418">
        <f>'descarga BG'!D26/1000</f>
        <v>0</v>
      </c>
      <c r="P37" s="422">
        <f>'descarga BG'!B26/1000</f>
        <v>7218.4995799999997</v>
      </c>
    </row>
    <row r="38" spans="1:22" ht="15.75" x14ac:dyDescent="0.3">
      <c r="A38" s="82"/>
      <c r="B38" s="418"/>
      <c r="C38" s="397"/>
      <c r="D38" s="392"/>
      <c r="E38" s="418"/>
      <c r="F38" s="418"/>
      <c r="G38" s="418"/>
      <c r="H38" s="418"/>
      <c r="I38" s="422"/>
      <c r="J38" s="422"/>
      <c r="K38" s="418"/>
      <c r="L38" s="418"/>
      <c r="M38" s="418"/>
      <c r="N38" s="418"/>
      <c r="O38" s="424"/>
      <c r="P38" s="422"/>
    </row>
    <row r="39" spans="1:22" ht="15.75" x14ac:dyDescent="0.3">
      <c r="A39" s="81" t="s">
        <v>109</v>
      </c>
      <c r="B39" s="416">
        <f>SUM(E39:P39)</f>
        <v>10133428.109309999</v>
      </c>
      <c r="C39" s="397"/>
      <c r="D39" s="417"/>
      <c r="E39" s="416">
        <f>'descarga BG'!G27/1000</f>
        <v>1364446.3742200001</v>
      </c>
      <c r="F39" s="416">
        <f>'descarga BG'!L27/1000</f>
        <v>842418.88490000006</v>
      </c>
      <c r="G39" s="416">
        <f>'descarga BG'!K27/1000</f>
        <v>900720.8067999999</v>
      </c>
      <c r="H39" s="416">
        <f>'descarga BG'!I27/1000</f>
        <v>1521458.2087999999</v>
      </c>
      <c r="I39" s="421">
        <f>'descarga BG'!E27/1000</f>
        <v>781529.68927999993</v>
      </c>
      <c r="J39" s="421">
        <f>'descarga BG'!C27/1000</f>
        <v>1476220.5545399999</v>
      </c>
      <c r="K39" s="416">
        <f>'descarga BG'!F27/1000</f>
        <v>636087.41344000003</v>
      </c>
      <c r="L39" s="416">
        <f>'descarga BG'!H27/1000</f>
        <v>725856.47930000012</v>
      </c>
      <c r="M39" s="416">
        <f>'descarga BG'!M27/1000</f>
        <v>756624.26523999998</v>
      </c>
      <c r="N39" s="416">
        <f>'descarga BG'!J27/1000</f>
        <v>333822.22699</v>
      </c>
      <c r="O39" s="416">
        <f>'descarga BG'!D27/1000</f>
        <v>524479.84785000002</v>
      </c>
      <c r="P39" s="421">
        <f>'descarga BG'!B27/1000</f>
        <v>269763.35794999998</v>
      </c>
      <c r="T39" s="22"/>
      <c r="U39" s="381"/>
      <c r="V39" s="386"/>
    </row>
    <row r="40" spans="1:22" ht="15.75" x14ac:dyDescent="0.3">
      <c r="A40" s="82"/>
      <c r="B40" s="418"/>
      <c r="C40" s="397"/>
      <c r="D40" s="392"/>
      <c r="E40" s="418"/>
      <c r="F40" s="418"/>
      <c r="G40" s="418"/>
      <c r="H40" s="418"/>
      <c r="I40" s="422"/>
      <c r="J40" s="422"/>
      <c r="K40" s="418"/>
      <c r="L40" s="418"/>
      <c r="M40" s="418"/>
      <c r="N40" s="418"/>
      <c r="O40" s="424"/>
      <c r="P40" s="422"/>
      <c r="T40" s="22"/>
      <c r="U40" s="381"/>
    </row>
    <row r="41" spans="1:22" ht="15.75" x14ac:dyDescent="0.3">
      <c r="A41" s="83" t="s">
        <v>326</v>
      </c>
      <c r="B41" s="418">
        <f>SUM(E41:P41)</f>
        <v>4486486</v>
      </c>
      <c r="C41" s="397"/>
      <c r="D41" s="392"/>
      <c r="E41" s="418">
        <f>'descarga BG'!G28/1000</f>
        <v>364800</v>
      </c>
      <c r="F41" s="418">
        <f>'descarga BG'!L28/1000</f>
        <v>90000</v>
      </c>
      <c r="G41" s="418">
        <f>'descarga BG'!K28/1000</f>
        <v>180000</v>
      </c>
      <c r="H41" s="418">
        <f>'descarga BG'!I28/1000</f>
        <v>850000</v>
      </c>
      <c r="I41" s="425">
        <f>'descarga BG'!E28/1000</f>
        <v>400000</v>
      </c>
      <c r="J41" s="425">
        <f>'descarga BG'!C28/1000</f>
        <v>950000</v>
      </c>
      <c r="K41" s="418">
        <f>'descarga BG'!F28/1000</f>
        <v>250000</v>
      </c>
      <c r="L41" s="418">
        <f>'descarga BG'!H28/1000</f>
        <v>452386</v>
      </c>
      <c r="M41" s="418">
        <f>'descarga BG'!M28/1000</f>
        <v>300000</v>
      </c>
      <c r="N41" s="418">
        <f>'descarga BG'!J28/1000</f>
        <v>180000</v>
      </c>
      <c r="O41" s="418">
        <f>'descarga BG'!D28/1000</f>
        <v>289300</v>
      </c>
      <c r="P41" s="422">
        <f>'descarga BG'!B28/1000</f>
        <v>180000</v>
      </c>
      <c r="T41" s="22"/>
      <c r="U41" s="381"/>
    </row>
    <row r="42" spans="1:22" ht="15.75" x14ac:dyDescent="0.3">
      <c r="A42" s="83" t="s">
        <v>327</v>
      </c>
      <c r="B42" s="418">
        <f>SUM(E42:P42)</f>
        <v>734772.25225000002</v>
      </c>
      <c r="C42" s="397"/>
      <c r="D42" s="392"/>
      <c r="E42" s="418">
        <f>'descarga BG'!G29/1000</f>
        <v>108831.45465</v>
      </c>
      <c r="F42" s="418">
        <f>'descarga BG'!L29/1000</f>
        <v>18000</v>
      </c>
      <c r="G42" s="418">
        <f>'descarga BG'!K29/1000</f>
        <v>36000</v>
      </c>
      <c r="H42" s="418">
        <f>'descarga BG'!I29/1000</f>
        <v>139677.21684000001</v>
      </c>
      <c r="I42" s="425">
        <f>'descarga BG'!E29/1000</f>
        <v>46974.89748</v>
      </c>
      <c r="J42" s="425">
        <f>'descarga BG'!C29/1000</f>
        <v>190173.83874000001</v>
      </c>
      <c r="K42" s="418">
        <f>'descarga BG'!F29/1000</f>
        <v>41730.606749999999</v>
      </c>
      <c r="L42" s="418">
        <f>'descarga BG'!H29/1000</f>
        <v>49478.891179999999</v>
      </c>
      <c r="M42" s="418">
        <f>'descarga BG'!M29/1000</f>
        <v>60000</v>
      </c>
      <c r="N42" s="418">
        <f>'descarga BG'!J29/1000</f>
        <v>21071.503909999999</v>
      </c>
      <c r="O42" s="418">
        <f>'descarga BG'!D29/1000</f>
        <v>19102.951739999997</v>
      </c>
      <c r="P42" s="422">
        <f>'descarga BG'!B29/1000</f>
        <v>3730.8909600000002</v>
      </c>
      <c r="T42" s="22"/>
      <c r="U42" s="381"/>
    </row>
    <row r="43" spans="1:22" ht="15.75" x14ac:dyDescent="0.3">
      <c r="A43" s="83" t="s">
        <v>328</v>
      </c>
      <c r="B43" s="418">
        <f>SUM(E43:P43)</f>
        <v>2841231.8152900003</v>
      </c>
      <c r="C43" s="397"/>
      <c r="D43" s="392"/>
      <c r="E43" s="418">
        <f>'descarga BG'!G30/1000</f>
        <v>562445.77588999993</v>
      </c>
      <c r="F43" s="418">
        <f>'descarga BG'!L30/1000</f>
        <v>546105.47310000006</v>
      </c>
      <c r="G43" s="418">
        <f>'descarga BG'!K30/1000</f>
        <v>513372.85956999997</v>
      </c>
      <c r="H43" s="418">
        <f>'descarga BG'!I30/1000</f>
        <v>178262.58997</v>
      </c>
      <c r="I43" s="425">
        <f>'descarga BG'!E30/1000</f>
        <v>294383.84580000001</v>
      </c>
      <c r="J43" s="425">
        <f>'descarga BG'!C30/1000</f>
        <v>3079.6242000000002</v>
      </c>
      <c r="K43" s="418">
        <f>'descarga BG'!F30/1000</f>
        <v>206102.85833000002</v>
      </c>
      <c r="L43" s="418">
        <f>'descarga BG'!H30/1000</f>
        <v>68808</v>
      </c>
      <c r="M43" s="418">
        <f>'descarga BG'!M30/1000</f>
        <v>213758.83674999999</v>
      </c>
      <c r="N43" s="418">
        <f>'descarga BG'!J30/1000</f>
        <v>54550.404640000001</v>
      </c>
      <c r="O43" s="418">
        <f>'descarga BG'!D30/1000</f>
        <v>131689.24872</v>
      </c>
      <c r="P43" s="422">
        <f>'descarga BG'!B30/1000</f>
        <v>68672.298319999987</v>
      </c>
      <c r="T43" s="22"/>
      <c r="U43" s="381"/>
    </row>
    <row r="44" spans="1:22" ht="15.75" x14ac:dyDescent="0.3">
      <c r="A44" s="83" t="s">
        <v>329</v>
      </c>
      <c r="B44" s="418">
        <f>SUM(E44:P44)</f>
        <v>2064554.75514</v>
      </c>
      <c r="C44" s="397"/>
      <c r="D44" s="392"/>
      <c r="E44" s="418">
        <f>'descarga BG'!G31/1000</f>
        <v>328369.14367999998</v>
      </c>
      <c r="F44" s="418">
        <f>'descarga BG'!L31/1000</f>
        <v>188313.4118</v>
      </c>
      <c r="G44" s="418">
        <f>'descarga BG'!K31/1000</f>
        <v>171347.94722999999</v>
      </c>
      <c r="H44" s="418">
        <f>'descarga BG'!I31/1000</f>
        <v>353518.40198999998</v>
      </c>
      <c r="I44" s="425">
        <f>'descarga BG'!E31/1000</f>
        <v>40170.946000000004</v>
      </c>
      <c r="J44" s="425">
        <f>'descarga BG'!C31/1000</f>
        <v>332967.09160000004</v>
      </c>
      <c r="K44" s="418">
        <f>'descarga BG'!F31/1000</f>
        <v>131870.66172999999</v>
      </c>
      <c r="L44" s="418">
        <f>'descarga BG'!H31/1000</f>
        <v>155183.58812</v>
      </c>
      <c r="M44" s="418">
        <f>'descarga BG'!M31/1000</f>
        <v>182865.42849000002</v>
      </c>
      <c r="N44" s="418">
        <f>'descarga BG'!J31/1000</f>
        <v>78200.318440000003</v>
      </c>
      <c r="O44" s="418">
        <f>'descarga BG'!D31/1000</f>
        <v>84387.647389999998</v>
      </c>
      <c r="P44" s="422">
        <f>'descarga BG'!B31/1000</f>
        <v>17360.168670000003</v>
      </c>
      <c r="T44" s="22"/>
      <c r="U44" s="381"/>
    </row>
    <row r="45" spans="1:22" ht="15.75" x14ac:dyDescent="0.3">
      <c r="A45" s="83" t="s">
        <v>330</v>
      </c>
      <c r="B45" s="418">
        <f>SUM(E45:P45)</f>
        <v>6383.2866299999996</v>
      </c>
      <c r="C45" s="397"/>
      <c r="D45" s="392"/>
      <c r="E45" s="418">
        <f>'descarga BG'!G32/1000</f>
        <v>0</v>
      </c>
      <c r="F45" s="418">
        <f>'descarga BG'!L32/1000</f>
        <v>0</v>
      </c>
      <c r="G45" s="418">
        <f>'descarga BG'!K32/1000</f>
        <v>0</v>
      </c>
      <c r="H45" s="418">
        <f>'descarga BG'!I32/1000</f>
        <v>0</v>
      </c>
      <c r="I45" s="425">
        <f>'descarga BG'!E32/1000</f>
        <v>0</v>
      </c>
      <c r="J45" s="425">
        <f>'descarga BG'!C32/1000</f>
        <v>0</v>
      </c>
      <c r="K45" s="418">
        <f>'descarga BG'!F32/1000</f>
        <v>6383.2866299999996</v>
      </c>
      <c r="L45" s="418">
        <f>'descarga BG'!H32/1000</f>
        <v>0</v>
      </c>
      <c r="M45" s="418">
        <f>'descarga BG'!M32/1000</f>
        <v>0</v>
      </c>
      <c r="N45" s="418">
        <f>'descarga BG'!J32/1000</f>
        <v>0</v>
      </c>
      <c r="O45" s="418">
        <f>'descarga BG'!D32/1000</f>
        <v>0</v>
      </c>
      <c r="P45" s="422">
        <f>'descarga BG'!B32/1000</f>
        <v>0</v>
      </c>
      <c r="T45" s="22"/>
      <c r="U45" s="381"/>
    </row>
    <row r="46" spans="1:22" ht="15.75" x14ac:dyDescent="0.3">
      <c r="A46" s="82"/>
      <c r="B46" s="418"/>
      <c r="C46" s="397"/>
      <c r="D46" s="392"/>
      <c r="E46" s="418"/>
      <c r="F46" s="418"/>
      <c r="G46" s="418"/>
      <c r="H46" s="418"/>
      <c r="I46" s="422"/>
      <c r="J46" s="422"/>
      <c r="K46" s="418"/>
      <c r="L46" s="418"/>
      <c r="M46" s="418"/>
      <c r="N46" s="418"/>
      <c r="O46" s="424"/>
      <c r="P46" s="422"/>
      <c r="T46" s="22"/>
      <c r="U46" s="381"/>
    </row>
    <row r="47" spans="1:22" ht="15.75" x14ac:dyDescent="0.3">
      <c r="A47" s="81" t="s">
        <v>332</v>
      </c>
      <c r="B47" s="416">
        <f>SUM(E47:P47)</f>
        <v>28386078.018379997</v>
      </c>
      <c r="C47" s="397"/>
      <c r="D47" s="417"/>
      <c r="E47" s="416">
        <f>'descarga BG'!G33/1000</f>
        <v>3145763.0545600005</v>
      </c>
      <c r="F47" s="416">
        <f>'descarga BG'!L33/1000</f>
        <v>4090442.8763600006</v>
      </c>
      <c r="G47" s="416">
        <f>'descarga BG'!K33/1000</f>
        <v>3004227.1197599997</v>
      </c>
      <c r="H47" s="416">
        <f>'descarga BG'!I33/1000</f>
        <v>4511865.5646200003</v>
      </c>
      <c r="I47" s="421">
        <f>'descarga BG'!E33/1000</f>
        <v>1437777.7154299999</v>
      </c>
      <c r="J47" s="421">
        <f>'descarga BG'!C33/1000</f>
        <v>3731519.7039600001</v>
      </c>
      <c r="K47" s="416">
        <f>'descarga BG'!F33/1000</f>
        <v>1918752.65295</v>
      </c>
      <c r="L47" s="416">
        <f>'descarga BG'!H33/1000</f>
        <v>1331027.9349400001</v>
      </c>
      <c r="M47" s="416">
        <f>'descarga BG'!M33/1000</f>
        <v>1905971.2281500003</v>
      </c>
      <c r="N47" s="416">
        <f>'descarga BG'!J33/1000</f>
        <v>753587.13491999998</v>
      </c>
      <c r="O47" s="416">
        <f>'descarga BG'!D33/1000</f>
        <v>1107993.1197000002</v>
      </c>
      <c r="P47" s="421">
        <f>'descarga BG'!B33/1000</f>
        <v>1447149.9130299999</v>
      </c>
      <c r="T47" s="22"/>
      <c r="U47" s="381"/>
    </row>
    <row r="48" spans="1:22" ht="15.75" x14ac:dyDescent="0.3">
      <c r="A48" s="82"/>
      <c r="B48" s="418"/>
      <c r="C48" s="397"/>
      <c r="D48" s="392"/>
      <c r="E48" s="418"/>
      <c r="F48" s="418"/>
      <c r="G48" s="418"/>
      <c r="H48" s="418"/>
      <c r="I48" s="422"/>
      <c r="J48" s="422"/>
      <c r="K48" s="424"/>
      <c r="L48" s="418"/>
      <c r="M48" s="418"/>
      <c r="N48" s="418"/>
      <c r="O48" s="424"/>
      <c r="P48" s="422"/>
      <c r="T48" s="22"/>
      <c r="U48" s="409"/>
    </row>
    <row r="49" spans="1:21" ht="15.75" x14ac:dyDescent="0.3">
      <c r="A49" s="81" t="s">
        <v>334</v>
      </c>
      <c r="B49" s="416">
        <f>SUM(E49:P49)</f>
        <v>18352461.975299999</v>
      </c>
      <c r="C49" s="397"/>
      <c r="D49" s="417"/>
      <c r="E49" s="416">
        <f>'descarga BG'!G34/1000</f>
        <v>0</v>
      </c>
      <c r="F49" s="416">
        <f>'descarga BG'!L34/1000</f>
        <v>0</v>
      </c>
      <c r="G49" s="416">
        <f>'descarga BG'!K34/1000</f>
        <v>4098159.7558000004</v>
      </c>
      <c r="H49" s="416">
        <f>'descarga BG'!I34/1000</f>
        <v>3680449.7113000001</v>
      </c>
      <c r="I49" s="421">
        <f>'descarga BG'!E34/1000</f>
        <v>1253676.14858</v>
      </c>
      <c r="J49" s="421">
        <f>'descarga BG'!C34/1000</f>
        <v>1096035.6316199999</v>
      </c>
      <c r="K49" s="416">
        <f>'descarga BG'!F34/1000</f>
        <v>2751996.8881000001</v>
      </c>
      <c r="L49" s="416">
        <f>'descarga BG'!H34/1000</f>
        <v>25302.721710000002</v>
      </c>
      <c r="M49" s="416">
        <f>'descarga BG'!M34/1000</f>
        <v>1712552.5648599998</v>
      </c>
      <c r="N49" s="416">
        <f>'descarga BG'!J34/1000</f>
        <v>822462.24575999996</v>
      </c>
      <c r="O49" s="416">
        <f>'descarga BG'!D34/1000</f>
        <v>0</v>
      </c>
      <c r="P49" s="421">
        <f>'descarga BG'!B34/1000</f>
        <v>2911826.3075700002</v>
      </c>
      <c r="T49" s="22"/>
      <c r="U49" s="381"/>
    </row>
    <row r="50" spans="1:21" ht="15.75" x14ac:dyDescent="0.3">
      <c r="A50" s="82"/>
      <c r="B50" s="418"/>
      <c r="C50" s="397"/>
      <c r="D50" s="392"/>
      <c r="E50" s="418"/>
      <c r="F50" s="418"/>
      <c r="G50" s="418"/>
      <c r="H50" s="418"/>
      <c r="I50" s="422"/>
      <c r="J50" s="422"/>
      <c r="K50" s="424"/>
      <c r="L50" s="418"/>
      <c r="M50" s="418"/>
      <c r="N50" s="418"/>
      <c r="O50" s="424"/>
      <c r="P50" s="422"/>
      <c r="T50" s="22"/>
      <c r="U50" s="381"/>
    </row>
    <row r="51" spans="1:21" ht="15.75" x14ac:dyDescent="0.3">
      <c r="A51" s="81" t="s">
        <v>336</v>
      </c>
      <c r="B51" s="416">
        <f>SUM(E51:P51)</f>
        <v>46738539.99368</v>
      </c>
      <c r="C51" s="397"/>
      <c r="D51" s="417"/>
      <c r="E51" s="416">
        <f>'descarga BG'!G35/1000</f>
        <v>3145763.0545600005</v>
      </c>
      <c r="F51" s="416">
        <f>'descarga BG'!L35/1000</f>
        <v>4090442.8763600006</v>
      </c>
      <c r="G51" s="416">
        <f>'descarga BG'!K35/1000</f>
        <v>7102386.8755599996</v>
      </c>
      <c r="H51" s="416">
        <f>'descarga BG'!I35/1000</f>
        <v>8192315.2759199999</v>
      </c>
      <c r="I51" s="421">
        <f>'descarga BG'!E35/1000</f>
        <v>2691453.8640099997</v>
      </c>
      <c r="J51" s="421">
        <f>'descarga BG'!C35/1000</f>
        <v>4827555.3355799997</v>
      </c>
      <c r="K51" s="416">
        <f>'descarga BG'!F35/1000</f>
        <v>4670749.5410500001</v>
      </c>
      <c r="L51" s="416">
        <f>'descarga BG'!H35/1000</f>
        <v>1356330.65665</v>
      </c>
      <c r="M51" s="416">
        <f>'descarga BG'!M35/1000</f>
        <v>3618523.7930100001</v>
      </c>
      <c r="N51" s="416">
        <f>'descarga BG'!J35/1000</f>
        <v>1576049.3806799999</v>
      </c>
      <c r="O51" s="416">
        <f>'descarga BG'!D35/1000</f>
        <v>1107993.1197000002</v>
      </c>
      <c r="P51" s="421">
        <f>'descarga BG'!B35/1000</f>
        <v>4358976.2206000006</v>
      </c>
      <c r="T51" s="22"/>
      <c r="U51" s="381"/>
    </row>
    <row r="52" spans="1:21" ht="15.75" x14ac:dyDescent="0.3">
      <c r="A52" s="82"/>
      <c r="B52" s="418"/>
      <c r="C52" s="397"/>
      <c r="D52" s="392"/>
      <c r="E52" s="418"/>
      <c r="F52" s="418"/>
      <c r="G52" s="418"/>
      <c r="H52" s="418"/>
      <c r="I52" s="422"/>
      <c r="J52" s="422"/>
      <c r="K52" s="424"/>
      <c r="L52" s="418"/>
      <c r="M52" s="418"/>
      <c r="N52" s="418"/>
      <c r="O52" s="424"/>
      <c r="P52" s="422"/>
    </row>
    <row r="53" spans="1:21" ht="16.5" thickBot="1" x14ac:dyDescent="0.35">
      <c r="A53" s="84" t="s">
        <v>338</v>
      </c>
      <c r="B53" s="419">
        <f>SUM(E53:P53)</f>
        <v>8560983760.0528889</v>
      </c>
      <c r="C53" s="397"/>
      <c r="D53" s="417"/>
      <c r="E53" s="420">
        <f>'descarga BG'!G36/1000</f>
        <v>567658416.28330004</v>
      </c>
      <c r="F53" s="420">
        <f>'descarga BG'!L36/1000</f>
        <v>338500981.26738</v>
      </c>
      <c r="G53" s="420">
        <f>'descarga BG'!K36/1000</f>
        <v>836573158.38919997</v>
      </c>
      <c r="H53" s="420">
        <f>'descarga BG'!I36/1000</f>
        <v>3034081976.9872999</v>
      </c>
      <c r="I53" s="426">
        <f>'descarga BG'!E36/1000</f>
        <v>174944985.53725001</v>
      </c>
      <c r="J53" s="426">
        <f>'descarga BG'!C36/1000</f>
        <v>1477188199.1238999</v>
      </c>
      <c r="K53" s="420">
        <f>'descarga BG'!F36/1000</f>
        <v>308408444.24580997</v>
      </c>
      <c r="L53" s="420">
        <f>'descarga BG'!H36/1000</f>
        <v>112376108.20026</v>
      </c>
      <c r="M53" s="420">
        <f>'descarga BG'!M36/1000</f>
        <v>636029567.30333996</v>
      </c>
      <c r="N53" s="420">
        <f>'descarga BG'!J36/1000</f>
        <v>121028156.01658</v>
      </c>
      <c r="O53" s="420">
        <f>'descarga BG'!D36/1000</f>
        <v>125404861.05355</v>
      </c>
      <c r="P53" s="426">
        <f>'descarga BG'!B36/1000</f>
        <v>828788905.64502001</v>
      </c>
    </row>
    <row r="55" spans="1:21" x14ac:dyDescent="0.25">
      <c r="B55" s="383"/>
      <c r="C55" s="384"/>
      <c r="D55" s="384"/>
      <c r="E55" s="383"/>
      <c r="F55" s="383"/>
      <c r="G55" s="383"/>
      <c r="H55" s="383"/>
      <c r="I55" s="383"/>
      <c r="J55" s="383"/>
      <c r="K55" s="383"/>
      <c r="L55" s="383"/>
      <c r="M55" s="383"/>
      <c r="N55" s="383"/>
      <c r="O55" s="563"/>
      <c r="P55" s="383"/>
    </row>
    <row r="56" spans="1:21" x14ac:dyDescent="0.25">
      <c r="B56" s="356"/>
    </row>
    <row r="57" spans="1:21" ht="15.75" x14ac:dyDescent="0.3">
      <c r="B57" s="388"/>
      <c r="E57" s="356"/>
      <c r="F57" s="356"/>
      <c r="G57" s="356"/>
      <c r="H57" s="356"/>
      <c r="I57" s="356"/>
      <c r="J57" s="385"/>
      <c r="K57" s="356"/>
      <c r="L57" s="356"/>
      <c r="M57" s="356"/>
      <c r="N57" s="356"/>
      <c r="O57" s="360"/>
      <c r="P57" s="356"/>
      <c r="Q57" s="356"/>
    </row>
    <row r="58" spans="1:21" ht="15.75" x14ac:dyDescent="0.3">
      <c r="B58" s="388"/>
    </row>
    <row r="59" spans="1:21" ht="15.75" x14ac:dyDescent="0.3">
      <c r="B59" s="388"/>
      <c r="E59" s="356"/>
    </row>
    <row r="60" spans="1:21" ht="15.75" x14ac:dyDescent="0.3">
      <c r="B60" s="388"/>
    </row>
    <row r="61" spans="1:21" ht="15.75" x14ac:dyDescent="0.3">
      <c r="B61" s="388"/>
    </row>
    <row r="62" spans="1:21" ht="15.75" x14ac:dyDescent="0.3">
      <c r="B62" s="388"/>
    </row>
    <row r="63" spans="1:21" ht="15.75" x14ac:dyDescent="0.3">
      <c r="B63" s="388"/>
    </row>
    <row r="64" spans="1:21" ht="15.75" x14ac:dyDescent="0.3">
      <c r="B64" s="388"/>
    </row>
    <row r="65" spans="2:5" ht="15.75" x14ac:dyDescent="0.3">
      <c r="B65" s="388"/>
    </row>
    <row r="66" spans="2:5" ht="15.75" x14ac:dyDescent="0.3">
      <c r="B66" s="388"/>
    </row>
    <row r="67" spans="2:5" ht="15.75" x14ac:dyDescent="0.3">
      <c r="B67" s="388"/>
    </row>
    <row r="68" spans="2:5" ht="15.75" x14ac:dyDescent="0.3">
      <c r="B68" s="388"/>
      <c r="E68" s="264"/>
    </row>
    <row r="69" spans="2:5" ht="15.75" x14ac:dyDescent="0.3">
      <c r="B69" s="388"/>
      <c r="E69" s="264"/>
    </row>
  </sheetData>
  <mergeCells count="1">
    <mergeCell ref="E8:P8"/>
  </mergeCells>
  <pageMargins left="0.7" right="0.7" top="0.75" bottom="0.75" header="0.3" footer="0.3"/>
  <pageSetup orientation="portrait" horizontalDpi="90" verticalDpi="9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39">
    <tabColor rgb="FFFFFF00"/>
  </sheetPr>
  <dimension ref="A1:Q40"/>
  <sheetViews>
    <sheetView zoomScaleNormal="100" workbookViewId="0">
      <pane xSplit="1" ySplit="3" topLeftCell="B18" activePane="bottomRight" state="frozen"/>
      <selection activeCell="E61" sqref="E61"/>
      <selection pane="topRight" activeCell="E61" sqref="E61"/>
      <selection pane="bottomLeft" activeCell="E61" sqref="E61"/>
      <selection pane="bottomRight" activeCell="D37" sqref="D37"/>
    </sheetView>
  </sheetViews>
  <sheetFormatPr baseColWidth="10" defaultColWidth="11.42578125" defaultRowHeight="15" x14ac:dyDescent="0.25"/>
  <cols>
    <col min="1" max="1" width="66" style="358" bestFit="1" customWidth="1"/>
    <col min="2" max="2" width="29" style="358" customWidth="1"/>
    <col min="3" max="3" width="21.28515625" style="358" customWidth="1"/>
    <col min="4" max="4" width="19.85546875" style="358" customWidth="1"/>
    <col min="5" max="8" width="18.85546875" style="358" bestFit="1" customWidth="1"/>
    <col min="9" max="9" width="22.7109375" style="358" customWidth="1"/>
    <col min="10" max="10" width="19.42578125" style="358" customWidth="1"/>
    <col min="11" max="11" width="21" style="598" customWidth="1"/>
    <col min="12" max="12" width="18.85546875" style="358" bestFit="1" customWidth="1"/>
    <col min="13" max="13" width="23.85546875" style="598" customWidth="1"/>
    <col min="14" max="14" width="27.42578125" style="361" customWidth="1"/>
    <col min="15" max="15" width="17.28515625" style="358" customWidth="1"/>
    <col min="16" max="16" width="19.28515625" style="358" bestFit="1" customWidth="1"/>
    <col min="17" max="16384" width="11.42578125" style="358"/>
  </cols>
  <sheetData>
    <row r="1" spans="1:17" ht="15.75" x14ac:dyDescent="0.3">
      <c r="A1" s="358" t="s">
        <v>226</v>
      </c>
      <c r="B1" s="637" t="s">
        <v>380</v>
      </c>
      <c r="F1" s="30"/>
    </row>
    <row r="2" spans="1:17" x14ac:dyDescent="0.25">
      <c r="H2" s="379"/>
    </row>
    <row r="3" spans="1:17" x14ac:dyDescent="0.25">
      <c r="A3" s="22" t="s">
        <v>295</v>
      </c>
      <c r="B3" s="22" t="s">
        <v>237</v>
      </c>
      <c r="C3" s="472" t="s">
        <v>69</v>
      </c>
      <c r="D3" s="22" t="s">
        <v>79</v>
      </c>
      <c r="E3" s="22" t="s">
        <v>71</v>
      </c>
      <c r="F3" s="22" t="s">
        <v>76</v>
      </c>
      <c r="G3" s="22" t="s">
        <v>88</v>
      </c>
      <c r="H3" s="22" t="s">
        <v>78</v>
      </c>
      <c r="I3" s="22" t="s">
        <v>70</v>
      </c>
      <c r="J3" s="22" t="s">
        <v>77</v>
      </c>
      <c r="K3" s="603" t="s">
        <v>73</v>
      </c>
      <c r="L3" s="603" t="s">
        <v>74</v>
      </c>
      <c r="M3" s="603" t="s">
        <v>238</v>
      </c>
      <c r="N3" s="359" t="s">
        <v>341</v>
      </c>
    </row>
    <row r="4" spans="1:17" s="361" customFormat="1" ht="15.75" x14ac:dyDescent="0.3">
      <c r="A4" s="359" t="s">
        <v>296</v>
      </c>
      <c r="B4" s="360">
        <f>SUM(B5:B14)</f>
        <v>1447149913.03</v>
      </c>
      <c r="C4" s="360">
        <f t="shared" ref="C4:N4" si="0">SUM(C5:C14)</f>
        <v>3731519703.96</v>
      </c>
      <c r="D4" s="360">
        <f t="shared" si="0"/>
        <v>1107993119.7</v>
      </c>
      <c r="E4" s="360">
        <f t="shared" si="0"/>
        <v>1437777715.4300001</v>
      </c>
      <c r="F4" s="360">
        <f t="shared" si="0"/>
        <v>1918752652.95</v>
      </c>
      <c r="G4" s="360">
        <f t="shared" si="0"/>
        <v>3145763054.5599999</v>
      </c>
      <c r="H4" s="360">
        <f t="shared" si="0"/>
        <v>1331027934.9399998</v>
      </c>
      <c r="I4" s="360">
        <f t="shared" si="0"/>
        <v>4511865564.6199999</v>
      </c>
      <c r="J4" s="360">
        <f t="shared" si="0"/>
        <v>753587134.92000008</v>
      </c>
      <c r="K4" s="360">
        <f t="shared" si="0"/>
        <v>3004227119.7599998</v>
      </c>
      <c r="L4" s="360">
        <f t="shared" si="0"/>
        <v>4090442876.3600001</v>
      </c>
      <c r="M4" s="380">
        <f t="shared" si="0"/>
        <v>1905971228.1500003</v>
      </c>
      <c r="N4" s="360">
        <f t="shared" si="0"/>
        <v>25947056963.739998</v>
      </c>
      <c r="O4" s="357"/>
      <c r="P4" s="360"/>
    </row>
    <row r="5" spans="1:17" ht="15.75" x14ac:dyDescent="0.3">
      <c r="A5" s="358" t="s">
        <v>298</v>
      </c>
      <c r="B5" s="356">
        <v>180585507.46000001</v>
      </c>
      <c r="C5" s="356">
        <v>242109859.13999999</v>
      </c>
      <c r="D5" s="381">
        <v>10860798.449999999</v>
      </c>
      <c r="E5" s="356">
        <v>102340405.73</v>
      </c>
      <c r="F5" s="356">
        <v>93358355.890000001</v>
      </c>
      <c r="G5" s="356">
        <v>519283121.60000002</v>
      </c>
      <c r="H5" s="356">
        <v>126298031.08</v>
      </c>
      <c r="I5" s="356">
        <v>172903897.33000001</v>
      </c>
      <c r="J5" s="356">
        <v>14246887.66</v>
      </c>
      <c r="K5" s="604">
        <v>148250906.97</v>
      </c>
      <c r="L5" s="356">
        <v>87918546.769999996</v>
      </c>
      <c r="M5" s="357">
        <v>17365376.98</v>
      </c>
      <c r="N5" s="360">
        <v>1578362865.53</v>
      </c>
      <c r="O5" s="357"/>
      <c r="P5" s="356"/>
    </row>
    <row r="6" spans="1:17" ht="15.75" x14ac:dyDescent="0.3">
      <c r="A6" s="358" t="s">
        <v>299</v>
      </c>
      <c r="B6" s="356">
        <v>271617440.31</v>
      </c>
      <c r="C6" s="356">
        <v>1873490944.29</v>
      </c>
      <c r="D6" s="381">
        <v>687840457.32000005</v>
      </c>
      <c r="E6" s="356">
        <v>751694442.52999997</v>
      </c>
      <c r="F6" s="356">
        <v>572207084.44000006</v>
      </c>
      <c r="G6" s="356">
        <v>1952292773.8199999</v>
      </c>
      <c r="H6" s="356">
        <v>995924619.75</v>
      </c>
      <c r="I6" s="356">
        <v>2334937512.3899999</v>
      </c>
      <c r="J6" s="356">
        <v>507574695.86000001</v>
      </c>
      <c r="K6" s="604">
        <v>1483946472.03</v>
      </c>
      <c r="L6" s="356">
        <v>1712699775.46</v>
      </c>
      <c r="M6" s="357">
        <v>991785494.29999995</v>
      </c>
      <c r="N6" s="360">
        <v>12452246635.43</v>
      </c>
      <c r="O6" s="357"/>
      <c r="P6" s="356"/>
    </row>
    <row r="7" spans="1:17" ht="15.75" x14ac:dyDescent="0.3">
      <c r="A7" s="358" t="s">
        <v>300</v>
      </c>
      <c r="B7" s="356" t="s">
        <v>363</v>
      </c>
      <c r="C7" s="356" t="s">
        <v>363</v>
      </c>
      <c r="D7" s="381" t="s">
        <v>363</v>
      </c>
      <c r="E7" s="356" t="s">
        <v>363</v>
      </c>
      <c r="F7" s="356">
        <v>53858100</v>
      </c>
      <c r="G7" s="356" t="s">
        <v>363</v>
      </c>
      <c r="H7" s="356" t="s">
        <v>363</v>
      </c>
      <c r="I7" s="356" t="s">
        <v>363</v>
      </c>
      <c r="J7" s="356" t="s">
        <v>363</v>
      </c>
      <c r="K7" s="604" t="s">
        <v>363</v>
      </c>
      <c r="L7" s="356" t="s">
        <v>363</v>
      </c>
      <c r="M7" s="357" t="s">
        <v>363</v>
      </c>
      <c r="N7" s="360">
        <v>53858100</v>
      </c>
      <c r="O7" s="357"/>
      <c r="P7" s="356"/>
    </row>
    <row r="8" spans="1:17" ht="15.75" x14ac:dyDescent="0.3">
      <c r="A8" s="358" t="s">
        <v>301</v>
      </c>
      <c r="B8" s="356" t="s">
        <v>363</v>
      </c>
      <c r="C8" s="356">
        <v>326299229.42000002</v>
      </c>
      <c r="D8" s="381" t="s">
        <v>363</v>
      </c>
      <c r="E8" s="356">
        <v>126893135.92</v>
      </c>
      <c r="F8" s="356">
        <v>537728159.49000001</v>
      </c>
      <c r="G8" s="356" t="s">
        <v>363</v>
      </c>
      <c r="H8" s="356" t="s">
        <v>363</v>
      </c>
      <c r="I8" s="356" t="s">
        <v>363</v>
      </c>
      <c r="J8" s="356">
        <v>5365143.25</v>
      </c>
      <c r="K8" s="604">
        <v>32642974.059999999</v>
      </c>
      <c r="L8" s="356">
        <v>122902951.76000001</v>
      </c>
      <c r="M8" s="357">
        <v>10778557.84</v>
      </c>
      <c r="N8" s="360">
        <v>1162610151.74</v>
      </c>
      <c r="O8" s="357"/>
      <c r="P8" s="356"/>
    </row>
    <row r="9" spans="1:17" ht="15.75" x14ac:dyDescent="0.3">
      <c r="A9" s="358" t="s">
        <v>302</v>
      </c>
      <c r="B9" s="356">
        <v>266040014.46000001</v>
      </c>
      <c r="C9" s="356">
        <v>954547551.21000004</v>
      </c>
      <c r="D9" s="381">
        <v>154912453.41</v>
      </c>
      <c r="E9" s="356">
        <v>167731109.44</v>
      </c>
      <c r="F9" s="356">
        <v>346098607.06999999</v>
      </c>
      <c r="G9" s="356">
        <v>424453337.62</v>
      </c>
      <c r="H9" s="356">
        <v>141697932.06999999</v>
      </c>
      <c r="I9" s="356">
        <v>1162241045.5899999</v>
      </c>
      <c r="J9" s="356">
        <v>150716971.37</v>
      </c>
      <c r="K9" s="604">
        <v>637150432.90999997</v>
      </c>
      <c r="L9" s="356">
        <v>268520575.37</v>
      </c>
      <c r="M9" s="357">
        <v>443333731.74000001</v>
      </c>
      <c r="N9" s="360">
        <v>4820833376.7799997</v>
      </c>
      <c r="O9" s="357"/>
      <c r="P9" s="356"/>
    </row>
    <row r="10" spans="1:17" ht="15.75" x14ac:dyDescent="0.3">
      <c r="A10" s="358" t="s">
        <v>303</v>
      </c>
      <c r="B10" s="356">
        <v>688866968.14999998</v>
      </c>
      <c r="C10" s="356">
        <v>103728617.48</v>
      </c>
      <c r="D10" s="381">
        <v>183716551.56</v>
      </c>
      <c r="E10" s="356">
        <v>18767931.379999999</v>
      </c>
      <c r="F10" s="356">
        <v>175336343.58000001</v>
      </c>
      <c r="G10" s="356">
        <v>199973799.08000001</v>
      </c>
      <c r="H10" s="356">
        <v>17042151.18</v>
      </c>
      <c r="I10" s="356">
        <v>675971135.25</v>
      </c>
      <c r="J10" s="356">
        <v>54765994.350000001</v>
      </c>
      <c r="K10" s="604">
        <v>428460564.57999998</v>
      </c>
      <c r="L10" s="356">
        <v>1795611052.9200001</v>
      </c>
      <c r="M10" s="357">
        <v>328592334.23000002</v>
      </c>
      <c r="N10" s="360">
        <v>4470074741</v>
      </c>
      <c r="O10" s="357"/>
      <c r="P10" s="356"/>
    </row>
    <row r="11" spans="1:17" ht="15.75" x14ac:dyDescent="0.3">
      <c r="A11" s="358" t="s">
        <v>304</v>
      </c>
      <c r="B11" s="356">
        <v>870026.86</v>
      </c>
      <c r="C11" s="356">
        <v>13176714</v>
      </c>
      <c r="D11" s="381">
        <v>150000</v>
      </c>
      <c r="E11" s="356">
        <v>2352789.64</v>
      </c>
      <c r="F11" s="356">
        <v>1350899.99</v>
      </c>
      <c r="G11" s="356">
        <v>3977100</v>
      </c>
      <c r="H11" s="356">
        <v>370000</v>
      </c>
      <c r="I11" s="356">
        <v>4703500</v>
      </c>
      <c r="J11" s="356" t="s">
        <v>363</v>
      </c>
      <c r="K11" s="604">
        <v>9480010.9499999993</v>
      </c>
      <c r="L11" s="356" t="s">
        <v>363</v>
      </c>
      <c r="M11" s="357">
        <v>8535050</v>
      </c>
      <c r="N11" s="360">
        <v>44446091.439999998</v>
      </c>
      <c r="O11" s="357"/>
      <c r="P11" s="356"/>
    </row>
    <row r="12" spans="1:17" ht="15.75" x14ac:dyDescent="0.3">
      <c r="A12" s="358" t="s">
        <v>305</v>
      </c>
      <c r="B12" s="356">
        <v>4313686.07</v>
      </c>
      <c r="C12" s="356">
        <v>48918671.780000001</v>
      </c>
      <c r="D12" s="381">
        <v>11512723.640000001</v>
      </c>
      <c r="E12" s="356">
        <v>8981205.7300000004</v>
      </c>
      <c r="F12" s="356">
        <v>8440514.5999999996</v>
      </c>
      <c r="G12" s="356">
        <v>13088245.73</v>
      </c>
      <c r="H12" s="356">
        <v>36361271.579999998</v>
      </c>
      <c r="I12" s="356">
        <v>47497188.799999997</v>
      </c>
      <c r="J12" s="356">
        <v>5087390.04</v>
      </c>
      <c r="K12" s="604">
        <v>55644472.43</v>
      </c>
      <c r="L12" s="356">
        <v>13954752.109999999</v>
      </c>
      <c r="M12" s="357">
        <v>10174462.42</v>
      </c>
      <c r="N12" s="360">
        <v>216100589.71000001</v>
      </c>
      <c r="O12" s="357"/>
      <c r="P12" s="356"/>
    </row>
    <row r="13" spans="1:17" ht="15.75" x14ac:dyDescent="0.3">
      <c r="A13" s="358" t="s">
        <v>306</v>
      </c>
      <c r="B13" s="356" t="s">
        <v>363</v>
      </c>
      <c r="C13" s="356">
        <v>876872.66</v>
      </c>
      <c r="D13" s="381" t="s">
        <v>363</v>
      </c>
      <c r="E13" s="356">
        <v>100972684.98999999</v>
      </c>
      <c r="F13" s="356">
        <v>8283600</v>
      </c>
      <c r="G13" s="356">
        <v>1025607.71</v>
      </c>
      <c r="H13" s="356" t="s">
        <v>363</v>
      </c>
      <c r="I13" s="356" t="s">
        <v>363</v>
      </c>
      <c r="J13" s="356" t="s">
        <v>363</v>
      </c>
      <c r="K13" s="604">
        <v>11593828.01</v>
      </c>
      <c r="L13" s="356" t="s">
        <v>363</v>
      </c>
      <c r="M13" s="357" t="s">
        <v>363</v>
      </c>
      <c r="N13" s="360">
        <v>122752593.37</v>
      </c>
      <c r="O13" s="357"/>
      <c r="P13" s="356"/>
    </row>
    <row r="14" spans="1:17" ht="15.75" x14ac:dyDescent="0.3">
      <c r="A14" s="358" t="s">
        <v>307</v>
      </c>
      <c r="B14" s="356">
        <v>34856269.719999999</v>
      </c>
      <c r="C14" s="356">
        <v>168371243.97999999</v>
      </c>
      <c r="D14" s="381">
        <v>59000135.32</v>
      </c>
      <c r="E14" s="356">
        <v>158044010.06999999</v>
      </c>
      <c r="F14" s="356">
        <v>122090987.89</v>
      </c>
      <c r="G14" s="356">
        <v>31669069</v>
      </c>
      <c r="H14" s="356">
        <v>13333929.279999999</v>
      </c>
      <c r="I14" s="356">
        <v>113611285.26000001</v>
      </c>
      <c r="J14" s="356">
        <v>15830052.390000001</v>
      </c>
      <c r="K14" s="604">
        <v>197057457.81999999</v>
      </c>
      <c r="L14" s="356">
        <v>88835221.969999999</v>
      </c>
      <c r="M14" s="357">
        <v>95406220.640000001</v>
      </c>
      <c r="N14" s="360">
        <v>1025771818.74</v>
      </c>
      <c r="O14" s="357"/>
      <c r="P14" s="356"/>
    </row>
    <row r="15" spans="1:17" ht="15.75" x14ac:dyDescent="0.3">
      <c r="A15" s="22" t="s">
        <v>309</v>
      </c>
      <c r="B15" s="356">
        <v>2911826307.5700002</v>
      </c>
      <c r="C15" s="356">
        <v>1096035631.6199999</v>
      </c>
      <c r="D15" s="381">
        <v>0</v>
      </c>
      <c r="E15" s="493">
        <v>1253676148.5799999</v>
      </c>
      <c r="F15" s="356">
        <v>2751996888.0999999</v>
      </c>
      <c r="G15" s="356" t="s">
        <v>363</v>
      </c>
      <c r="H15" s="493">
        <v>25302721.710000001</v>
      </c>
      <c r="I15" s="356">
        <v>3680449711.3000002</v>
      </c>
      <c r="J15" s="356">
        <v>822462245.75999999</v>
      </c>
      <c r="K15" s="360">
        <v>4098159755.8000002</v>
      </c>
      <c r="L15" s="356" t="s">
        <v>363</v>
      </c>
      <c r="M15" s="357">
        <v>1712552564.8599999</v>
      </c>
      <c r="N15" s="360">
        <v>18327159253.59</v>
      </c>
      <c r="O15" s="357"/>
      <c r="P15" s="356"/>
    </row>
    <row r="16" spans="1:17" s="361" customFormat="1" x14ac:dyDescent="0.25">
      <c r="A16" s="485" t="s">
        <v>107</v>
      </c>
      <c r="B16" s="486">
        <f t="shared" ref="B16:M16" si="1">B15+B4</f>
        <v>4358976220.6000004</v>
      </c>
      <c r="C16" s="486">
        <f t="shared" si="1"/>
        <v>4827555335.5799999</v>
      </c>
      <c r="D16" s="486">
        <f t="shared" si="1"/>
        <v>1107993119.7</v>
      </c>
      <c r="E16" s="486">
        <f t="shared" si="1"/>
        <v>2691453864.0100002</v>
      </c>
      <c r="F16" s="486">
        <f t="shared" si="1"/>
        <v>4670749541.0500002</v>
      </c>
      <c r="G16" s="486">
        <f t="shared" si="1"/>
        <v>3145763054.5599999</v>
      </c>
      <c r="H16" s="486">
        <f t="shared" si="1"/>
        <v>1356330656.6499999</v>
      </c>
      <c r="I16" s="486">
        <f t="shared" si="1"/>
        <v>8192315275.9200001</v>
      </c>
      <c r="J16" s="486">
        <f>J15+J4</f>
        <v>1576049380.6800001</v>
      </c>
      <c r="K16" s="486">
        <f t="shared" si="1"/>
        <v>7102386875.5599995</v>
      </c>
      <c r="L16" s="486">
        <f t="shared" si="1"/>
        <v>4090442876.3600001</v>
      </c>
      <c r="M16" s="486">
        <f t="shared" si="1"/>
        <v>3618523793.0100002</v>
      </c>
      <c r="N16" s="486">
        <v>40339331364.889999</v>
      </c>
      <c r="O16" s="382"/>
      <c r="P16" s="360"/>
      <c r="Q16" s="382"/>
    </row>
    <row r="17" spans="1:17" s="361" customFormat="1" x14ac:dyDescent="0.25">
      <c r="A17" s="359" t="s">
        <v>313</v>
      </c>
      <c r="B17" s="360">
        <f>SUM(B18:B26)</f>
        <v>1177386555.0799999</v>
      </c>
      <c r="C17" s="360">
        <f t="shared" ref="C17:N17" si="2">SUM(C18:C26)</f>
        <v>2255299149.4200001</v>
      </c>
      <c r="D17" s="360">
        <f>SUM(D18:D26)</f>
        <v>583513271.85000002</v>
      </c>
      <c r="E17" s="360">
        <f t="shared" si="2"/>
        <v>656248026.14999998</v>
      </c>
      <c r="F17" s="360">
        <f t="shared" si="2"/>
        <v>1282665239.51</v>
      </c>
      <c r="G17" s="360">
        <f t="shared" si="2"/>
        <v>1781316680.3400002</v>
      </c>
      <c r="H17" s="360">
        <f t="shared" si="2"/>
        <v>605171455.6400001</v>
      </c>
      <c r="I17" s="360">
        <f>SUM(I18:I26)</f>
        <v>2990407355.8200002</v>
      </c>
      <c r="J17" s="360">
        <f t="shared" si="2"/>
        <v>419764907.92999995</v>
      </c>
      <c r="K17" s="360">
        <f t="shared" si="2"/>
        <v>2103506312.9599998</v>
      </c>
      <c r="L17" s="360">
        <f t="shared" si="2"/>
        <v>3248023991.4600005</v>
      </c>
      <c r="M17" s="380">
        <f t="shared" si="2"/>
        <v>1149346962.9100003</v>
      </c>
      <c r="N17" s="360">
        <f t="shared" si="2"/>
        <v>17063965181.580002</v>
      </c>
      <c r="P17" s="360"/>
      <c r="Q17" s="382"/>
    </row>
    <row r="18" spans="1:17" x14ac:dyDescent="0.25">
      <c r="A18" s="358" t="s">
        <v>315</v>
      </c>
      <c r="B18" s="356">
        <v>4041699.09</v>
      </c>
      <c r="C18" s="356">
        <v>40857781.310000002</v>
      </c>
      <c r="D18" s="381">
        <v>129082026.44</v>
      </c>
      <c r="E18" s="356">
        <v>13459290.85</v>
      </c>
      <c r="F18" s="356">
        <v>107906789.76000001</v>
      </c>
      <c r="G18" s="356">
        <v>19249348.670000002</v>
      </c>
      <c r="H18" s="356">
        <v>4053727.06</v>
      </c>
      <c r="I18" s="356">
        <v>116324148.36</v>
      </c>
      <c r="J18" s="356">
        <v>5870431.9699999997</v>
      </c>
      <c r="K18" s="604">
        <v>27975408.02</v>
      </c>
      <c r="L18" s="356">
        <v>43823912.469999999</v>
      </c>
      <c r="M18" s="605">
        <v>65716400.189999998</v>
      </c>
      <c r="N18" s="360">
        <v>445225210.69</v>
      </c>
      <c r="P18" s="356"/>
    </row>
    <row r="19" spans="1:17" x14ac:dyDescent="0.25">
      <c r="A19" s="358" t="s">
        <v>316</v>
      </c>
      <c r="B19" s="356">
        <v>641650249.79999995</v>
      </c>
      <c r="C19" s="356">
        <v>533547007.20999998</v>
      </c>
      <c r="D19" s="381">
        <v>147319001.72999999</v>
      </c>
      <c r="E19" s="356">
        <v>64212931.530000001</v>
      </c>
      <c r="F19" s="356">
        <v>162328735.50999999</v>
      </c>
      <c r="G19" s="356">
        <v>287832369.52999997</v>
      </c>
      <c r="H19" s="356">
        <v>143139563.21000001</v>
      </c>
      <c r="I19" s="356">
        <v>883822529.91999996</v>
      </c>
      <c r="J19" s="356">
        <v>111956592.36</v>
      </c>
      <c r="K19" s="604">
        <v>408093778.63</v>
      </c>
      <c r="L19" s="356">
        <v>179630063.27000001</v>
      </c>
      <c r="M19" s="605">
        <v>419814926.31</v>
      </c>
      <c r="N19" s="360">
        <v>3692889184.0700002</v>
      </c>
      <c r="P19" s="356"/>
    </row>
    <row r="20" spans="1:17" x14ac:dyDescent="0.25">
      <c r="A20" s="358" t="s">
        <v>317</v>
      </c>
      <c r="B20" s="356">
        <v>23458387.129999999</v>
      </c>
      <c r="C20" s="356">
        <v>77682270.650000006</v>
      </c>
      <c r="D20" s="381">
        <v>12992545.65</v>
      </c>
      <c r="E20" s="356">
        <v>26459201</v>
      </c>
      <c r="F20" s="356">
        <v>43356747.609999999</v>
      </c>
      <c r="G20" s="356">
        <v>71836819.969999999</v>
      </c>
      <c r="H20" s="356">
        <v>15102675.289999999</v>
      </c>
      <c r="I20" s="356">
        <v>182661938.55000001</v>
      </c>
      <c r="J20" s="356">
        <v>30664523.09</v>
      </c>
      <c r="K20" s="604">
        <v>89322744.310000002</v>
      </c>
      <c r="L20" s="356">
        <v>56632897.990000002</v>
      </c>
      <c r="M20" s="605">
        <v>35028609.719999999</v>
      </c>
      <c r="N20" s="360">
        <v>637104140.01999998</v>
      </c>
      <c r="P20" s="356"/>
    </row>
    <row r="21" spans="1:17" x14ac:dyDescent="0.25">
      <c r="A21" s="358" t="s">
        <v>318</v>
      </c>
      <c r="B21" s="356">
        <v>82803185.400000006</v>
      </c>
      <c r="C21" s="356">
        <v>242739151.28999999</v>
      </c>
      <c r="D21" s="381">
        <v>26170666.489999998</v>
      </c>
      <c r="E21" s="356">
        <v>66070339.810000002</v>
      </c>
      <c r="F21" s="356">
        <v>117970134.20999999</v>
      </c>
      <c r="G21" s="356">
        <v>88605206.189999998</v>
      </c>
      <c r="H21" s="356">
        <v>46530395.689999998</v>
      </c>
      <c r="I21" s="356">
        <v>177056295.53</v>
      </c>
      <c r="J21" s="356">
        <v>45183897.340000004</v>
      </c>
      <c r="K21" s="604">
        <v>247095034.44</v>
      </c>
      <c r="L21" s="356">
        <v>50341079.619999997</v>
      </c>
      <c r="M21" s="605">
        <v>52477500.140000001</v>
      </c>
      <c r="N21" s="360">
        <v>1170341823.97</v>
      </c>
      <c r="P21" s="356"/>
    </row>
    <row r="22" spans="1:17" x14ac:dyDescent="0.25">
      <c r="A22" s="358" t="s">
        <v>319</v>
      </c>
      <c r="B22" s="356" t="s">
        <v>363</v>
      </c>
      <c r="C22" s="356" t="s">
        <v>363</v>
      </c>
      <c r="D22" s="381" t="s">
        <v>363</v>
      </c>
      <c r="E22" s="356" t="s">
        <v>363</v>
      </c>
      <c r="F22" s="356" t="s">
        <v>363</v>
      </c>
      <c r="G22" s="356">
        <v>1116122.27</v>
      </c>
      <c r="H22" s="356" t="s">
        <v>363</v>
      </c>
      <c r="I22" s="356" t="s">
        <v>363</v>
      </c>
      <c r="J22" s="356" t="s">
        <v>363</v>
      </c>
      <c r="K22" s="604" t="s">
        <v>363</v>
      </c>
      <c r="L22" s="356" t="s">
        <v>363</v>
      </c>
      <c r="M22" s="605" t="s">
        <v>363</v>
      </c>
      <c r="N22" s="360">
        <v>1116122.27</v>
      </c>
      <c r="P22" s="356"/>
    </row>
    <row r="23" spans="1:17" x14ac:dyDescent="0.25">
      <c r="A23" s="358" t="s">
        <v>320</v>
      </c>
      <c r="B23" s="356">
        <v>341401585.29000002</v>
      </c>
      <c r="C23" s="356">
        <v>385443621.45999998</v>
      </c>
      <c r="D23" s="381">
        <v>104762776.58</v>
      </c>
      <c r="E23" s="356">
        <v>72678950.370000005</v>
      </c>
      <c r="F23" s="356">
        <v>383885228.91000003</v>
      </c>
      <c r="G23" s="356">
        <v>203109967.91</v>
      </c>
      <c r="H23" s="356">
        <v>31655920.34</v>
      </c>
      <c r="I23" s="356">
        <v>814307428.22000003</v>
      </c>
      <c r="J23" s="356">
        <v>17331055.48</v>
      </c>
      <c r="K23" s="604">
        <v>703186811.78999996</v>
      </c>
      <c r="L23" s="356">
        <v>54794915.509999998</v>
      </c>
      <c r="M23" s="605">
        <v>214289746.71000001</v>
      </c>
      <c r="N23" s="360">
        <v>3190429311.6500001</v>
      </c>
      <c r="P23" s="356"/>
    </row>
    <row r="24" spans="1:17" x14ac:dyDescent="0.25">
      <c r="A24" s="358" t="s">
        <v>321</v>
      </c>
      <c r="B24" s="356">
        <v>75942921.670000002</v>
      </c>
      <c r="C24" s="356">
        <v>956416116.34000003</v>
      </c>
      <c r="D24" s="381">
        <v>163015649.13999999</v>
      </c>
      <c r="E24" s="356">
        <v>395348055.50999999</v>
      </c>
      <c r="F24" s="356">
        <v>408752198.97000003</v>
      </c>
      <c r="G24" s="356">
        <v>1068203056.61</v>
      </c>
      <c r="H24" s="356">
        <v>315079796.98000002</v>
      </c>
      <c r="I24" s="356">
        <v>751819171.46000004</v>
      </c>
      <c r="J24" s="356">
        <v>198679517.22999999</v>
      </c>
      <c r="K24" s="604">
        <v>606836035.53999996</v>
      </c>
      <c r="L24" s="356">
        <v>2816046322.0300002</v>
      </c>
      <c r="M24" s="605">
        <v>324755109</v>
      </c>
      <c r="N24" s="360">
        <v>7602798504.3599997</v>
      </c>
      <c r="P24" s="356"/>
    </row>
    <row r="25" spans="1:17" x14ac:dyDescent="0.25">
      <c r="A25" s="358" t="s">
        <v>322</v>
      </c>
      <c r="B25" s="356">
        <v>870027.12</v>
      </c>
      <c r="C25" s="356">
        <v>18480949.030000001</v>
      </c>
      <c r="D25" s="381">
        <v>170605.82</v>
      </c>
      <c r="E25" s="356">
        <v>625000</v>
      </c>
      <c r="F25" s="356">
        <v>15008404.48</v>
      </c>
      <c r="G25" s="356">
        <v>6312010.0199999996</v>
      </c>
      <c r="H25" s="356">
        <v>1610090.5</v>
      </c>
      <c r="I25" s="356">
        <v>15796598.23</v>
      </c>
      <c r="J25" s="356">
        <v>10078890.460000001</v>
      </c>
      <c r="K25" s="604">
        <v>17281888.359999999</v>
      </c>
      <c r="L25" s="356" t="s">
        <v>363</v>
      </c>
      <c r="M25" s="605">
        <v>22903904.93</v>
      </c>
      <c r="N25" s="360">
        <v>107357672.63</v>
      </c>
      <c r="P25" s="356"/>
    </row>
    <row r="26" spans="1:17" x14ac:dyDescent="0.25">
      <c r="A26" s="358" t="s">
        <v>323</v>
      </c>
      <c r="B26" s="356">
        <v>7218499.5800000001</v>
      </c>
      <c r="C26" s="356">
        <v>132252.13</v>
      </c>
      <c r="D26" s="381" t="s">
        <v>363</v>
      </c>
      <c r="E26" s="356">
        <v>17394257.079999998</v>
      </c>
      <c r="F26" s="356">
        <v>43457000.060000002</v>
      </c>
      <c r="G26" s="356">
        <v>35051779.170000002</v>
      </c>
      <c r="H26" s="356">
        <v>47999286.57</v>
      </c>
      <c r="I26" s="356">
        <v>48619245.549999997</v>
      </c>
      <c r="J26" s="356" t="s">
        <v>363</v>
      </c>
      <c r="K26" s="604">
        <v>3714611.87</v>
      </c>
      <c r="L26" s="356">
        <v>46754800.57</v>
      </c>
      <c r="M26" s="605">
        <v>14360765.91</v>
      </c>
      <c r="N26" s="360">
        <v>216703211.91999999</v>
      </c>
      <c r="P26" s="356"/>
    </row>
    <row r="27" spans="1:17" s="361" customFormat="1" x14ac:dyDescent="0.25">
      <c r="A27" s="359" t="s">
        <v>109</v>
      </c>
      <c r="B27" s="360">
        <f>SUM(B28:B32)</f>
        <v>269763357.94999999</v>
      </c>
      <c r="C27" s="360">
        <f t="shared" ref="C27:N27" si="3">SUM(C28:C32)</f>
        <v>1476220554.54</v>
      </c>
      <c r="D27" s="360">
        <f t="shared" si="3"/>
        <v>524479847.85000002</v>
      </c>
      <c r="E27" s="360">
        <f t="shared" si="3"/>
        <v>781529689.27999997</v>
      </c>
      <c r="F27" s="360">
        <f t="shared" si="3"/>
        <v>636087413.44000006</v>
      </c>
      <c r="G27" s="360">
        <f t="shared" si="3"/>
        <v>1364446374.22</v>
      </c>
      <c r="H27" s="360">
        <f t="shared" si="3"/>
        <v>725856479.30000007</v>
      </c>
      <c r="I27" s="360">
        <f t="shared" si="3"/>
        <v>1521458208.8</v>
      </c>
      <c r="J27" s="360">
        <f>SUM(J28:J32)</f>
        <v>333822226.99000001</v>
      </c>
      <c r="K27" s="360">
        <f t="shared" si="3"/>
        <v>900720806.79999995</v>
      </c>
      <c r="L27" s="360">
        <f t="shared" si="3"/>
        <v>842418884.9000001</v>
      </c>
      <c r="M27" s="360">
        <f t="shared" si="3"/>
        <v>756624265.24000001</v>
      </c>
      <c r="N27" s="360">
        <f t="shared" si="3"/>
        <v>8883091782.1599979</v>
      </c>
      <c r="P27" s="360"/>
      <c r="Q27" s="382"/>
    </row>
    <row r="28" spans="1:17" ht="15.75" x14ac:dyDescent="0.3">
      <c r="A28" s="358" t="s">
        <v>326</v>
      </c>
      <c r="B28" s="356">
        <v>180000000</v>
      </c>
      <c r="C28" s="356">
        <v>950000000</v>
      </c>
      <c r="D28" s="381">
        <v>289300000</v>
      </c>
      <c r="E28" s="356">
        <v>400000000</v>
      </c>
      <c r="F28" s="356">
        <v>250000000</v>
      </c>
      <c r="G28" s="356">
        <v>364800000</v>
      </c>
      <c r="H28" s="356">
        <v>452386000</v>
      </c>
      <c r="I28" s="356">
        <v>850000000</v>
      </c>
      <c r="J28" s="356">
        <v>180000000</v>
      </c>
      <c r="K28" s="604">
        <v>180000000</v>
      </c>
      <c r="L28" s="356">
        <v>90000000</v>
      </c>
      <c r="M28" s="357">
        <v>300000000</v>
      </c>
      <c r="N28" s="360">
        <v>3744800000</v>
      </c>
      <c r="P28" s="356"/>
    </row>
    <row r="29" spans="1:17" ht="15.75" x14ac:dyDescent="0.3">
      <c r="A29" s="358" t="s">
        <v>327</v>
      </c>
      <c r="B29" s="356">
        <v>3730890.96</v>
      </c>
      <c r="C29" s="356">
        <v>190173838.74000001</v>
      </c>
      <c r="D29" s="381">
        <v>19102951.739999998</v>
      </c>
      <c r="E29" s="356">
        <v>46974897.479999997</v>
      </c>
      <c r="F29" s="356">
        <v>41730606.75</v>
      </c>
      <c r="G29" s="356">
        <v>108831454.65000001</v>
      </c>
      <c r="H29" s="356">
        <v>49478891.18</v>
      </c>
      <c r="I29" s="356">
        <v>139677216.84</v>
      </c>
      <c r="J29" s="356">
        <v>21071503.91</v>
      </c>
      <c r="K29" s="604">
        <v>36000000</v>
      </c>
      <c r="L29" s="356">
        <v>18000000</v>
      </c>
      <c r="M29" s="357">
        <v>60000000</v>
      </c>
      <c r="N29" s="360">
        <v>666190409.33000004</v>
      </c>
      <c r="P29" s="356"/>
    </row>
    <row r="30" spans="1:17" ht="15.75" x14ac:dyDescent="0.3">
      <c r="A30" s="358" t="s">
        <v>328</v>
      </c>
      <c r="B30" s="356">
        <v>68672298.319999993</v>
      </c>
      <c r="C30" s="356">
        <v>3079624.2</v>
      </c>
      <c r="D30" s="381">
        <v>131689248.72</v>
      </c>
      <c r="E30" s="356">
        <v>294383845.80000001</v>
      </c>
      <c r="F30" s="356">
        <v>206102858.33000001</v>
      </c>
      <c r="G30" s="356">
        <v>562445775.88999999</v>
      </c>
      <c r="H30" s="356">
        <v>68808000</v>
      </c>
      <c r="I30" s="356">
        <v>178262589.97</v>
      </c>
      <c r="J30" s="356">
        <v>54550404.640000001</v>
      </c>
      <c r="K30" s="604">
        <v>513372859.56999999</v>
      </c>
      <c r="L30" s="356">
        <v>546105473.10000002</v>
      </c>
      <c r="M30" s="357">
        <v>213758836.75</v>
      </c>
      <c r="N30" s="360">
        <v>2640734566.5700002</v>
      </c>
      <c r="P30" s="356"/>
    </row>
    <row r="31" spans="1:17" ht="15.75" x14ac:dyDescent="0.3">
      <c r="A31" s="358" t="s">
        <v>329</v>
      </c>
      <c r="B31" s="381">
        <v>17360168.670000002</v>
      </c>
      <c r="C31" s="381">
        <v>332967091.60000002</v>
      </c>
      <c r="D31" s="381">
        <v>84387647.390000001</v>
      </c>
      <c r="E31" s="381">
        <v>40170946</v>
      </c>
      <c r="F31" s="381">
        <v>131870661.73</v>
      </c>
      <c r="G31" s="381">
        <v>328369143.68000001</v>
      </c>
      <c r="H31" s="381">
        <v>155183588.12</v>
      </c>
      <c r="I31" s="381">
        <v>353518401.99000001</v>
      </c>
      <c r="J31" s="381">
        <v>78200318.439999998</v>
      </c>
      <c r="K31" s="605">
        <v>171347947.22999999</v>
      </c>
      <c r="L31" s="381">
        <v>188313411.80000001</v>
      </c>
      <c r="M31" s="357">
        <v>182865428.49000001</v>
      </c>
      <c r="N31" s="360">
        <v>1824983519.6300001</v>
      </c>
      <c r="P31" s="381"/>
    </row>
    <row r="32" spans="1:17" ht="15.75" x14ac:dyDescent="0.3">
      <c r="A32" s="358" t="s">
        <v>330</v>
      </c>
      <c r="B32" s="356" t="s">
        <v>363</v>
      </c>
      <c r="C32" s="356" t="s">
        <v>363</v>
      </c>
      <c r="D32" s="381" t="s">
        <v>363</v>
      </c>
      <c r="E32" s="356" t="s">
        <v>363</v>
      </c>
      <c r="F32" s="356">
        <v>6383286.6299999999</v>
      </c>
      <c r="G32" s="356" t="s">
        <v>363</v>
      </c>
      <c r="H32" s="356" t="s">
        <v>363</v>
      </c>
      <c r="I32" s="356" t="s">
        <v>363</v>
      </c>
      <c r="J32" s="356" t="s">
        <v>363</v>
      </c>
      <c r="K32" s="604" t="s">
        <v>363</v>
      </c>
      <c r="L32" s="356" t="s">
        <v>363</v>
      </c>
      <c r="M32" s="357" t="s">
        <v>363</v>
      </c>
      <c r="N32" s="360">
        <v>6383286.6299999999</v>
      </c>
      <c r="P32" s="356"/>
    </row>
    <row r="33" spans="1:17" s="361" customFormat="1" x14ac:dyDescent="0.25">
      <c r="A33" s="359" t="s">
        <v>332</v>
      </c>
      <c r="B33" s="360">
        <f t="shared" ref="B33:N33" si="4">B17+B27</f>
        <v>1447149913.03</v>
      </c>
      <c r="C33" s="360">
        <f t="shared" si="4"/>
        <v>3731519703.96</v>
      </c>
      <c r="D33" s="360">
        <f t="shared" si="4"/>
        <v>1107993119.7</v>
      </c>
      <c r="E33" s="360">
        <f t="shared" si="4"/>
        <v>1437777715.4299998</v>
      </c>
      <c r="F33" s="360">
        <f t="shared" si="4"/>
        <v>1918752652.95</v>
      </c>
      <c r="G33" s="360">
        <f t="shared" si="4"/>
        <v>3145763054.5600004</v>
      </c>
      <c r="H33" s="360">
        <f t="shared" si="4"/>
        <v>1331027934.9400001</v>
      </c>
      <c r="I33" s="360">
        <f t="shared" si="4"/>
        <v>4511865564.6199999</v>
      </c>
      <c r="J33" s="360">
        <f t="shared" si="4"/>
        <v>753587134.91999996</v>
      </c>
      <c r="K33" s="360">
        <f t="shared" si="4"/>
        <v>3004227119.7599998</v>
      </c>
      <c r="L33" s="360">
        <f t="shared" si="4"/>
        <v>4090442876.3600006</v>
      </c>
      <c r="M33" s="380">
        <f t="shared" si="4"/>
        <v>1905971228.1500003</v>
      </c>
      <c r="N33" s="360">
        <f t="shared" si="4"/>
        <v>25947056963.739998</v>
      </c>
      <c r="P33" s="360"/>
      <c r="Q33" s="382"/>
    </row>
    <row r="34" spans="1:17" ht="15.75" x14ac:dyDescent="0.3">
      <c r="A34" s="22" t="s">
        <v>334</v>
      </c>
      <c r="B34" s="356">
        <v>2911826307.5700002</v>
      </c>
      <c r="C34" s="356">
        <v>1096035631.6199999</v>
      </c>
      <c r="D34" s="381">
        <v>0</v>
      </c>
      <c r="E34" s="493">
        <v>1253676148.5799999</v>
      </c>
      <c r="F34" s="356">
        <v>2751996888.0999999</v>
      </c>
      <c r="G34" s="356" t="s">
        <v>363</v>
      </c>
      <c r="H34" s="356">
        <v>25302721.710000001</v>
      </c>
      <c r="I34" s="356">
        <v>3680449711.3000002</v>
      </c>
      <c r="J34" s="356">
        <v>822462245.75999999</v>
      </c>
      <c r="K34" s="360">
        <v>4098159755.8000002</v>
      </c>
      <c r="L34" s="356" t="s">
        <v>363</v>
      </c>
      <c r="M34" s="357">
        <v>1712552564.8599999</v>
      </c>
      <c r="N34" s="360">
        <v>18327159253.59</v>
      </c>
      <c r="O34" s="356"/>
      <c r="P34" s="356"/>
    </row>
    <row r="35" spans="1:17" s="361" customFormat="1" x14ac:dyDescent="0.25">
      <c r="A35" s="359" t="s">
        <v>336</v>
      </c>
      <c r="B35" s="486">
        <f t="shared" ref="B35:M35" si="5">B33+B34</f>
        <v>4358976220.6000004</v>
      </c>
      <c r="C35" s="486">
        <f t="shared" si="5"/>
        <v>4827555335.5799999</v>
      </c>
      <c r="D35" s="486">
        <f t="shared" si="5"/>
        <v>1107993119.7</v>
      </c>
      <c r="E35" s="486">
        <f t="shared" si="5"/>
        <v>2691453864.0099998</v>
      </c>
      <c r="F35" s="486">
        <f t="shared" si="5"/>
        <v>4670749541.0500002</v>
      </c>
      <c r="G35" s="486">
        <f t="shared" si="5"/>
        <v>3145763054.5600004</v>
      </c>
      <c r="H35" s="486">
        <f t="shared" si="5"/>
        <v>1356330656.6500001</v>
      </c>
      <c r="I35" s="486">
        <f t="shared" si="5"/>
        <v>8192315275.9200001</v>
      </c>
      <c r="J35" s="486">
        <f t="shared" si="5"/>
        <v>1576049380.6799998</v>
      </c>
      <c r="K35" s="380">
        <f t="shared" si="5"/>
        <v>7102386875.5599995</v>
      </c>
      <c r="L35" s="486">
        <f t="shared" si="5"/>
        <v>4090442876.3600006</v>
      </c>
      <c r="M35" s="486">
        <f t="shared" si="5"/>
        <v>3618523793.0100002</v>
      </c>
      <c r="N35" s="486">
        <f>SUM(B35:M35)</f>
        <v>46738539993.680008</v>
      </c>
      <c r="P35" s="360"/>
      <c r="Q35" s="382"/>
    </row>
    <row r="36" spans="1:17" ht="15.75" x14ac:dyDescent="0.3">
      <c r="A36" s="22" t="s">
        <v>338</v>
      </c>
      <c r="B36" s="356">
        <v>828788905645.02002</v>
      </c>
      <c r="C36" s="356">
        <v>1477188199123.8999</v>
      </c>
      <c r="D36" s="356">
        <v>125404861053.55</v>
      </c>
      <c r="E36" s="493">
        <v>174944985537.25</v>
      </c>
      <c r="F36" s="356">
        <v>308408444245.81</v>
      </c>
      <c r="G36" s="356">
        <v>567658416283.30005</v>
      </c>
      <c r="H36" s="493">
        <v>112376108200.25999</v>
      </c>
      <c r="I36" s="356">
        <v>3034081976987.2998</v>
      </c>
      <c r="J36" s="356">
        <v>121028156016.58</v>
      </c>
      <c r="K36" s="604">
        <v>836573158389.19995</v>
      </c>
      <c r="L36" s="356">
        <v>338500981267.38</v>
      </c>
      <c r="M36" s="357">
        <v>636029567303.33997</v>
      </c>
      <c r="N36" s="360">
        <v>8323202790799.0996</v>
      </c>
      <c r="P36" s="356"/>
    </row>
    <row r="37" spans="1:17" x14ac:dyDescent="0.25">
      <c r="A37" s="431" t="s">
        <v>354</v>
      </c>
      <c r="B37" s="379">
        <f>B16-B35</f>
        <v>0</v>
      </c>
      <c r="C37" s="379">
        <f>C16-C35</f>
        <v>0</v>
      </c>
      <c r="D37" s="379">
        <f t="shared" ref="D37:M37" si="6">D16-D35</f>
        <v>0</v>
      </c>
      <c r="E37" s="379">
        <f t="shared" si="6"/>
        <v>0</v>
      </c>
      <c r="F37" s="379">
        <f t="shared" si="6"/>
        <v>0</v>
      </c>
      <c r="G37" s="379">
        <f t="shared" si="6"/>
        <v>0</v>
      </c>
      <c r="H37" s="379">
        <f t="shared" si="6"/>
        <v>0</v>
      </c>
      <c r="I37" s="379">
        <f>I16-I35</f>
        <v>0</v>
      </c>
      <c r="J37" s="379">
        <f>J16-J35</f>
        <v>0</v>
      </c>
      <c r="K37" s="599">
        <f>K16-K35</f>
        <v>0</v>
      </c>
      <c r="L37" s="379">
        <f t="shared" si="6"/>
        <v>0</v>
      </c>
      <c r="M37" s="599">
        <f t="shared" si="6"/>
        <v>0</v>
      </c>
      <c r="N37" s="379"/>
      <c r="O37" s="379"/>
    </row>
    <row r="38" spans="1:17" x14ac:dyDescent="0.25">
      <c r="B38" s="379"/>
      <c r="C38" s="379"/>
      <c r="D38" s="379"/>
      <c r="E38" s="379"/>
      <c r="F38" s="379"/>
      <c r="G38" s="379"/>
      <c r="H38" s="379"/>
      <c r="I38" s="379"/>
      <c r="J38" s="379"/>
      <c r="K38" s="599"/>
      <c r="L38" s="379"/>
      <c r="M38" s="599"/>
      <c r="N38" s="382"/>
    </row>
    <row r="39" spans="1:17" x14ac:dyDescent="0.25">
      <c r="B39" s="379"/>
    </row>
    <row r="40" spans="1:17" x14ac:dyDescent="0.25">
      <c r="B40" s="379"/>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7">
    <tabColor rgb="FFFFC000"/>
  </sheetPr>
  <dimension ref="A1:Q53"/>
  <sheetViews>
    <sheetView topLeftCell="A2" zoomScale="102" zoomScaleNormal="102" workbookViewId="0">
      <pane xSplit="2" ySplit="8" topLeftCell="C26" activePane="bottomRight" state="frozen"/>
      <selection activeCell="D4" sqref="D4"/>
      <selection pane="topRight" activeCell="D4" sqref="D4"/>
      <selection pane="bottomLeft" activeCell="D4" sqref="D4"/>
      <selection pane="bottomRight" activeCell="C40" sqref="C38:C40"/>
    </sheetView>
  </sheetViews>
  <sheetFormatPr baseColWidth="10" defaultColWidth="11.5703125" defaultRowHeight="15" x14ac:dyDescent="0.25"/>
  <cols>
    <col min="1" max="1" width="49.42578125" style="48" bestFit="1" customWidth="1"/>
    <col min="2" max="2" width="20.7109375" style="48" customWidth="1"/>
    <col min="3" max="6" width="23.5703125" style="48" customWidth="1"/>
    <col min="7" max="7" width="17.85546875" style="48" bestFit="1" customWidth="1"/>
    <col min="8" max="8" width="23.5703125" style="343" customWidth="1"/>
    <col min="9" max="12" width="23.5703125" style="48" customWidth="1"/>
    <col min="13" max="13" width="23.5703125" style="548" customWidth="1"/>
    <col min="14" max="14" width="23.5703125" style="48" customWidth="1"/>
    <col min="15" max="16" width="11.5703125" style="48"/>
    <col min="17" max="17" width="17.42578125" style="48" customWidth="1"/>
    <col min="18" max="16384" width="11.5703125" style="48"/>
  </cols>
  <sheetData>
    <row r="1" spans="1:17" ht="39.75" customHeight="1" x14ac:dyDescent="0.25">
      <c r="A1" s="316"/>
      <c r="B1" s="316"/>
      <c r="C1" s="316"/>
      <c r="D1" s="316"/>
      <c r="E1" s="316"/>
      <c r="F1" s="316"/>
      <c r="H1" s="345"/>
    </row>
    <row r="2" spans="1:17" ht="26.25" x14ac:dyDescent="0.25">
      <c r="A2" s="317" t="s">
        <v>339</v>
      </c>
      <c r="B2" s="317"/>
      <c r="C2" s="317"/>
      <c r="D2" s="317"/>
      <c r="E2" s="317"/>
      <c r="F2" s="317"/>
      <c r="H2" s="346"/>
    </row>
    <row r="3" spans="1:17" ht="21" x14ac:dyDescent="0.25">
      <c r="A3" s="318" t="s">
        <v>342</v>
      </c>
      <c r="B3" s="318"/>
      <c r="C3" s="318"/>
      <c r="D3" s="318"/>
      <c r="E3" s="318"/>
      <c r="F3" s="318"/>
      <c r="H3" s="347"/>
    </row>
    <row r="4" spans="1:17" ht="17.25" x14ac:dyDescent="0.25">
      <c r="A4" s="319" t="s">
        <v>381</v>
      </c>
      <c r="B4" s="319"/>
      <c r="C4" s="581"/>
      <c r="D4" s="581"/>
      <c r="E4" s="581"/>
      <c r="F4" s="581"/>
      <c r="G4" s="581"/>
      <c r="H4" s="581"/>
      <c r="I4" s="581"/>
      <c r="J4" s="581"/>
      <c r="K4" s="581"/>
      <c r="L4" s="581"/>
      <c r="M4" s="581"/>
      <c r="N4" s="581"/>
      <c r="O4" s="415"/>
    </row>
    <row r="5" spans="1:17" x14ac:dyDescent="0.25">
      <c r="A5" s="320" t="s">
        <v>340</v>
      </c>
      <c r="B5" s="320"/>
      <c r="C5" s="582"/>
      <c r="D5" s="582"/>
      <c r="E5" s="582"/>
      <c r="F5" s="582"/>
      <c r="G5" s="582"/>
      <c r="H5" s="582"/>
      <c r="I5" s="582"/>
      <c r="J5" s="582"/>
      <c r="K5" s="582"/>
      <c r="L5" s="582"/>
      <c r="M5" s="582"/>
      <c r="N5" s="582"/>
      <c r="O5" s="415"/>
    </row>
    <row r="6" spans="1:17" x14ac:dyDescent="0.25">
      <c r="C6" s="415"/>
      <c r="D6" s="415"/>
      <c r="E6" s="415"/>
      <c r="F6" s="415"/>
      <c r="G6" s="415"/>
      <c r="H6" s="415"/>
      <c r="I6" s="415"/>
      <c r="J6" s="415"/>
      <c r="K6" s="415"/>
      <c r="L6" s="415"/>
      <c r="M6" s="415"/>
      <c r="N6" s="415"/>
      <c r="O6" s="415"/>
    </row>
    <row r="7" spans="1:17" ht="15.75" thickBot="1" x14ac:dyDescent="0.3">
      <c r="B7" s="356"/>
      <c r="C7" s="587"/>
      <c r="D7" s="587"/>
      <c r="E7" s="587"/>
      <c r="F7" s="587"/>
      <c r="G7" s="587"/>
      <c r="H7" s="587"/>
      <c r="I7" s="587"/>
      <c r="J7" s="587"/>
      <c r="K7" s="587"/>
      <c r="L7" s="587"/>
      <c r="M7" s="589"/>
      <c r="N7" s="587"/>
      <c r="O7" s="415"/>
    </row>
    <row r="8" spans="1:17" ht="19.5" customHeight="1" thickBot="1" x14ac:dyDescent="0.3">
      <c r="A8" s="85"/>
      <c r="B8" s="86"/>
      <c r="C8" s="677" t="s">
        <v>294</v>
      </c>
      <c r="D8" s="678"/>
      <c r="E8" s="678"/>
      <c r="F8" s="678"/>
      <c r="G8" s="678"/>
      <c r="H8" s="678"/>
      <c r="I8" s="678"/>
      <c r="J8" s="678"/>
      <c r="K8" s="678"/>
      <c r="L8" s="678"/>
      <c r="M8" s="678"/>
      <c r="N8" s="678"/>
    </row>
    <row r="9" spans="1:17" ht="30" x14ac:dyDescent="0.3">
      <c r="A9" s="87" t="s">
        <v>295</v>
      </c>
      <c r="B9" s="103" t="s">
        <v>128</v>
      </c>
      <c r="C9" s="15" t="s">
        <v>119</v>
      </c>
      <c r="D9" s="15" t="s">
        <v>74</v>
      </c>
      <c r="E9" s="15" t="s">
        <v>120</v>
      </c>
      <c r="F9" s="15" t="s">
        <v>121</v>
      </c>
      <c r="G9" s="15" t="s">
        <v>127</v>
      </c>
      <c r="H9" s="15" t="s">
        <v>122</v>
      </c>
      <c r="I9" s="15" t="s">
        <v>76</v>
      </c>
      <c r="J9" s="15" t="s">
        <v>123</v>
      </c>
      <c r="K9" s="15" t="s">
        <v>124</v>
      </c>
      <c r="L9" s="15" t="s">
        <v>125</v>
      </c>
      <c r="M9" s="15" t="s">
        <v>365</v>
      </c>
      <c r="N9" s="15" t="s">
        <v>126</v>
      </c>
    </row>
    <row r="10" spans="1:17" x14ac:dyDescent="0.25">
      <c r="A10" s="81" t="s">
        <v>343</v>
      </c>
      <c r="B10" s="416">
        <f>SUM(C10:N10)</f>
        <v>36325312.177859992</v>
      </c>
      <c r="C10" s="416">
        <f>'descarga ER'!G4/1000</f>
        <v>2653382.4546599998</v>
      </c>
      <c r="D10" s="416">
        <f>'descarga ER'!L4/1000</f>
        <v>1940238.0438200003</v>
      </c>
      <c r="E10" s="416">
        <f>'descarga ER'!K4/1000</f>
        <v>5624784.0073100002</v>
      </c>
      <c r="F10" s="416">
        <f>'descarga ER'!I4/1000</f>
        <v>7915292.9650499988</v>
      </c>
      <c r="G10" s="416">
        <f>'descarga ER'!E4/1000</f>
        <v>977982.0875599999</v>
      </c>
      <c r="H10" s="416">
        <f>'descarga ER'!C4/1000</f>
        <v>5188082.845660001</v>
      </c>
      <c r="I10" s="416">
        <f>'descarga ER'!F4/1000</f>
        <v>3150174.9462599996</v>
      </c>
      <c r="J10" s="416">
        <f>'descarga ER'!H4/1000</f>
        <v>977819.67411000002</v>
      </c>
      <c r="K10" s="416">
        <f>'descarga ER'!M4/1000</f>
        <v>2952691.8167900001</v>
      </c>
      <c r="L10" s="416">
        <f>'descarga ER'!J4/1000</f>
        <v>896872.68459000019</v>
      </c>
      <c r="M10" s="416">
        <f>'descarga ER'!D4/1000</f>
        <v>937078.06833999988</v>
      </c>
      <c r="N10" s="416">
        <f>'descarga ER'!B4/1000</f>
        <v>3110912.5837099995</v>
      </c>
      <c r="O10" s="356"/>
      <c r="P10" s="415"/>
      <c r="Q10" s="415"/>
    </row>
    <row r="11" spans="1:17" ht="15.75" x14ac:dyDescent="0.3">
      <c r="A11" s="82" t="s">
        <v>335</v>
      </c>
      <c r="B11" s="418"/>
      <c r="C11" s="418"/>
      <c r="D11" s="418"/>
      <c r="E11" s="418"/>
      <c r="F11" s="418"/>
      <c r="G11" s="418"/>
      <c r="H11" s="418"/>
      <c r="I11" s="418"/>
      <c r="J11" s="418"/>
      <c r="K11" s="418"/>
      <c r="L11" s="418"/>
      <c r="M11" s="564"/>
      <c r="N11" s="418"/>
    </row>
    <row r="12" spans="1:17" ht="15.75" x14ac:dyDescent="0.3">
      <c r="A12" s="83" t="s">
        <v>27</v>
      </c>
      <c r="B12" s="418">
        <f t="shared" ref="B12:B20" si="0">SUM(C12:N12)</f>
        <v>24934750.66082</v>
      </c>
      <c r="C12" s="418">
        <f>'descarga ER'!G6/1000</f>
        <v>1889732.1667500001</v>
      </c>
      <c r="D12" s="418">
        <f>'descarga ER'!L6/1000</f>
        <v>1452699.6942499999</v>
      </c>
      <c r="E12" s="418">
        <f>'descarga ER'!K6/1000</f>
        <v>3981055.3113699998</v>
      </c>
      <c r="F12" s="418">
        <f>'descarga ER'!I6/1000</f>
        <v>5389912.0713999998</v>
      </c>
      <c r="G12" s="418">
        <f>'descarga ER'!E6/1000</f>
        <v>680884.58262999996</v>
      </c>
      <c r="H12" s="418">
        <f>'descarga ER'!C6/1000</f>
        <v>3801558.9285999998</v>
      </c>
      <c r="I12" s="418">
        <f>'descarga ER'!F6/1000</f>
        <v>2304938.0767899998</v>
      </c>
      <c r="J12" s="418">
        <f>'descarga ER'!H6/1000</f>
        <v>644743.76774000004</v>
      </c>
      <c r="K12" s="418">
        <f>'descarga ER'!M6/1000</f>
        <v>2143066.7713899999</v>
      </c>
      <c r="L12" s="418">
        <f>'descarga ER'!J6/1000</f>
        <v>592251.25146000006</v>
      </c>
      <c r="M12" s="418">
        <f>'descarga ER'!D6/1000</f>
        <v>619332.70117999997</v>
      </c>
      <c r="N12" s="418">
        <f>'descarga ER'!B6/1000</f>
        <v>1434575.3372599999</v>
      </c>
      <c r="O12" s="415"/>
    </row>
    <row r="13" spans="1:17" ht="15.75" x14ac:dyDescent="0.3">
      <c r="A13" s="83" t="s">
        <v>135</v>
      </c>
      <c r="B13" s="418">
        <f t="shared" si="0"/>
        <v>2660231.2959400006</v>
      </c>
      <c r="C13" s="418">
        <f>'descarga ER'!G7/1000</f>
        <v>145569.17434999999</v>
      </c>
      <c r="D13" s="418">
        <f>'descarga ER'!L7/1000</f>
        <v>16445.07905</v>
      </c>
      <c r="E13" s="418">
        <f>'descarga ER'!K7/1000</f>
        <v>684891.86834000004</v>
      </c>
      <c r="F13" s="418">
        <f>'descarga ER'!I7/1000</f>
        <v>631564.08996000001</v>
      </c>
      <c r="G13" s="418">
        <f>'descarga ER'!E7/1000</f>
        <v>11419.65453</v>
      </c>
      <c r="H13" s="418">
        <f>'descarga ER'!C7/1000</f>
        <v>377924.23213999998</v>
      </c>
      <c r="I13" s="418">
        <f>'descarga ER'!F7/1000</f>
        <v>239846.28477999999</v>
      </c>
      <c r="J13" s="418">
        <f>'descarga ER'!H7/1000</f>
        <v>763.69441000000006</v>
      </c>
      <c r="K13" s="418">
        <f>'descarga ER'!M7/1000</f>
        <v>191763.91819</v>
      </c>
      <c r="L13" s="418">
        <f>'descarga ER'!J7/1000</f>
        <v>108109.91232999999</v>
      </c>
      <c r="M13" s="418">
        <f>'descarga ER'!D7/1000</f>
        <v>61221.127509999998</v>
      </c>
      <c r="N13" s="418">
        <f>'descarga ER'!B7/1000</f>
        <v>190712.26035</v>
      </c>
    </row>
    <row r="14" spans="1:17" ht="15.75" x14ac:dyDescent="0.3">
      <c r="A14" s="83" t="s">
        <v>133</v>
      </c>
      <c r="B14" s="418">
        <f t="shared" si="0"/>
        <v>1176319.5832300002</v>
      </c>
      <c r="C14" s="418">
        <f>'descarga ER'!G8/1000</f>
        <v>82669.7408</v>
      </c>
      <c r="D14" s="418">
        <f>'descarga ER'!L8/1000</f>
        <v>15357.84375</v>
      </c>
      <c r="E14" s="418">
        <f>'descarga ER'!K8/1000</f>
        <v>52166.217119999994</v>
      </c>
      <c r="F14" s="418">
        <f>'descarga ER'!I8/1000</f>
        <v>186906.23422000001</v>
      </c>
      <c r="G14" s="418">
        <f>'descarga ER'!E8/1000</f>
        <v>80459.701230000006</v>
      </c>
      <c r="H14" s="418">
        <f>'descarga ER'!C8/1000</f>
        <v>336913.99347000004</v>
      </c>
      <c r="I14" s="418">
        <f>'descarga ER'!F8/1000</f>
        <v>91232.187890000001</v>
      </c>
      <c r="J14" s="418">
        <f>'descarga ER'!H8/1000</f>
        <v>148490.80049000002</v>
      </c>
      <c r="K14" s="418">
        <f>'descarga ER'!M8/1000</f>
        <v>108937.73443000001</v>
      </c>
      <c r="L14" s="418">
        <f>'descarga ER'!J8/1000</f>
        <v>33237.792150000001</v>
      </c>
      <c r="M14" s="418">
        <f>'descarga ER'!D8/1000</f>
        <v>30623.865750000001</v>
      </c>
      <c r="N14" s="418">
        <f>'descarga ER'!B8/1000</f>
        <v>9323.4719299999997</v>
      </c>
    </row>
    <row r="15" spans="1:17" ht="15.75" x14ac:dyDescent="0.3">
      <c r="A15" s="83" t="s">
        <v>138</v>
      </c>
      <c r="B15" s="418">
        <f t="shared" si="0"/>
        <v>4786174.1057400005</v>
      </c>
      <c r="C15" s="418">
        <f>'descarga ER'!G9/1000</f>
        <v>209962.96275000001</v>
      </c>
      <c r="D15" s="418">
        <f>'descarga ER'!L9/1000</f>
        <v>208059.06746000002</v>
      </c>
      <c r="E15" s="418">
        <f>'descarga ER'!K9/1000</f>
        <v>606842.93497000006</v>
      </c>
      <c r="F15" s="418">
        <f>'descarga ER'!I9/1000</f>
        <v>1222930.17447</v>
      </c>
      <c r="G15" s="418">
        <f>'descarga ER'!E9/1000</f>
        <v>20779.796569999999</v>
      </c>
      <c r="H15" s="418">
        <f>'descarga ER'!C9/1000</f>
        <v>302789.96838999999</v>
      </c>
      <c r="I15" s="418">
        <f>'descarga ER'!F9/1000</f>
        <v>288582.49057999998</v>
      </c>
      <c r="J15" s="418">
        <f>'descarga ER'!H9/1000</f>
        <v>46570.307540000002</v>
      </c>
      <c r="K15" s="418">
        <f>'descarga ER'!M9/1000</f>
        <v>314914.2341</v>
      </c>
      <c r="L15" s="418">
        <f>'descarga ER'!J9/1000</f>
        <v>40847.752759999996</v>
      </c>
      <c r="M15" s="418">
        <f>'descarga ER'!D9/1000</f>
        <v>113392.53290999999</v>
      </c>
      <c r="N15" s="418">
        <f>'descarga ER'!B9/1000</f>
        <v>1410501.8832400001</v>
      </c>
    </row>
    <row r="16" spans="1:17" ht="15.75" x14ac:dyDescent="0.3">
      <c r="A16" s="83" t="s">
        <v>139</v>
      </c>
      <c r="B16" s="418">
        <f t="shared" si="0"/>
        <v>447803.87402000005</v>
      </c>
      <c r="C16" s="418">
        <f>'descarga ER'!G10/1000</f>
        <v>52158.335209999997</v>
      </c>
      <c r="D16" s="418">
        <f>'descarga ER'!L10/1000</f>
        <v>0</v>
      </c>
      <c r="E16" s="418">
        <f>'descarga ER'!K10/1000</f>
        <v>47869.480450000003</v>
      </c>
      <c r="F16" s="418">
        <f>'descarga ER'!I10/1000</f>
        <v>77572.825290000008</v>
      </c>
      <c r="G16" s="418">
        <f>'descarga ER'!E10/1000</f>
        <v>43487.980060000002</v>
      </c>
      <c r="H16" s="418">
        <f>'descarga ER'!C10/1000</f>
        <v>80733.647870000001</v>
      </c>
      <c r="I16" s="418">
        <f>'descarga ER'!F10/1000</f>
        <v>61916.486020000004</v>
      </c>
      <c r="J16" s="418">
        <f>'descarga ER'!H10/1000</f>
        <v>2124.6269600000001</v>
      </c>
      <c r="K16" s="418">
        <f>'descarga ER'!M10/1000</f>
        <v>47657.134460000001</v>
      </c>
      <c r="L16" s="418">
        <f>'descarga ER'!J10/1000</f>
        <v>16224.28557</v>
      </c>
      <c r="M16" s="418">
        <f>'descarga ER'!D10/1000</f>
        <v>13438.7727</v>
      </c>
      <c r="N16" s="418">
        <f>'descarga ER'!B10/1000</f>
        <v>4620.29943</v>
      </c>
    </row>
    <row r="17" spans="1:17" ht="15.75" x14ac:dyDescent="0.3">
      <c r="A17" s="83" t="s">
        <v>144</v>
      </c>
      <c r="B17" s="418">
        <f t="shared" si="0"/>
        <v>385081.83101000008</v>
      </c>
      <c r="C17" s="418">
        <f>'descarga ER'!G11/1000</f>
        <v>27896.873789999998</v>
      </c>
      <c r="D17" s="418">
        <f>'descarga ER'!L11/1000</f>
        <v>60038.736899999996</v>
      </c>
      <c r="E17" s="418">
        <f>'descarga ER'!K11/1000</f>
        <v>30535.813539999999</v>
      </c>
      <c r="F17" s="418">
        <f>'descarga ER'!I11/1000</f>
        <v>87675.427030000006</v>
      </c>
      <c r="G17" s="418">
        <f>'descarga ER'!E11/1000</f>
        <v>17317.837909999998</v>
      </c>
      <c r="H17" s="418">
        <f>'descarga ER'!C11/1000</f>
        <v>26774.102890000002</v>
      </c>
      <c r="I17" s="418">
        <f>'descarga ER'!F11/1000</f>
        <v>28122.90235</v>
      </c>
      <c r="J17" s="418">
        <f>'descarga ER'!H11/1000</f>
        <v>15745.03635</v>
      </c>
      <c r="K17" s="418">
        <f>'descarga ER'!M11/1000</f>
        <v>21304.047609999998</v>
      </c>
      <c r="L17" s="418">
        <f>'descarga ER'!J11/1000</f>
        <v>34032.038420000004</v>
      </c>
      <c r="M17" s="418">
        <f>'descarga ER'!D11/1000</f>
        <v>13728.678970000001</v>
      </c>
      <c r="N17" s="418">
        <f>'descarga ER'!B11/1000</f>
        <v>21910.33525</v>
      </c>
    </row>
    <row r="18" spans="1:17" ht="15.75" x14ac:dyDescent="0.3">
      <c r="A18" s="83" t="s">
        <v>344</v>
      </c>
      <c r="B18" s="418">
        <f t="shared" si="0"/>
        <v>1802427.1362700001</v>
      </c>
      <c r="C18" s="418">
        <f>'descarga ER'!G12/1000</f>
        <v>230255.60188</v>
      </c>
      <c r="D18" s="418">
        <f>'descarga ER'!L12/1000</f>
        <v>183843.55442</v>
      </c>
      <c r="E18" s="418">
        <f>'descarga ER'!K12/1000</f>
        <v>198090.11009</v>
      </c>
      <c r="F18" s="418">
        <f>'descarga ER'!I12/1000</f>
        <v>276346.83773999999</v>
      </c>
      <c r="G18" s="418">
        <f>'descarga ER'!E12/1000</f>
        <v>114465.78135999999</v>
      </c>
      <c r="H18" s="418">
        <f>'descarga ER'!C12/1000</f>
        <v>250830.50366999998</v>
      </c>
      <c r="I18" s="418">
        <f>'descarga ER'!F12/1000</f>
        <v>128954.38165000001</v>
      </c>
      <c r="J18" s="418">
        <f>'descarga ER'!H12/1000</f>
        <v>116146.58739</v>
      </c>
      <c r="K18" s="418">
        <f>'descarga ER'!M12/1000</f>
        <v>119840.77129999999</v>
      </c>
      <c r="L18" s="418">
        <f>'descarga ER'!J12/1000</f>
        <v>69972.686189999993</v>
      </c>
      <c r="M18" s="418">
        <f>'descarga ER'!D12/1000</f>
        <v>83931.480290000007</v>
      </c>
      <c r="N18" s="418">
        <f>'descarga ER'!B12/1000</f>
        <v>29748.84029</v>
      </c>
    </row>
    <row r="19" spans="1:17" ht="15.75" x14ac:dyDescent="0.3">
      <c r="A19" s="83" t="s">
        <v>155</v>
      </c>
      <c r="B19" s="418">
        <f t="shared" si="0"/>
        <v>40027.958039999998</v>
      </c>
      <c r="C19" s="418">
        <f>'descarga ER'!G13/1000</f>
        <v>1388.6252299999999</v>
      </c>
      <c r="D19" s="418">
        <f>'descarga ER'!L13/1000</f>
        <v>0</v>
      </c>
      <c r="E19" s="418">
        <f>'descarga ER'!K13/1000</f>
        <v>13386.479660000001</v>
      </c>
      <c r="F19" s="418">
        <f>'descarga ER'!I13/1000</f>
        <v>19246.181539999998</v>
      </c>
      <c r="G19" s="418">
        <f>'descarga ER'!E13/1000</f>
        <v>0</v>
      </c>
      <c r="H19" s="418">
        <f>'descarga ER'!C13/1000</f>
        <v>3053.1031200000002</v>
      </c>
      <c r="I19" s="418">
        <f>'descarga ER'!F13/1000</f>
        <v>1197.24071</v>
      </c>
      <c r="J19" s="418">
        <f>'descarga ER'!H13/1000</f>
        <v>0</v>
      </c>
      <c r="K19" s="418">
        <f>'descarga ER'!M13/1000</f>
        <v>0</v>
      </c>
      <c r="L19" s="418">
        <f>'descarga ER'!J13/1000</f>
        <v>1089.1225900000002</v>
      </c>
      <c r="M19" s="418">
        <f>'descarga ER'!D13/1000</f>
        <v>660.78814999999997</v>
      </c>
      <c r="N19" s="418">
        <f>'descarga ER'!B13/1000</f>
        <v>6.4170400000000001</v>
      </c>
    </row>
    <row r="20" spans="1:17" ht="15.75" x14ac:dyDescent="0.3">
      <c r="A20" s="83" t="s">
        <v>152</v>
      </c>
      <c r="B20" s="418">
        <f t="shared" si="0"/>
        <v>92495.732790000009</v>
      </c>
      <c r="C20" s="418">
        <f>'descarga ER'!G14/1000</f>
        <v>13748.973900000001</v>
      </c>
      <c r="D20" s="418">
        <f>'descarga ER'!L14/1000</f>
        <v>3794.06799</v>
      </c>
      <c r="E20" s="418">
        <f>'descarga ER'!K14/1000</f>
        <v>9945.7917699999998</v>
      </c>
      <c r="F20" s="418">
        <f>'descarga ER'!I14/1000</f>
        <v>23139.123399999997</v>
      </c>
      <c r="G20" s="418">
        <f>'descarga ER'!E14/1000</f>
        <v>9166.7532699999992</v>
      </c>
      <c r="H20" s="418">
        <f>'descarga ER'!C14/1000</f>
        <v>7504.3655099999996</v>
      </c>
      <c r="I20" s="418">
        <f>'descarga ER'!F14/1000</f>
        <v>5384.8954899999999</v>
      </c>
      <c r="J20" s="418">
        <f>'descarga ER'!H14/1000</f>
        <v>3234.8532300000002</v>
      </c>
      <c r="K20" s="418">
        <f>'descarga ER'!M14/1000</f>
        <v>5207.2053099999994</v>
      </c>
      <c r="L20" s="418">
        <f>'descarga ER'!J14/1000</f>
        <v>1107.84312</v>
      </c>
      <c r="M20" s="418">
        <f>'descarga ER'!D14/1000</f>
        <v>748.12088000000006</v>
      </c>
      <c r="N20" s="418">
        <f>'descarga ER'!B14/1000</f>
        <v>9513.7389199999998</v>
      </c>
    </row>
    <row r="21" spans="1:17" ht="15.75" x14ac:dyDescent="0.3">
      <c r="A21" s="82"/>
      <c r="B21" s="441"/>
      <c r="C21" s="441"/>
      <c r="D21" s="441"/>
      <c r="E21" s="441"/>
      <c r="F21" s="441"/>
      <c r="G21" s="441"/>
      <c r="H21" s="441"/>
      <c r="I21" s="441"/>
      <c r="J21" s="441"/>
      <c r="K21" s="441"/>
      <c r="L21" s="441"/>
      <c r="M21" s="565"/>
      <c r="N21" s="441"/>
    </row>
    <row r="22" spans="1:17" x14ac:dyDescent="0.25">
      <c r="A22" s="81" t="s">
        <v>345</v>
      </c>
      <c r="B22" s="416">
        <f>SUM(C22:N22)</f>
        <v>34245062.042339996</v>
      </c>
      <c r="C22" s="416">
        <f>'descarga ER'!G16/1000</f>
        <v>2325013.3109800001</v>
      </c>
      <c r="D22" s="416">
        <f>'descarga ER'!L16/1000</f>
        <v>1751924.6320200001</v>
      </c>
      <c r="E22" s="416">
        <f>'descarga ER'!K16/1000</f>
        <v>5453436.0600800002</v>
      </c>
      <c r="F22" s="416">
        <f>'descarga ER'!I16/1000</f>
        <v>7561774.5630600005</v>
      </c>
      <c r="G22" s="416">
        <f>'descarga ER'!E16/1000</f>
        <v>937811.1415599999</v>
      </c>
      <c r="H22" s="416">
        <f>'descarga ER'!C16/1000</f>
        <v>4839420.3736799993</v>
      </c>
      <c r="I22" s="416">
        <f>'descarga ER'!F16/1000</f>
        <v>3018304.2845300003</v>
      </c>
      <c r="J22" s="416">
        <f>'descarga ER'!H16/1000</f>
        <v>822636.08599000005</v>
      </c>
      <c r="K22" s="416">
        <f>'descarga ER'!M16/1000</f>
        <v>2769826.3883000002</v>
      </c>
      <c r="L22" s="416">
        <f>'descarga ER'!J16/1000</f>
        <v>818672.36615000002</v>
      </c>
      <c r="M22" s="416">
        <f>'descarga ER'!D16/1000</f>
        <v>852690.42094999994</v>
      </c>
      <c r="N22" s="416">
        <f>'descarga ER'!B16/1000</f>
        <v>3093552.4150400003</v>
      </c>
    </row>
    <row r="23" spans="1:17" ht="15.75" x14ac:dyDescent="0.3">
      <c r="A23" s="82"/>
      <c r="B23" s="440"/>
      <c r="C23" s="418"/>
      <c r="D23" s="418"/>
      <c r="E23" s="418"/>
      <c r="F23" s="418"/>
      <c r="G23" s="418"/>
      <c r="H23" s="418"/>
      <c r="I23" s="418"/>
      <c r="J23" s="418"/>
      <c r="K23" s="418"/>
      <c r="L23" s="441"/>
      <c r="M23" s="564"/>
      <c r="N23" s="418"/>
    </row>
    <row r="24" spans="1:17" ht="15.75" x14ac:dyDescent="0.3">
      <c r="A24" s="83" t="s">
        <v>140</v>
      </c>
      <c r="B24" s="418">
        <f t="shared" ref="B24:B29" si="1">SUM(C24:N24)</f>
        <v>9027311.7579699997</v>
      </c>
      <c r="C24" s="418">
        <f>'descarga ER'!G18/1000</f>
        <v>671481.64197</v>
      </c>
      <c r="D24" s="418">
        <f>'descarga ER'!L18/1000</f>
        <v>587675.16532000003</v>
      </c>
      <c r="E24" s="418">
        <f>'descarga ER'!K18/1000</f>
        <v>1065711.9155900001</v>
      </c>
      <c r="F24" s="418">
        <f>'descarga ER'!I18/1000</f>
        <v>1773069.30562</v>
      </c>
      <c r="G24" s="418">
        <f>'descarga ER'!E18/1000</f>
        <v>237851.34236000001</v>
      </c>
      <c r="H24" s="418">
        <f>'descarga ER'!C18/1000</f>
        <v>1200002.82623</v>
      </c>
      <c r="I24" s="418">
        <f>'descarga ER'!F18/1000</f>
        <v>677590.38303000003</v>
      </c>
      <c r="J24" s="418">
        <f>'descarga ER'!H18/1000</f>
        <v>336422.71480999998</v>
      </c>
      <c r="K24" s="418">
        <f>'descarga ER'!M18/1000</f>
        <v>638841.10048999998</v>
      </c>
      <c r="L24" s="418">
        <f>'descarga ER'!J18/1000</f>
        <v>149506.94697999998</v>
      </c>
      <c r="M24" s="418">
        <f>'descarga ER'!D18/1000</f>
        <v>254945.78109999999</v>
      </c>
      <c r="N24" s="418">
        <f>'descarga ER'!B18/1000</f>
        <v>1434212.6344699999</v>
      </c>
      <c r="P24" s="8"/>
      <c r="Q24" s="381"/>
    </row>
    <row r="25" spans="1:17" ht="15.75" x14ac:dyDescent="0.3">
      <c r="A25" s="83" t="s">
        <v>346</v>
      </c>
      <c r="B25" s="418">
        <f t="shared" si="1"/>
        <v>11115913.42774</v>
      </c>
      <c r="C25" s="418">
        <f>'descarga ER'!G19/1000</f>
        <v>519517.73537000001</v>
      </c>
      <c r="D25" s="418">
        <f>'descarga ER'!L19/1000</f>
        <v>356069.34493000002</v>
      </c>
      <c r="E25" s="418">
        <f>'descarga ER'!K19/1000</f>
        <v>2223666.2179699996</v>
      </c>
      <c r="F25" s="418">
        <f>'descarga ER'!I19/1000</f>
        <v>3473344.32651</v>
      </c>
      <c r="G25" s="418">
        <f>'descarga ER'!E19/1000</f>
        <v>190834.55486999999</v>
      </c>
      <c r="H25" s="418">
        <f>'descarga ER'!C19/1000</f>
        <v>1152765.01269</v>
      </c>
      <c r="I25" s="418">
        <f>'descarga ER'!F19/1000</f>
        <v>928494.81669000001</v>
      </c>
      <c r="J25" s="418">
        <f>'descarga ER'!H19/1000</f>
        <v>16226.41051</v>
      </c>
      <c r="K25" s="418">
        <f>'descarga ER'!M19/1000</f>
        <v>804399.97320000001</v>
      </c>
      <c r="L25" s="418">
        <f>'descarga ER'!J19/1000</f>
        <v>249226.40594</v>
      </c>
      <c r="M25" s="418">
        <f>'descarga ER'!D19/1000</f>
        <v>238855.12540000002</v>
      </c>
      <c r="N25" s="418">
        <f>'descarga ER'!B19/1000</f>
        <v>962513.50365999993</v>
      </c>
      <c r="P25" s="8"/>
      <c r="Q25" s="381"/>
    </row>
    <row r="26" spans="1:17" ht="15.75" x14ac:dyDescent="0.3">
      <c r="A26" s="83" t="s">
        <v>347</v>
      </c>
      <c r="B26" s="418">
        <f t="shared" si="1"/>
        <v>1429589.9124800002</v>
      </c>
      <c r="C26" s="418">
        <f>'descarga ER'!G20/1000</f>
        <v>128007.99898</v>
      </c>
      <c r="D26" s="418">
        <f>'descarga ER'!L20/1000</f>
        <v>48159.785909999999</v>
      </c>
      <c r="E26" s="418">
        <f>'descarga ER'!K20/1000</f>
        <v>29027.9202</v>
      </c>
      <c r="F26" s="418">
        <f>'descarga ER'!I20/1000</f>
        <v>290346.14289999998</v>
      </c>
      <c r="G26" s="418">
        <f>'descarga ER'!E20/1000</f>
        <v>112415.31562000001</v>
      </c>
      <c r="H26" s="418">
        <f>'descarga ER'!C20/1000</f>
        <v>265182.24868999998</v>
      </c>
      <c r="I26" s="418">
        <f>'descarga ER'!F20/1000</f>
        <v>134947.59091</v>
      </c>
      <c r="J26" s="418">
        <f>'descarga ER'!H20/1000</f>
        <v>132554.41462999998</v>
      </c>
      <c r="K26" s="418">
        <f>'descarga ER'!M20/1000</f>
        <v>123196.96433</v>
      </c>
      <c r="L26" s="418">
        <f>'descarga ER'!J20/1000</f>
        <v>72759.16515999999</v>
      </c>
      <c r="M26" s="418">
        <f>'descarga ER'!D20/1000</f>
        <v>44587.367829999996</v>
      </c>
      <c r="N26" s="418">
        <f>'descarga ER'!B20/1000</f>
        <v>48404.997320000002</v>
      </c>
      <c r="P26" s="8"/>
      <c r="Q26" s="387"/>
    </row>
    <row r="27" spans="1:17" ht="15.75" x14ac:dyDescent="0.3">
      <c r="A27" s="83" t="s">
        <v>136</v>
      </c>
      <c r="B27" s="418">
        <f t="shared" si="1"/>
        <v>2620629.5108899996</v>
      </c>
      <c r="C27" s="418">
        <f>'descarga ER'!G21/1000</f>
        <v>300649.45729000005</v>
      </c>
      <c r="D27" s="418">
        <f>'descarga ER'!L21/1000</f>
        <v>321412.83604999998</v>
      </c>
      <c r="E27" s="418">
        <f>'descarga ER'!K21/1000</f>
        <v>607771.46380999999</v>
      </c>
      <c r="F27" s="418">
        <f>'descarga ER'!I21/1000</f>
        <v>460207.35801999999</v>
      </c>
      <c r="G27" s="418">
        <f>'descarga ER'!E21/1000</f>
        <v>71354.792079999999</v>
      </c>
      <c r="H27" s="418">
        <f>'descarga ER'!C21/1000</f>
        <v>215148.35345</v>
      </c>
      <c r="I27" s="418">
        <f>'descarga ER'!F21/1000</f>
        <v>235808.37425999998</v>
      </c>
      <c r="J27" s="418">
        <f>'descarga ER'!H21/1000</f>
        <v>9854.8842299999997</v>
      </c>
      <c r="K27" s="418">
        <f>'descarga ER'!M21/1000</f>
        <v>138524.97544000001</v>
      </c>
      <c r="L27" s="418">
        <f>'descarga ER'!J21/1000</f>
        <v>84531.445370000001</v>
      </c>
      <c r="M27" s="418">
        <f>'descarga ER'!D21/1000</f>
        <v>40594.442609999998</v>
      </c>
      <c r="N27" s="418">
        <f>'descarga ER'!B21/1000</f>
        <v>134771.12828</v>
      </c>
      <c r="P27" s="8"/>
      <c r="Q27" s="387"/>
    </row>
    <row r="28" spans="1:17" ht="15.75" x14ac:dyDescent="0.3">
      <c r="A28" s="83" t="s">
        <v>348</v>
      </c>
      <c r="B28" s="418">
        <f t="shared" si="1"/>
        <v>4753015.3419000003</v>
      </c>
      <c r="C28" s="418">
        <f>'descarga ER'!G22/1000</f>
        <v>264888.88464</v>
      </c>
      <c r="D28" s="418">
        <f>'descarga ER'!L22/1000</f>
        <v>2618.2190299999997</v>
      </c>
      <c r="E28" s="418">
        <f>'descarga ER'!K22/1000</f>
        <v>853568.85363999999</v>
      </c>
      <c r="F28" s="418">
        <f>'descarga ER'!I22/1000</f>
        <v>539108.79562999995</v>
      </c>
      <c r="G28" s="418">
        <f>'descarga ER'!E22/1000</f>
        <v>66756.269790000006</v>
      </c>
      <c r="H28" s="418">
        <f>'descarga ER'!C22/1000</f>
        <v>1063483.1059699999</v>
      </c>
      <c r="I28" s="418">
        <f>'descarga ER'!F22/1000</f>
        <v>641459.01792999997</v>
      </c>
      <c r="J28" s="418">
        <f>'descarga ER'!H22/1000</f>
        <v>47321.682820000002</v>
      </c>
      <c r="K28" s="418">
        <f>'descarga ER'!M22/1000</f>
        <v>767010.95014999993</v>
      </c>
      <c r="L28" s="418">
        <f>'descarga ER'!J22/1000</f>
        <v>77852.799569999988</v>
      </c>
      <c r="M28" s="418">
        <f>'descarga ER'!D22/1000</f>
        <v>74644.704590000008</v>
      </c>
      <c r="N28" s="418">
        <f>'descarga ER'!B22/1000</f>
        <v>354302.05813999998</v>
      </c>
      <c r="P28" s="535"/>
      <c r="Q28" s="387"/>
    </row>
    <row r="29" spans="1:17" ht="15.75" x14ac:dyDescent="0.3">
      <c r="A29" s="83" t="s">
        <v>141</v>
      </c>
      <c r="B29" s="418">
        <f t="shared" si="1"/>
        <v>23091.07044</v>
      </c>
      <c r="C29" s="418">
        <f>'descarga ER'!G23/1000</f>
        <v>0</v>
      </c>
      <c r="D29" s="418">
        <f>'descarga ER'!L23/1000</f>
        <v>0</v>
      </c>
      <c r="E29" s="418">
        <f>'descarga ER'!K23/1000</f>
        <v>0</v>
      </c>
      <c r="F29" s="418">
        <f>'descarga ER'!I23/1000</f>
        <v>16767.052889999999</v>
      </c>
      <c r="G29" s="418">
        <f>'descarga ER'!E23/1000</f>
        <v>0</v>
      </c>
      <c r="H29" s="418">
        <f>'descarga ER'!C23/1000</f>
        <v>0</v>
      </c>
      <c r="I29" s="418">
        <f>'descarga ER'!F23/1000</f>
        <v>0</v>
      </c>
      <c r="J29" s="418">
        <f>'descarga ER'!H23/1000</f>
        <v>0</v>
      </c>
      <c r="K29" s="418">
        <f>'descarga ER'!M23/1000</f>
        <v>2311.3006600000003</v>
      </c>
      <c r="L29" s="418">
        <f>'descarga ER'!J23/1000</f>
        <v>0</v>
      </c>
      <c r="M29" s="418">
        <f>'descarga ER'!D23/1000</f>
        <v>0</v>
      </c>
      <c r="N29" s="418">
        <f>'descarga ER'!B23/1000</f>
        <v>4012.7168900000001</v>
      </c>
      <c r="P29" s="8"/>
      <c r="Q29" s="387"/>
    </row>
    <row r="30" spans="1:17" ht="15.75" x14ac:dyDescent="0.3">
      <c r="A30" s="83" t="s">
        <v>145</v>
      </c>
      <c r="B30" s="418">
        <f t="shared" ref="B30:B35" si="2">SUM(C30:N30)</f>
        <v>1695400.5170299998</v>
      </c>
      <c r="C30" s="418">
        <f>'descarga ER'!G24/1000</f>
        <v>121799.14529</v>
      </c>
      <c r="D30" s="418">
        <f>'descarga ER'!L24/1000</f>
        <v>158578.31769</v>
      </c>
      <c r="E30" s="418">
        <f>'descarga ER'!K24/1000</f>
        <v>160392.88363</v>
      </c>
      <c r="F30" s="418">
        <f>'descarga ER'!I24/1000</f>
        <v>314272.54783999996</v>
      </c>
      <c r="G30" s="418">
        <f>'descarga ER'!E24/1000</f>
        <v>73592.02906999999</v>
      </c>
      <c r="H30" s="418">
        <f>'descarga ER'!C24/1000</f>
        <v>298875.06289</v>
      </c>
      <c r="I30" s="418">
        <f>'descarga ER'!F24/1000</f>
        <v>142074.17705</v>
      </c>
      <c r="J30" s="418">
        <f>'descarga ER'!H24/1000</f>
        <v>139596.79848</v>
      </c>
      <c r="K30" s="418">
        <f>'descarga ER'!M24/1000</f>
        <v>113297.37383</v>
      </c>
      <c r="L30" s="418">
        <f>'descarga ER'!J24/1000</f>
        <v>45794.427439999999</v>
      </c>
      <c r="M30" s="418">
        <f>'descarga ER'!D24/1000</f>
        <v>83213.741689999995</v>
      </c>
      <c r="N30" s="418">
        <f>'descarga ER'!B24/1000</f>
        <v>43914.012130000003</v>
      </c>
      <c r="P30" s="8"/>
      <c r="Q30" s="387"/>
    </row>
    <row r="31" spans="1:17" ht="15.75" x14ac:dyDescent="0.3">
      <c r="A31" s="83" t="s">
        <v>150</v>
      </c>
      <c r="B31" s="418">
        <f t="shared" si="2"/>
        <v>256107.81481999997</v>
      </c>
      <c r="C31" s="418">
        <f>'descarga ER'!G25/1000</f>
        <v>43433.677380000001</v>
      </c>
      <c r="D31" s="418">
        <f>'descarga ER'!L25/1000</f>
        <v>18200.6034</v>
      </c>
      <c r="E31" s="418">
        <f>'descarga ER'!K25/1000</f>
        <v>52764.894610000003</v>
      </c>
      <c r="F31" s="418">
        <f>'descarga ER'!I25/1000</f>
        <v>24060.166249999998</v>
      </c>
      <c r="G31" s="418">
        <f>'descarga ER'!E25/1000</f>
        <v>39455.142679999997</v>
      </c>
      <c r="H31" s="418">
        <f>'descarga ER'!C25/1000</f>
        <v>15493.51606</v>
      </c>
      <c r="I31" s="418">
        <f>'descarga ER'!F25/1000</f>
        <v>34544.443359999997</v>
      </c>
      <c r="J31" s="418">
        <f>'descarga ER'!H25/1000</f>
        <v>974.07507999999996</v>
      </c>
      <c r="K31" s="418">
        <f>'descarga ER'!M25/1000</f>
        <v>6825.3270199999997</v>
      </c>
      <c r="L31" s="418">
        <f>'descarga ER'!J25/1000</f>
        <v>14030.043529999999</v>
      </c>
      <c r="M31" s="418">
        <f>'descarga ER'!D25/1000</f>
        <v>2190.8083900000001</v>
      </c>
      <c r="N31" s="418">
        <f>'descarga ER'!B25/1000</f>
        <v>4135.1170600000005</v>
      </c>
      <c r="P31" s="8"/>
      <c r="Q31" s="387"/>
    </row>
    <row r="32" spans="1:17" ht="15.75" x14ac:dyDescent="0.3">
      <c r="A32" s="83" t="s">
        <v>147</v>
      </c>
      <c r="B32" s="418">
        <f t="shared" si="2"/>
        <v>2634837.0680999993</v>
      </c>
      <c r="C32" s="418">
        <f>'descarga ER'!G26/1000</f>
        <v>186276.25878999999</v>
      </c>
      <c r="D32" s="418">
        <f>'descarga ER'!L26/1000</f>
        <v>208818.55525</v>
      </c>
      <c r="E32" s="418">
        <f>'descarga ER'!K26/1000</f>
        <v>356846.05893</v>
      </c>
      <c r="F32" s="418">
        <f>'descarga ER'!I26/1000</f>
        <v>564457.84205999994</v>
      </c>
      <c r="G32" s="418">
        <f>'descarga ER'!E26/1000</f>
        <v>135640.72224</v>
      </c>
      <c r="H32" s="418">
        <f>'descarga ER'!C26/1000</f>
        <v>511998.50498999999</v>
      </c>
      <c r="I32" s="418">
        <f>'descarga ER'!F26/1000</f>
        <v>164404.84941999998</v>
      </c>
      <c r="J32" s="418">
        <f>'descarga ER'!H26/1000</f>
        <v>105535.48714</v>
      </c>
      <c r="K32" s="418">
        <f>'descarga ER'!M26/1000</f>
        <v>128491.19231</v>
      </c>
      <c r="L32" s="418">
        <f>'descarga ER'!J26/1000</f>
        <v>101267.87027</v>
      </c>
      <c r="M32" s="418">
        <f>'descarga ER'!D26/1000</f>
        <v>92608.545620000004</v>
      </c>
      <c r="N32" s="418">
        <f>'descarga ER'!B26/1000</f>
        <v>78491.181079999995</v>
      </c>
      <c r="P32" s="8"/>
      <c r="Q32" s="387"/>
    </row>
    <row r="33" spans="1:17" ht="15.75" x14ac:dyDescent="0.3">
      <c r="A33" s="83" t="s">
        <v>349</v>
      </c>
      <c r="B33" s="418">
        <f t="shared" si="2"/>
        <v>17700.964690000001</v>
      </c>
      <c r="C33" s="418">
        <f>'descarga ER'!G27/1000</f>
        <v>0</v>
      </c>
      <c r="D33" s="418">
        <f>'descarga ER'!L27/1000</f>
        <v>1593.55801</v>
      </c>
      <c r="E33" s="418">
        <f>'descarga ER'!K27/1000</f>
        <v>1845.0128500000001</v>
      </c>
      <c r="F33" s="418">
        <f>'descarga ER'!I27/1000</f>
        <v>417.48631</v>
      </c>
      <c r="G33" s="418">
        <f>'descarga ER'!E27/1000</f>
        <v>115.37598</v>
      </c>
      <c r="H33" s="418">
        <f>'descarga ER'!C27/1000</f>
        <v>2891.1762699999999</v>
      </c>
      <c r="I33" s="418">
        <f>'descarga ER'!F27/1000</f>
        <v>5295.3060400000004</v>
      </c>
      <c r="J33" s="418">
        <f>'descarga ER'!H27/1000</f>
        <v>0</v>
      </c>
      <c r="K33" s="418">
        <f>'descarga ER'!M27/1000</f>
        <v>0</v>
      </c>
      <c r="L33" s="418">
        <f>'descarga ER'!J27/1000</f>
        <v>576.51823000000002</v>
      </c>
      <c r="M33" s="418">
        <f>'descarga ER'!D27/1000</f>
        <v>4965.9205400000001</v>
      </c>
      <c r="N33" s="418">
        <f>'descarga ER'!B27/1000</f>
        <v>0.61046</v>
      </c>
      <c r="P33" s="8"/>
      <c r="Q33" s="387"/>
    </row>
    <row r="34" spans="1:17" ht="15.75" x14ac:dyDescent="0.3">
      <c r="A34" s="83" t="s">
        <v>350</v>
      </c>
      <c r="B34" s="418">
        <f t="shared" si="2"/>
        <v>625931.77787999995</v>
      </c>
      <c r="C34" s="418">
        <f>'descarga ER'!G28/1000</f>
        <v>88958.511270000003</v>
      </c>
      <c r="D34" s="418">
        <f>'descarga ER'!L28/1000</f>
        <v>48798.246429999999</v>
      </c>
      <c r="E34" s="418">
        <f>'descarga ER'!K28/1000</f>
        <v>67407.284360000005</v>
      </c>
      <c r="F34" s="418">
        <f>'descarga ER'!I28/1000</f>
        <v>104312.25964</v>
      </c>
      <c r="G34" s="418">
        <f>'descarga ER'!E28/1000</f>
        <v>9199.4118800000015</v>
      </c>
      <c r="H34" s="418">
        <f>'descarga ER'!C28/1000</f>
        <v>113578.42103</v>
      </c>
      <c r="I34" s="418">
        <f>'descarga ER'!F28/1000</f>
        <v>44708.578179999997</v>
      </c>
      <c r="J34" s="418">
        <f>'descarga ER'!H28/1000</f>
        <v>34149.618289999999</v>
      </c>
      <c r="K34" s="418">
        <f>'descarga ER'!M28/1000</f>
        <v>46894.06134</v>
      </c>
      <c r="L34" s="418">
        <f>'descarga ER'!J28/1000</f>
        <v>23106.985760000003</v>
      </c>
      <c r="M34" s="418">
        <f>'descarga ER'!D28/1000</f>
        <v>16083.983179999999</v>
      </c>
      <c r="N34" s="418">
        <f>'descarga ER'!B28/1000</f>
        <v>28734.416519999999</v>
      </c>
      <c r="P34" s="8"/>
      <c r="Q34" s="387"/>
    </row>
    <row r="35" spans="1:17" ht="15.75" x14ac:dyDescent="0.3">
      <c r="A35" s="83" t="s">
        <v>153</v>
      </c>
      <c r="B35" s="418">
        <f t="shared" si="2"/>
        <v>45532.878400000001</v>
      </c>
      <c r="C35" s="418">
        <f>'descarga ER'!G29/1000</f>
        <v>0</v>
      </c>
      <c r="D35" s="418">
        <f>'descarga ER'!L29/1000</f>
        <v>0</v>
      </c>
      <c r="E35" s="418">
        <f>'descarga ER'!K29/1000</f>
        <v>34433.554490000002</v>
      </c>
      <c r="F35" s="418">
        <f>'descarga ER'!I29/1000</f>
        <v>1411.2793899999999</v>
      </c>
      <c r="G35" s="418">
        <f>'descarga ER'!E29/1000</f>
        <v>596.18498999999997</v>
      </c>
      <c r="H35" s="418">
        <f>'descarga ER'!C29/1000</f>
        <v>2.14541</v>
      </c>
      <c r="I35" s="418">
        <f>'descarga ER'!F29/1000</f>
        <v>8976.7476600000009</v>
      </c>
      <c r="J35" s="418">
        <f>'descarga ER'!H29/1000</f>
        <v>0</v>
      </c>
      <c r="K35" s="418">
        <f>'descarga ER'!M29/1000</f>
        <v>33.169530000000002</v>
      </c>
      <c r="L35" s="418">
        <f>'descarga ER'!J29/1000</f>
        <v>19.757900000000003</v>
      </c>
      <c r="M35" s="418">
        <f>'descarga ER'!D29/1000</f>
        <v>0</v>
      </c>
      <c r="N35" s="418">
        <f>'descarga ER'!B29/1000</f>
        <v>60.039029999999997</v>
      </c>
      <c r="P35" s="8"/>
      <c r="Q35" s="387"/>
    </row>
    <row r="36" spans="1:17" ht="15.75" x14ac:dyDescent="0.3">
      <c r="A36" s="82"/>
      <c r="B36" s="418"/>
      <c r="C36" s="418"/>
      <c r="D36" s="418"/>
      <c r="E36" s="418"/>
      <c r="F36" s="418"/>
      <c r="G36" s="418"/>
      <c r="H36" s="418"/>
      <c r="I36" s="418"/>
      <c r="J36" s="418"/>
      <c r="K36" s="418"/>
      <c r="L36" s="418"/>
      <c r="M36" s="564"/>
      <c r="N36" s="418"/>
      <c r="P36" s="8"/>
      <c r="Q36" s="387"/>
    </row>
    <row r="37" spans="1:17" ht="16.5" thickBot="1" x14ac:dyDescent="0.35">
      <c r="A37" s="84" t="s">
        <v>351</v>
      </c>
      <c r="B37" s="419">
        <f>SUM(C37:N37)</f>
        <v>2080250.1355199995</v>
      </c>
      <c r="C37" s="420">
        <f>'descarga ER'!G32/1000</f>
        <v>328369.1436799998</v>
      </c>
      <c r="D37" s="420">
        <f>'descarga ER'!L32/1000</f>
        <v>188313.41179999994</v>
      </c>
      <c r="E37" s="420">
        <f>'descarga ER'!K32/1000</f>
        <v>171347.94723000049</v>
      </c>
      <c r="F37" s="420">
        <f>'descarga ER'!I32/1000</f>
        <v>353518.40198999882</v>
      </c>
      <c r="G37" s="420">
        <f>'descarga ER'!E32/1000</f>
        <v>40170.946000000004</v>
      </c>
      <c r="H37" s="420">
        <f>'descarga ER'!C32/1000</f>
        <v>348662.47198000143</v>
      </c>
      <c r="I37" s="420">
        <f>'descarga ER'!F32/1000</f>
        <v>131870.66172999956</v>
      </c>
      <c r="J37" s="420">
        <f>'descarga ER'!H32/1000</f>
        <v>155183.58812</v>
      </c>
      <c r="K37" s="420">
        <f>'descarga ER'!M32/1000</f>
        <v>182865.42848999976</v>
      </c>
      <c r="L37" s="420">
        <f>'descarga ER'!J32/1000</f>
        <v>78200.318440000177</v>
      </c>
      <c r="M37" s="420">
        <f>'descarga ER'!D32/1000</f>
        <v>84387.647389999984</v>
      </c>
      <c r="N37" s="420">
        <f>'descarga ER'!B32/1000</f>
        <v>17360.168669999122</v>
      </c>
      <c r="Q37" s="387"/>
    </row>
    <row r="38" spans="1:17" ht="15.75" x14ac:dyDescent="0.3">
      <c r="B38" s="356"/>
      <c r="E38" s="61"/>
      <c r="K38" s="356"/>
      <c r="Q38" s="364"/>
    </row>
    <row r="39" spans="1:17" hidden="1" x14ac:dyDescent="0.25">
      <c r="C39" s="61">
        <f>C21-C34</f>
        <v>-88958.511270000003</v>
      </c>
      <c r="D39" s="61">
        <f>D21-D34</f>
        <v>-48798.246429999999</v>
      </c>
      <c r="E39" s="61"/>
      <c r="F39" s="61">
        <f t="shared" ref="F39:N39" si="3">F21-F34</f>
        <v>-104312.25964</v>
      </c>
      <c r="H39" s="348">
        <f t="shared" si="3"/>
        <v>-113578.42103</v>
      </c>
      <c r="I39" s="61">
        <f t="shared" si="3"/>
        <v>-44708.578179999997</v>
      </c>
      <c r="J39" s="61">
        <f t="shared" si="3"/>
        <v>-34149.618289999999</v>
      </c>
      <c r="K39" s="61">
        <f>K21-K34</f>
        <v>-46894.06134</v>
      </c>
      <c r="L39" s="61">
        <f t="shared" si="3"/>
        <v>-23106.985760000003</v>
      </c>
      <c r="M39" s="566">
        <f t="shared" si="3"/>
        <v>-16083.983179999999</v>
      </c>
      <c r="N39" s="61">
        <f t="shared" si="3"/>
        <v>-28734.416519999999</v>
      </c>
    </row>
    <row r="40" spans="1:17" x14ac:dyDescent="0.25">
      <c r="B40" s="356"/>
      <c r="C40" s="356"/>
      <c r="D40" s="356"/>
      <c r="E40" s="356"/>
      <c r="F40" s="356"/>
      <c r="G40" s="356"/>
      <c r="H40" s="356"/>
      <c r="I40" s="356"/>
      <c r="J40" s="356"/>
      <c r="K40" s="356"/>
      <c r="L40" s="356"/>
      <c r="M40" s="537"/>
      <c r="N40" s="356"/>
    </row>
    <row r="41" spans="1:17" x14ac:dyDescent="0.25">
      <c r="C41" s="415"/>
      <c r="D41" s="415"/>
      <c r="E41" s="415"/>
      <c r="F41" s="415"/>
      <c r="G41" s="415"/>
      <c r="H41" s="415"/>
      <c r="I41" s="415"/>
      <c r="J41" s="415"/>
      <c r="K41" s="415"/>
      <c r="L41" s="415"/>
      <c r="M41" s="546"/>
      <c r="N41" s="415"/>
    </row>
    <row r="53" spans="2:2" x14ac:dyDescent="0.25">
      <c r="B53" s="356"/>
    </row>
  </sheetData>
  <mergeCells count="1">
    <mergeCell ref="C8:N8"/>
  </mergeCells>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0">
    <tabColor rgb="FFFFFF00"/>
  </sheetPr>
  <dimension ref="A1:O39"/>
  <sheetViews>
    <sheetView zoomScaleNormal="100" workbookViewId="0">
      <pane xSplit="1" topLeftCell="B1" activePane="topRight" state="frozen"/>
      <selection activeCell="G6" sqref="G6"/>
      <selection pane="topRight" activeCell="C2" sqref="C2"/>
    </sheetView>
  </sheetViews>
  <sheetFormatPr baseColWidth="10" defaultRowHeight="15" x14ac:dyDescent="0.3"/>
  <cols>
    <col min="1" max="1" width="47.85546875" customWidth="1"/>
    <col min="2" max="2" width="19.140625" customWidth="1"/>
    <col min="3" max="3" width="21.7109375" customWidth="1"/>
    <col min="4" max="4" width="17.28515625" customWidth="1"/>
    <col min="5" max="5" width="17.85546875" customWidth="1"/>
    <col min="6" max="6" width="19.42578125" customWidth="1"/>
    <col min="7" max="7" width="19.5703125" customWidth="1"/>
    <col min="8" max="8" width="19.85546875" customWidth="1"/>
    <col min="9" max="9" width="22.28515625" customWidth="1"/>
    <col min="10" max="10" width="16.7109375" customWidth="1"/>
    <col min="11" max="11" width="19" style="601" customWidth="1"/>
    <col min="12" max="12" width="19.42578125" customWidth="1"/>
    <col min="13" max="13" width="17.7109375" style="601" bestFit="1" customWidth="1"/>
    <col min="14" max="14" width="20.85546875" customWidth="1"/>
  </cols>
  <sheetData>
    <row r="1" spans="1:14" x14ac:dyDescent="0.3">
      <c r="A1" t="s">
        <v>226</v>
      </c>
      <c r="B1" s="30" t="s">
        <v>380</v>
      </c>
    </row>
    <row r="2" spans="1:14" x14ac:dyDescent="0.3">
      <c r="D2" s="13"/>
      <c r="E2" s="13"/>
    </row>
    <row r="3" spans="1:14" ht="15.75" x14ac:dyDescent="0.3">
      <c r="A3" s="8" t="s">
        <v>295</v>
      </c>
      <c r="B3" s="8" t="s">
        <v>237</v>
      </c>
      <c r="C3" s="8" t="s">
        <v>69</v>
      </c>
      <c r="D3" s="8" t="s">
        <v>79</v>
      </c>
      <c r="E3" s="8" t="s">
        <v>71</v>
      </c>
      <c r="F3" s="8" t="s">
        <v>76</v>
      </c>
      <c r="G3" s="8" t="s">
        <v>88</v>
      </c>
      <c r="H3" s="8" t="s">
        <v>78</v>
      </c>
      <c r="I3" s="8" t="s">
        <v>70</v>
      </c>
      <c r="J3" s="8" t="s">
        <v>77</v>
      </c>
      <c r="K3" s="606" t="s">
        <v>73</v>
      </c>
      <c r="L3" s="8" t="s">
        <v>74</v>
      </c>
      <c r="M3" s="606" t="s">
        <v>238</v>
      </c>
      <c r="N3" s="8" t="s">
        <v>341</v>
      </c>
    </row>
    <row r="4" spans="1:14" s="465" customFormat="1" ht="15.75" x14ac:dyDescent="0.3">
      <c r="A4" s="468" t="s">
        <v>343</v>
      </c>
      <c r="B4" s="469">
        <f>SUM(B6:B14)</f>
        <v>3110912583.7099996</v>
      </c>
      <c r="C4" s="469">
        <f t="shared" ref="C4:M4" si="0">SUM(C6:C14)</f>
        <v>5188082845.6600008</v>
      </c>
      <c r="D4" s="469">
        <f>SUM(D6:D14)</f>
        <v>937078068.33999991</v>
      </c>
      <c r="E4" s="469">
        <f t="shared" si="0"/>
        <v>977982087.55999994</v>
      </c>
      <c r="F4" s="469">
        <f t="shared" si="0"/>
        <v>3150174946.2599998</v>
      </c>
      <c r="G4" s="469">
        <f t="shared" si="0"/>
        <v>2653382454.6599998</v>
      </c>
      <c r="H4" s="469">
        <f t="shared" si="0"/>
        <v>977819674.11000001</v>
      </c>
      <c r="I4" s="469">
        <f t="shared" si="0"/>
        <v>7915292965.0499992</v>
      </c>
      <c r="J4" s="469">
        <f t="shared" si="0"/>
        <v>896872684.59000015</v>
      </c>
      <c r="K4" s="469">
        <f t="shared" si="0"/>
        <v>5624784007.3100004</v>
      </c>
      <c r="L4" s="469">
        <f t="shared" si="0"/>
        <v>1940238043.8200002</v>
      </c>
      <c r="M4" s="469">
        <f t="shared" si="0"/>
        <v>2952691816.79</v>
      </c>
      <c r="N4" s="469">
        <f>SUM(B4:M4)</f>
        <v>36325312177.860001</v>
      </c>
    </row>
    <row r="5" spans="1:14" s="363" customFormat="1" ht="15.75" x14ac:dyDescent="0.3">
      <c r="A5" s="362"/>
      <c r="B5" s="364"/>
      <c r="C5" s="364"/>
      <c r="D5" s="364"/>
      <c r="E5" s="364"/>
      <c r="F5" s="364"/>
      <c r="G5" s="364"/>
      <c r="H5" s="364"/>
      <c r="I5" s="364"/>
      <c r="J5" s="364"/>
      <c r="K5" s="600"/>
      <c r="L5" s="364"/>
      <c r="M5" s="600"/>
      <c r="N5" s="364"/>
    </row>
    <row r="6" spans="1:14" x14ac:dyDescent="0.3">
      <c r="A6" t="s">
        <v>27</v>
      </c>
      <c r="B6" s="357">
        <v>1434575337.26</v>
      </c>
      <c r="C6" s="357">
        <v>3801558928.5999999</v>
      </c>
      <c r="D6" s="357">
        <v>619332701.17999995</v>
      </c>
      <c r="E6" s="357">
        <v>680884582.63</v>
      </c>
      <c r="F6" s="357">
        <v>2304938076.79</v>
      </c>
      <c r="G6" s="357">
        <v>1889732166.75</v>
      </c>
      <c r="H6" s="357">
        <v>644743767.74000001</v>
      </c>
      <c r="I6" s="357">
        <v>5389912071.3999996</v>
      </c>
      <c r="J6" s="357">
        <v>592251251.46000004</v>
      </c>
      <c r="K6" s="357">
        <v>3981055311.3699999</v>
      </c>
      <c r="L6" s="357">
        <v>1452699694.25</v>
      </c>
      <c r="M6" s="357">
        <v>2143066771.3900001</v>
      </c>
      <c r="N6" s="493">
        <v>23670674191.900002</v>
      </c>
    </row>
    <row r="7" spans="1:14" x14ac:dyDescent="0.3">
      <c r="A7" t="s">
        <v>135</v>
      </c>
      <c r="B7" s="357">
        <v>190712260.34999999</v>
      </c>
      <c r="C7" s="357">
        <v>377924232.13999999</v>
      </c>
      <c r="D7" s="357">
        <v>61221127.509999998</v>
      </c>
      <c r="E7" s="357">
        <v>11419654.529999999</v>
      </c>
      <c r="F7" s="357">
        <v>239846284.78</v>
      </c>
      <c r="G7" s="357">
        <v>145569174.34999999</v>
      </c>
      <c r="H7" s="357">
        <v>763694.41</v>
      </c>
      <c r="I7" s="357">
        <v>631564089.96000004</v>
      </c>
      <c r="J7" s="357">
        <v>108109912.33</v>
      </c>
      <c r="K7" s="357">
        <v>684891868.34000003</v>
      </c>
      <c r="L7" s="357">
        <v>16445079.050000001</v>
      </c>
      <c r="M7" s="357">
        <v>191763918.19</v>
      </c>
      <c r="N7" s="493">
        <v>2598246474.02</v>
      </c>
    </row>
    <row r="8" spans="1:14" x14ac:dyDescent="0.3">
      <c r="A8" t="s">
        <v>133</v>
      </c>
      <c r="B8" s="357">
        <v>9323471.9299999997</v>
      </c>
      <c r="C8" s="357">
        <v>336913993.47000003</v>
      </c>
      <c r="D8" s="357">
        <v>30623865.75</v>
      </c>
      <c r="E8" s="357">
        <v>80459701.230000004</v>
      </c>
      <c r="F8" s="357">
        <v>91232187.890000001</v>
      </c>
      <c r="G8" s="357">
        <v>82669740.799999997</v>
      </c>
      <c r="H8" s="357">
        <v>148490800.49000001</v>
      </c>
      <c r="I8" s="357">
        <v>186906234.22</v>
      </c>
      <c r="J8" s="357">
        <v>33237792.149999999</v>
      </c>
      <c r="K8" s="357">
        <v>52166217.119999997</v>
      </c>
      <c r="L8" s="357">
        <v>15357843.75</v>
      </c>
      <c r="M8" s="357">
        <v>108937734.43000001</v>
      </c>
      <c r="N8" s="493">
        <v>997204916.99000001</v>
      </c>
    </row>
    <row r="9" spans="1:14" x14ac:dyDescent="0.3">
      <c r="A9" t="s">
        <v>138</v>
      </c>
      <c r="B9" s="357">
        <v>1410501883.24</v>
      </c>
      <c r="C9" s="357">
        <v>302789968.38999999</v>
      </c>
      <c r="D9" s="357">
        <v>113392532.91</v>
      </c>
      <c r="E9" s="357">
        <v>20779796.57</v>
      </c>
      <c r="F9" s="357">
        <v>288582490.57999998</v>
      </c>
      <c r="G9" s="357">
        <v>209962962.75</v>
      </c>
      <c r="H9" s="357">
        <v>46570307.539999999</v>
      </c>
      <c r="I9" s="357">
        <v>1222930174.47</v>
      </c>
      <c r="J9" s="357">
        <v>40847752.759999998</v>
      </c>
      <c r="K9" s="357">
        <v>606842934.97000003</v>
      </c>
      <c r="L9" s="357">
        <v>208059067.46000001</v>
      </c>
      <c r="M9" s="357">
        <v>314914234.10000002</v>
      </c>
      <c r="N9" s="493">
        <v>4626211265.29</v>
      </c>
    </row>
    <row r="10" spans="1:14" x14ac:dyDescent="0.3">
      <c r="A10" t="s">
        <v>139</v>
      </c>
      <c r="B10" s="357">
        <v>4620299.43</v>
      </c>
      <c r="C10" s="357">
        <v>80733647.870000005</v>
      </c>
      <c r="D10" s="357">
        <v>13438772.699999999</v>
      </c>
      <c r="E10" s="357">
        <v>43487980.060000002</v>
      </c>
      <c r="F10" s="357">
        <v>61916486.020000003</v>
      </c>
      <c r="G10" s="357">
        <v>52158335.210000001</v>
      </c>
      <c r="H10" s="357">
        <v>2124626.96</v>
      </c>
      <c r="I10" s="357">
        <v>77572825.290000007</v>
      </c>
      <c r="J10" s="357">
        <v>16224285.57</v>
      </c>
      <c r="K10" s="357">
        <v>47869480.450000003</v>
      </c>
      <c r="L10" s="357" t="s">
        <v>363</v>
      </c>
      <c r="M10" s="357">
        <v>47657134.460000001</v>
      </c>
      <c r="N10" s="493">
        <v>432240474.36000001</v>
      </c>
    </row>
    <row r="11" spans="1:14" x14ac:dyDescent="0.3">
      <c r="A11" t="s">
        <v>144</v>
      </c>
      <c r="B11" s="357">
        <v>21910335.25</v>
      </c>
      <c r="C11" s="357">
        <v>26774102.890000001</v>
      </c>
      <c r="D11" s="357">
        <v>13728678.970000001</v>
      </c>
      <c r="E11" s="357">
        <v>17317837.91</v>
      </c>
      <c r="F11" s="357">
        <v>28122902.350000001</v>
      </c>
      <c r="G11" s="357">
        <v>27896873.789999999</v>
      </c>
      <c r="H11" s="357">
        <v>15745036.35</v>
      </c>
      <c r="I11" s="357">
        <v>87675427.030000001</v>
      </c>
      <c r="J11" s="357">
        <v>34032038.420000002</v>
      </c>
      <c r="K11" s="357">
        <v>30535813.539999999</v>
      </c>
      <c r="L11" s="357">
        <v>60038736.899999999</v>
      </c>
      <c r="M11" s="357">
        <v>21304047.609999999</v>
      </c>
      <c r="N11" s="493">
        <v>355608115.69</v>
      </c>
    </row>
    <row r="12" spans="1:14" x14ac:dyDescent="0.3">
      <c r="A12" t="s">
        <v>344</v>
      </c>
      <c r="B12" s="357">
        <v>29748840.289999999</v>
      </c>
      <c r="C12" s="357">
        <v>250830503.66999999</v>
      </c>
      <c r="D12" s="357">
        <v>83931480.290000007</v>
      </c>
      <c r="E12" s="357">
        <v>114465781.36</v>
      </c>
      <c r="F12" s="357">
        <v>128954381.65000001</v>
      </c>
      <c r="G12" s="357">
        <v>230255601.88</v>
      </c>
      <c r="H12" s="357">
        <v>116146587.39</v>
      </c>
      <c r="I12" s="357">
        <v>276346837.74000001</v>
      </c>
      <c r="J12" s="357">
        <v>69972686.189999998</v>
      </c>
      <c r="K12" s="357">
        <v>198090110.09</v>
      </c>
      <c r="L12" s="357">
        <v>183843554.41999999</v>
      </c>
      <c r="M12" s="357">
        <v>119840771.3</v>
      </c>
      <c r="N12" s="493">
        <v>1602349068.5899999</v>
      </c>
    </row>
    <row r="13" spans="1:14" x14ac:dyDescent="0.3">
      <c r="A13" t="s">
        <v>155</v>
      </c>
      <c r="B13" s="388">
        <v>6417.04</v>
      </c>
      <c r="C13" s="388">
        <v>3053103.12</v>
      </c>
      <c r="D13" s="388">
        <v>660788.15</v>
      </c>
      <c r="E13" s="388" t="s">
        <v>363</v>
      </c>
      <c r="F13" s="388">
        <v>1197240.71</v>
      </c>
      <c r="G13" s="388">
        <v>1388625.23</v>
      </c>
      <c r="H13" s="388" t="s">
        <v>363</v>
      </c>
      <c r="I13" s="388">
        <v>19246181.539999999</v>
      </c>
      <c r="J13" s="388">
        <v>1089122.5900000001</v>
      </c>
      <c r="K13" s="388">
        <v>13386479.66</v>
      </c>
      <c r="L13" s="388" t="s">
        <v>363</v>
      </c>
      <c r="M13" s="388" t="s">
        <v>363</v>
      </c>
      <c r="N13" s="493">
        <v>39367169.890000001</v>
      </c>
    </row>
    <row r="14" spans="1:14" x14ac:dyDescent="0.3">
      <c r="A14" t="s">
        <v>152</v>
      </c>
      <c r="B14" s="388">
        <v>9513738.9199999999</v>
      </c>
      <c r="C14" s="388">
        <v>7504365.5099999998</v>
      </c>
      <c r="D14" s="388">
        <v>748120.88</v>
      </c>
      <c r="E14" s="388">
        <v>9166753.2699999996</v>
      </c>
      <c r="F14" s="388">
        <v>5384895.4900000002</v>
      </c>
      <c r="G14" s="388">
        <v>13748973.9</v>
      </c>
      <c r="H14" s="388">
        <v>3234853.23</v>
      </c>
      <c r="I14" s="388">
        <v>23139123.399999999</v>
      </c>
      <c r="J14" s="388">
        <v>1107843.1200000001</v>
      </c>
      <c r="K14" s="388">
        <v>9945791.7699999996</v>
      </c>
      <c r="L14" s="388">
        <v>3794067.99</v>
      </c>
      <c r="M14" s="388">
        <v>5207205.3099999996</v>
      </c>
      <c r="N14" s="493">
        <v>88512758.680000007</v>
      </c>
    </row>
    <row r="15" spans="1:14" x14ac:dyDescent="0.3">
      <c r="B15" s="357"/>
      <c r="C15" s="357"/>
      <c r="D15" s="357"/>
      <c r="E15" s="357"/>
      <c r="F15" s="357"/>
      <c r="G15" s="357"/>
      <c r="H15" s="357"/>
      <c r="I15" s="357"/>
      <c r="J15" s="357"/>
      <c r="K15" s="600"/>
      <c r="L15" s="357"/>
      <c r="M15" s="600"/>
      <c r="N15" s="357"/>
    </row>
    <row r="16" spans="1:14" s="465" customFormat="1" ht="15.75" x14ac:dyDescent="0.3">
      <c r="A16" s="468" t="s">
        <v>345</v>
      </c>
      <c r="B16" s="469">
        <f>SUM(B18:B30)</f>
        <v>3093552415.0400004</v>
      </c>
      <c r="C16" s="469">
        <f t="shared" ref="C16:N16" si="1">SUM(C18:C30)</f>
        <v>4839420373.6799994</v>
      </c>
      <c r="D16" s="469">
        <f>SUM(D18:D30)</f>
        <v>852690420.94999993</v>
      </c>
      <c r="E16" s="469">
        <f t="shared" si="1"/>
        <v>937811141.55999994</v>
      </c>
      <c r="F16" s="469">
        <f t="shared" si="1"/>
        <v>3018304284.5300002</v>
      </c>
      <c r="G16" s="469">
        <f t="shared" si="1"/>
        <v>2325013310.98</v>
      </c>
      <c r="H16" s="469">
        <f t="shared" si="1"/>
        <v>822636085.99000001</v>
      </c>
      <c r="I16" s="469">
        <f t="shared" si="1"/>
        <v>7561774563.0600004</v>
      </c>
      <c r="J16" s="469">
        <f t="shared" si="1"/>
        <v>818672366.14999998</v>
      </c>
      <c r="K16" s="469">
        <f t="shared" si="1"/>
        <v>5453436060.0799999</v>
      </c>
      <c r="L16" s="469">
        <f t="shared" si="1"/>
        <v>1751924632.0200002</v>
      </c>
      <c r="M16" s="469">
        <f t="shared" si="1"/>
        <v>2769826388.3000002</v>
      </c>
      <c r="N16" s="469">
        <f t="shared" si="1"/>
        <v>32569735535.399998</v>
      </c>
    </row>
    <row r="17" spans="1:14" s="363" customFormat="1" ht="15.75" x14ac:dyDescent="0.3">
      <c r="A17" s="362"/>
      <c r="B17" s="364"/>
      <c r="C17" s="364"/>
      <c r="D17" s="364"/>
      <c r="E17" s="364"/>
      <c r="F17" s="364"/>
      <c r="G17" s="364"/>
      <c r="H17" s="364"/>
      <c r="I17" s="364"/>
      <c r="J17" s="364"/>
      <c r="K17" s="600"/>
      <c r="L17" s="364"/>
      <c r="M17" s="600"/>
      <c r="N17" s="364"/>
    </row>
    <row r="18" spans="1:14" x14ac:dyDescent="0.3">
      <c r="A18" t="s">
        <v>140</v>
      </c>
      <c r="B18" s="357">
        <v>1434212634.47</v>
      </c>
      <c r="C18" s="357">
        <v>1200002826.23</v>
      </c>
      <c r="D18" s="357">
        <v>254945781.09999999</v>
      </c>
      <c r="E18" s="357">
        <v>237851342.36000001</v>
      </c>
      <c r="F18" s="357">
        <v>677590383.02999997</v>
      </c>
      <c r="G18" s="357">
        <v>671481641.97000003</v>
      </c>
      <c r="H18" s="357">
        <v>336422714.81</v>
      </c>
      <c r="I18" s="357">
        <v>1773069305.6199999</v>
      </c>
      <c r="J18" s="357">
        <v>149506946.97999999</v>
      </c>
      <c r="K18" s="357">
        <v>1065711915.59</v>
      </c>
      <c r="L18" s="357">
        <v>587675165.32000005</v>
      </c>
      <c r="M18" s="357">
        <v>638841100.49000001</v>
      </c>
      <c r="N18" s="357">
        <v>8435943262.0600004</v>
      </c>
    </row>
    <row r="19" spans="1:14" x14ac:dyDescent="0.3">
      <c r="A19" t="s">
        <v>346</v>
      </c>
      <c r="B19" s="357">
        <v>962513503.65999997</v>
      </c>
      <c r="C19" s="357">
        <v>1152765012.6900001</v>
      </c>
      <c r="D19" s="357">
        <v>238855125.40000001</v>
      </c>
      <c r="E19" s="357">
        <v>190834554.87</v>
      </c>
      <c r="F19" s="357">
        <v>928494816.69000006</v>
      </c>
      <c r="G19" s="357">
        <v>519517735.37</v>
      </c>
      <c r="H19" s="357">
        <v>16226410.51</v>
      </c>
      <c r="I19" s="357">
        <v>3473344326.5100002</v>
      </c>
      <c r="J19" s="357">
        <v>249226405.94</v>
      </c>
      <c r="K19" s="357">
        <v>2223666217.9699998</v>
      </c>
      <c r="L19" s="357">
        <v>356069344.93000001</v>
      </c>
      <c r="M19" s="357">
        <v>804399973.20000005</v>
      </c>
      <c r="N19" s="357">
        <v>10860831891.83</v>
      </c>
    </row>
    <row r="20" spans="1:14" x14ac:dyDescent="0.3">
      <c r="A20" t="s">
        <v>133</v>
      </c>
      <c r="B20" s="357">
        <v>48404997.32</v>
      </c>
      <c r="C20" s="357">
        <v>265182248.69</v>
      </c>
      <c r="D20" s="357">
        <v>44587367.829999998</v>
      </c>
      <c r="E20" s="357">
        <v>112415315.62</v>
      </c>
      <c r="F20" s="357">
        <v>134947590.91</v>
      </c>
      <c r="G20" s="357">
        <v>128007998.98</v>
      </c>
      <c r="H20" s="357">
        <v>132554414.63</v>
      </c>
      <c r="I20" s="357">
        <v>290346142.89999998</v>
      </c>
      <c r="J20" s="357">
        <v>72759165.159999996</v>
      </c>
      <c r="K20" s="357">
        <v>29027920.199999999</v>
      </c>
      <c r="L20" s="357">
        <v>48159785.909999996</v>
      </c>
      <c r="M20" s="357">
        <v>123196964.33</v>
      </c>
      <c r="N20" s="357">
        <v>1252448130.02</v>
      </c>
    </row>
    <row r="21" spans="1:14" x14ac:dyDescent="0.3">
      <c r="A21" t="s">
        <v>136</v>
      </c>
      <c r="B21" s="357">
        <v>134771128.28</v>
      </c>
      <c r="C21" s="357">
        <v>215148353.44999999</v>
      </c>
      <c r="D21" s="357">
        <v>40594442.609999999</v>
      </c>
      <c r="E21">
        <v>71354792.079999998</v>
      </c>
      <c r="F21" s="357">
        <v>235808374.25999999</v>
      </c>
      <c r="G21" s="357">
        <v>300649457.29000002</v>
      </c>
      <c r="H21" s="357">
        <v>9854884.2300000004</v>
      </c>
      <c r="I21" s="357">
        <v>460207358.01999998</v>
      </c>
      <c r="J21" s="357">
        <v>84531445.370000005</v>
      </c>
      <c r="K21" s="357">
        <v>607771463.80999994</v>
      </c>
      <c r="L21" s="357">
        <v>321412836.05000001</v>
      </c>
      <c r="M21" s="357">
        <v>138524975.44</v>
      </c>
      <c r="N21" s="357">
        <v>2570180184.0500002</v>
      </c>
    </row>
    <row r="22" spans="1:14" x14ac:dyDescent="0.3">
      <c r="A22" t="s">
        <v>348</v>
      </c>
      <c r="B22" s="357">
        <v>354302058.13999999</v>
      </c>
      <c r="C22" s="357">
        <v>1063483105.97</v>
      </c>
      <c r="D22" s="357">
        <v>74644704.590000004</v>
      </c>
      <c r="E22" s="357">
        <v>66756269.789999999</v>
      </c>
      <c r="F22" s="357">
        <v>641459017.92999995</v>
      </c>
      <c r="G22" s="357">
        <v>264888884.63999999</v>
      </c>
      <c r="H22" s="357">
        <v>47321682.82</v>
      </c>
      <c r="I22" s="357">
        <v>539108795.63</v>
      </c>
      <c r="J22" s="357">
        <v>77852799.569999993</v>
      </c>
      <c r="K22" s="357">
        <v>853568853.63999999</v>
      </c>
      <c r="L22" s="357">
        <v>2618219.0299999998</v>
      </c>
      <c r="M22" s="357">
        <v>767010950.14999998</v>
      </c>
      <c r="N22" s="357">
        <v>4631048954.4899998</v>
      </c>
    </row>
    <row r="23" spans="1:14" x14ac:dyDescent="0.3">
      <c r="A23" t="s">
        <v>141</v>
      </c>
      <c r="B23" s="357">
        <v>4012716.89</v>
      </c>
      <c r="C23" s="357" t="s">
        <v>363</v>
      </c>
      <c r="D23" s="357" t="s">
        <v>363</v>
      </c>
      <c r="E23" s="357" t="s">
        <v>363</v>
      </c>
      <c r="F23" s="357" t="s">
        <v>363</v>
      </c>
      <c r="G23" s="357" t="s">
        <v>363</v>
      </c>
      <c r="H23" s="357" t="s">
        <v>363</v>
      </c>
      <c r="I23" s="357">
        <v>16767052.890000001</v>
      </c>
      <c r="J23" s="357" t="s">
        <v>363</v>
      </c>
      <c r="K23" s="357" t="s">
        <v>363</v>
      </c>
      <c r="L23" s="357" t="s">
        <v>363</v>
      </c>
      <c r="M23" s="357">
        <v>2311300.66</v>
      </c>
      <c r="N23" s="357">
        <v>23091070.440000001</v>
      </c>
    </row>
    <row r="24" spans="1:14" x14ac:dyDescent="0.3">
      <c r="A24" t="s">
        <v>145</v>
      </c>
      <c r="B24" s="357">
        <v>43914012.130000003</v>
      </c>
      <c r="C24" s="357">
        <v>298875062.88999999</v>
      </c>
      <c r="D24" s="357">
        <v>83213741.689999998</v>
      </c>
      <c r="E24" s="357">
        <v>73592029.069999993</v>
      </c>
      <c r="F24" s="357">
        <v>142074177.05000001</v>
      </c>
      <c r="G24" s="357">
        <v>121799145.29000001</v>
      </c>
      <c r="H24" s="357">
        <v>139596798.47999999</v>
      </c>
      <c r="I24" s="357">
        <v>314272547.83999997</v>
      </c>
      <c r="J24" s="357">
        <v>45794427.439999998</v>
      </c>
      <c r="K24" s="357">
        <v>160392883.63</v>
      </c>
      <c r="L24" s="357">
        <v>158578317.69</v>
      </c>
      <c r="M24" s="357">
        <v>113297373.83</v>
      </c>
      <c r="N24" s="357">
        <v>1472589976.8599999</v>
      </c>
    </row>
    <row r="25" spans="1:14" x14ac:dyDescent="0.3">
      <c r="A25" t="s">
        <v>150</v>
      </c>
      <c r="B25" s="357">
        <v>4135117.06</v>
      </c>
      <c r="C25" s="357">
        <v>15493516.060000001</v>
      </c>
      <c r="D25" s="357">
        <v>2190808.39</v>
      </c>
      <c r="E25" s="357">
        <v>39455142.68</v>
      </c>
      <c r="F25" s="357">
        <v>34544443.359999999</v>
      </c>
      <c r="G25" s="357">
        <v>43433677.380000003</v>
      </c>
      <c r="H25" s="357">
        <v>974075.08</v>
      </c>
      <c r="I25" s="357">
        <v>24060166.25</v>
      </c>
      <c r="J25" s="357">
        <v>14030043.529999999</v>
      </c>
      <c r="K25" s="357">
        <v>52764894.609999999</v>
      </c>
      <c r="L25" s="357">
        <v>18200603.399999999</v>
      </c>
      <c r="M25" s="357">
        <v>6825327.0199999996</v>
      </c>
      <c r="N25" s="357">
        <v>252942931.34999999</v>
      </c>
    </row>
    <row r="26" spans="1:14" x14ac:dyDescent="0.3">
      <c r="A26" t="s">
        <v>147</v>
      </c>
      <c r="B26" s="357">
        <v>78491181.079999998</v>
      </c>
      <c r="C26" s="357">
        <v>511998504.99000001</v>
      </c>
      <c r="D26" s="357">
        <v>92608545.620000005</v>
      </c>
      <c r="E26" s="357">
        <v>135640722.24000001</v>
      </c>
      <c r="F26" s="357">
        <v>164404849.41999999</v>
      </c>
      <c r="G26" s="357">
        <v>186276258.78999999</v>
      </c>
      <c r="H26" s="357">
        <v>105535487.14</v>
      </c>
      <c r="I26" s="357">
        <v>564457842.05999994</v>
      </c>
      <c r="J26" s="357">
        <v>101267870.27</v>
      </c>
      <c r="K26" s="357">
        <v>356846058.93000001</v>
      </c>
      <c r="L26" s="357">
        <v>208818555.25</v>
      </c>
      <c r="M26" s="357">
        <v>128491192.31</v>
      </c>
      <c r="N26" s="357">
        <v>2436693035.3400002</v>
      </c>
    </row>
    <row r="27" spans="1:14" x14ac:dyDescent="0.3">
      <c r="A27" t="s">
        <v>349</v>
      </c>
      <c r="B27" s="357">
        <v>610.46</v>
      </c>
      <c r="C27" s="357">
        <v>2891176.27</v>
      </c>
      <c r="D27" s="357">
        <v>4965920.54</v>
      </c>
      <c r="E27" s="357">
        <v>115375.98</v>
      </c>
      <c r="F27" s="357">
        <v>5295306.04</v>
      </c>
      <c r="G27" s="357" t="s">
        <v>363</v>
      </c>
      <c r="H27" s="357" t="s">
        <v>363</v>
      </c>
      <c r="I27" s="357">
        <v>417486.31</v>
      </c>
      <c r="J27" s="357">
        <v>576518.23</v>
      </c>
      <c r="K27" s="357">
        <v>1845012.85</v>
      </c>
      <c r="L27" s="357">
        <v>1593558.01</v>
      </c>
      <c r="M27" s="357" t="s">
        <v>363</v>
      </c>
      <c r="N27" s="357">
        <v>12735044.15</v>
      </c>
    </row>
    <row r="28" spans="1:14" x14ac:dyDescent="0.3">
      <c r="A28" t="s">
        <v>350</v>
      </c>
      <c r="B28" s="357">
        <v>28734416.52</v>
      </c>
      <c r="C28" s="357">
        <v>113578421.03</v>
      </c>
      <c r="D28" s="357">
        <v>16083983.18</v>
      </c>
      <c r="E28" s="357">
        <v>9199411.8800000008</v>
      </c>
      <c r="F28" s="357">
        <v>44708578.18</v>
      </c>
      <c r="G28" s="357">
        <v>88958511.269999996</v>
      </c>
      <c r="H28" s="357">
        <v>34149618.289999999</v>
      </c>
      <c r="I28" s="357">
        <v>104312259.64</v>
      </c>
      <c r="J28" s="357">
        <v>23106985.760000002</v>
      </c>
      <c r="K28" s="357">
        <v>67407284.359999999</v>
      </c>
      <c r="L28" s="357">
        <v>48798246.43</v>
      </c>
      <c r="M28" s="357">
        <v>46894061.340000004</v>
      </c>
      <c r="N28" s="357">
        <v>575698176.40999997</v>
      </c>
    </row>
    <row r="29" spans="1:14" x14ac:dyDescent="0.3">
      <c r="A29" t="s">
        <v>153</v>
      </c>
      <c r="B29" s="357">
        <v>60039.03</v>
      </c>
      <c r="C29" s="357">
        <v>2145.41</v>
      </c>
      <c r="D29" s="357" t="s">
        <v>363</v>
      </c>
      <c r="E29" s="357">
        <v>596184.99</v>
      </c>
      <c r="F29" s="357">
        <v>8976747.6600000001</v>
      </c>
      <c r="G29" s="357" t="s">
        <v>363</v>
      </c>
      <c r="H29" s="357" t="s">
        <v>363</v>
      </c>
      <c r="I29" s="357">
        <v>1411279.39</v>
      </c>
      <c r="J29" s="357">
        <v>19757.900000000001</v>
      </c>
      <c r="K29" s="357">
        <v>34433554.490000002</v>
      </c>
      <c r="L29" s="357" t="s">
        <v>363</v>
      </c>
      <c r="M29" s="357">
        <v>33169.53</v>
      </c>
      <c r="N29" s="357">
        <v>45532878.399999999</v>
      </c>
    </row>
    <row r="30" spans="1:14" x14ac:dyDescent="0.3">
      <c r="A30" t="s">
        <v>352</v>
      </c>
      <c r="B30" s="357" t="s">
        <v>363</v>
      </c>
      <c r="C30" s="357" t="s">
        <v>363</v>
      </c>
      <c r="D30" s="357"/>
      <c r="E30" s="357" t="s">
        <v>363</v>
      </c>
      <c r="F30" s="357" t="s">
        <v>363</v>
      </c>
      <c r="G30" s="357" t="s">
        <v>363</v>
      </c>
      <c r="H30" s="357" t="s">
        <v>363</v>
      </c>
      <c r="I30" s="357" t="s">
        <v>363</v>
      </c>
      <c r="J30" s="357" t="s">
        <v>363</v>
      </c>
      <c r="K30" s="357" t="s">
        <v>363</v>
      </c>
      <c r="L30" s="357" t="s">
        <v>363</v>
      </c>
      <c r="M30" s="357" t="s">
        <v>363</v>
      </c>
      <c r="N30" s="357">
        <v>0</v>
      </c>
    </row>
    <row r="31" spans="1:14" x14ac:dyDescent="0.3">
      <c r="B31" s="357"/>
      <c r="C31" s="357"/>
      <c r="D31" s="357"/>
      <c r="E31" s="357"/>
      <c r="F31" s="357"/>
      <c r="G31" s="357"/>
      <c r="H31" s="357"/>
      <c r="I31" s="357"/>
      <c r="J31" s="357"/>
      <c r="K31" s="600"/>
      <c r="L31" s="357"/>
      <c r="M31" s="600"/>
      <c r="N31" s="357"/>
    </row>
    <row r="32" spans="1:14" s="465" customFormat="1" ht="15.75" x14ac:dyDescent="0.3">
      <c r="A32" s="468" t="s">
        <v>351</v>
      </c>
      <c r="B32" s="469">
        <f>B4-B16</f>
        <v>17360168.669999123</v>
      </c>
      <c r="C32" s="469">
        <f>C4-C16</f>
        <v>348662471.98000145</v>
      </c>
      <c r="D32" s="469">
        <f>D4-D16</f>
        <v>84387647.389999986</v>
      </c>
      <c r="E32" s="469">
        <f t="shared" ref="E32:M32" si="2">E4-E16</f>
        <v>40170946</v>
      </c>
      <c r="F32" s="469">
        <f t="shared" si="2"/>
        <v>131870661.72999954</v>
      </c>
      <c r="G32" s="469">
        <f t="shared" si="2"/>
        <v>328369143.67999983</v>
      </c>
      <c r="H32" s="469">
        <f t="shared" si="2"/>
        <v>155183588.12</v>
      </c>
      <c r="I32" s="469">
        <f t="shared" si="2"/>
        <v>353518401.98999882</v>
      </c>
      <c r="J32" s="469">
        <f t="shared" si="2"/>
        <v>78200318.440000176</v>
      </c>
      <c r="K32" s="469">
        <f t="shared" si="2"/>
        <v>171347947.2300005</v>
      </c>
      <c r="L32" s="469">
        <f t="shared" si="2"/>
        <v>188313411.79999995</v>
      </c>
      <c r="M32" s="469">
        <f t="shared" si="2"/>
        <v>182865428.48999977</v>
      </c>
      <c r="N32" s="469">
        <f>SUM(B32:M32)</f>
        <v>2080250135.5199993</v>
      </c>
    </row>
    <row r="33" spans="2:15" x14ac:dyDescent="0.3">
      <c r="N33" s="13"/>
    </row>
    <row r="34" spans="2:15" x14ac:dyDescent="0.3">
      <c r="B34" s="357"/>
      <c r="C34" s="357"/>
      <c r="D34" s="357"/>
      <c r="E34" s="357"/>
      <c r="F34" s="357"/>
      <c r="G34" s="357"/>
      <c r="H34" s="357"/>
      <c r="I34" s="357"/>
      <c r="J34" s="357"/>
      <c r="K34" s="600"/>
      <c r="L34" s="357"/>
      <c r="M34" s="600"/>
      <c r="N34" s="377"/>
    </row>
    <row r="35" spans="2:15" x14ac:dyDescent="0.3">
      <c r="B35" s="357"/>
      <c r="C35" s="357"/>
      <c r="D35" s="357"/>
      <c r="E35" s="357"/>
      <c r="F35" s="357"/>
      <c r="G35" s="357"/>
      <c r="H35" s="357"/>
      <c r="I35" s="357"/>
      <c r="J35" s="357"/>
      <c r="K35" s="600"/>
      <c r="L35" s="357"/>
      <c r="M35" s="600"/>
      <c r="N35" s="357"/>
    </row>
    <row r="36" spans="2:15" x14ac:dyDescent="0.3">
      <c r="B36" s="13"/>
      <c r="C36" s="13"/>
      <c r="D36" s="13"/>
      <c r="E36" s="13"/>
      <c r="F36" s="13"/>
      <c r="G36" s="13"/>
      <c r="H36" s="13"/>
      <c r="I36" s="13"/>
      <c r="J36" s="13"/>
      <c r="K36" s="602"/>
      <c r="L36" s="13"/>
      <c r="M36" s="602"/>
      <c r="N36" s="13"/>
      <c r="O36" s="13"/>
    </row>
    <row r="37" spans="2:15" x14ac:dyDescent="0.3">
      <c r="B37" s="13"/>
      <c r="C37" s="13"/>
      <c r="D37" s="13"/>
      <c r="E37" s="13"/>
      <c r="F37" s="13"/>
      <c r="G37" s="13"/>
      <c r="H37" s="13"/>
      <c r="I37" s="13"/>
      <c r="J37" s="13"/>
      <c r="K37" s="602"/>
      <c r="L37" s="13"/>
      <c r="M37" s="602"/>
      <c r="N37" s="13"/>
    </row>
    <row r="39" spans="2:15" x14ac:dyDescent="0.3">
      <c r="N39" s="13"/>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3">
    <tabColor rgb="FFFFC000"/>
  </sheetPr>
  <dimension ref="B1:BI84"/>
  <sheetViews>
    <sheetView zoomScale="90" zoomScaleNormal="90" zoomScaleSheetLayoutView="70" workbookViewId="0">
      <pane ySplit="12" topLeftCell="A58" activePane="bottomLeft" state="frozen"/>
      <selection activeCell="D13" sqref="D13"/>
      <selection pane="bottomLeft" activeCell="D73" sqref="D73"/>
    </sheetView>
  </sheetViews>
  <sheetFormatPr baseColWidth="10" defaultColWidth="20.7109375" defaultRowHeight="15" x14ac:dyDescent="0.25"/>
  <cols>
    <col min="1" max="1" width="1.42578125" style="48" customWidth="1"/>
    <col min="2" max="2" width="2.5703125" style="48" customWidth="1"/>
    <col min="3" max="3" width="35.5703125" style="48" customWidth="1"/>
    <col min="4" max="4" width="16.7109375" style="48" customWidth="1"/>
    <col min="5" max="6" width="20.7109375" style="48" hidden="1" customWidth="1"/>
    <col min="7" max="7" width="16.85546875" style="48" customWidth="1"/>
    <col min="8" max="8" width="15.140625" style="48" customWidth="1"/>
    <col min="9" max="9" width="16" style="48" customWidth="1"/>
    <col min="10" max="10" width="16.5703125" style="48" customWidth="1"/>
    <col min="11" max="11" width="14.7109375" style="48" customWidth="1"/>
    <col min="12" max="12" width="16.5703125" style="48" customWidth="1"/>
    <col min="13" max="15" width="14.7109375" style="48" customWidth="1"/>
    <col min="16" max="16" width="14.140625" style="48" customWidth="1"/>
    <col min="17" max="18" width="14.7109375" style="48" customWidth="1"/>
    <col min="19" max="19" width="15.85546875" style="356" bestFit="1" customWidth="1"/>
    <col min="20" max="23" width="14.7109375" style="48" customWidth="1"/>
    <col min="24" max="26" width="15.7109375" style="48" customWidth="1"/>
    <col min="27" max="27" width="0" style="48" hidden="1" customWidth="1"/>
    <col min="28" max="28" width="56.5703125" style="48" customWidth="1"/>
    <col min="29" max="32" width="15.7109375" style="48" customWidth="1"/>
    <col min="33" max="33" width="14.5703125" style="48" customWidth="1"/>
    <col min="34" max="39" width="15.7109375" style="48" customWidth="1"/>
    <col min="40" max="16384" width="20.7109375" style="48"/>
  </cols>
  <sheetData>
    <row r="1" spans="3:61" ht="15" customHeight="1" x14ac:dyDescent="0.25">
      <c r="C1" s="46"/>
      <c r="D1" s="46"/>
      <c r="E1" s="46"/>
      <c r="F1" s="46"/>
      <c r="G1" s="46"/>
      <c r="H1" s="46"/>
      <c r="I1" s="46"/>
      <c r="J1" s="46"/>
      <c r="K1" s="46"/>
      <c r="L1" s="46"/>
      <c r="M1" s="46"/>
      <c r="N1" s="46"/>
      <c r="O1" s="46"/>
      <c r="P1" s="46"/>
      <c r="Q1" s="46"/>
      <c r="R1" s="46"/>
      <c r="S1" s="625"/>
      <c r="T1" s="46"/>
      <c r="U1" s="46"/>
      <c r="V1" s="46"/>
      <c r="W1" s="47"/>
      <c r="X1" s="47"/>
      <c r="Y1" s="47"/>
      <c r="Z1" s="47"/>
      <c r="AA1" s="47"/>
      <c r="AB1" s="47"/>
      <c r="AC1" s="47"/>
      <c r="AD1" s="47"/>
      <c r="AE1" s="47"/>
      <c r="AF1" s="47"/>
      <c r="AG1" s="47"/>
      <c r="AH1" s="47"/>
      <c r="AI1" s="47"/>
    </row>
    <row r="2" spans="3:61" x14ac:dyDescent="0.25">
      <c r="C2" s="46"/>
      <c r="D2" s="46"/>
      <c r="E2" s="46"/>
      <c r="F2" s="46"/>
      <c r="G2" s="46"/>
      <c r="H2" s="46"/>
      <c r="I2" s="46"/>
      <c r="J2" s="46"/>
      <c r="K2" s="46"/>
      <c r="L2" s="46"/>
      <c r="M2" s="46"/>
      <c r="N2" s="46"/>
      <c r="O2" s="46"/>
      <c r="P2" s="46"/>
      <c r="Q2" s="46"/>
      <c r="R2" s="46"/>
      <c r="S2" s="625"/>
      <c r="T2" s="46"/>
      <c r="U2" s="46"/>
      <c r="V2" s="46"/>
      <c r="W2" s="47"/>
      <c r="X2" s="47"/>
      <c r="Y2" s="47"/>
      <c r="Z2" s="47"/>
      <c r="AA2" s="47"/>
      <c r="AB2" s="47"/>
      <c r="AC2" s="47"/>
      <c r="AD2" s="47"/>
      <c r="AE2" s="47"/>
      <c r="AF2" s="47"/>
      <c r="AG2" s="47"/>
      <c r="AH2" s="47"/>
      <c r="AI2" s="47"/>
    </row>
    <row r="4" spans="3:61" ht="18" x14ac:dyDescent="0.25">
      <c r="C4" s="299" t="s">
        <v>180</v>
      </c>
      <c r="D4" s="284"/>
      <c r="E4" s="284"/>
      <c r="F4" s="284"/>
      <c r="G4" s="284"/>
      <c r="H4" s="284"/>
      <c r="I4" s="284"/>
      <c r="J4" s="284"/>
      <c r="K4" s="49"/>
      <c r="L4" s="284"/>
      <c r="M4" s="284"/>
      <c r="N4" s="284"/>
      <c r="O4" s="284"/>
      <c r="P4" s="284"/>
      <c r="Q4" s="284"/>
      <c r="R4" s="284"/>
      <c r="S4" s="626"/>
      <c r="T4" s="49"/>
      <c r="U4" s="49"/>
      <c r="V4" s="49"/>
      <c r="W4" s="49"/>
      <c r="X4" s="49"/>
      <c r="Y4" s="49"/>
      <c r="Z4" s="49"/>
      <c r="AA4" s="49"/>
      <c r="AB4" s="49"/>
      <c r="AC4" s="49"/>
      <c r="AD4" s="49"/>
      <c r="AE4" s="49"/>
      <c r="AF4" s="49"/>
      <c r="AG4" s="49"/>
      <c r="AH4" s="49"/>
      <c r="AI4" s="49"/>
      <c r="AJ4" s="49"/>
      <c r="AK4" s="49"/>
    </row>
    <row r="5" spans="3:61" ht="15.75" x14ac:dyDescent="0.25">
      <c r="C5" s="300" t="s">
        <v>106</v>
      </c>
      <c r="D5" s="285"/>
      <c r="E5" s="285"/>
      <c r="F5" s="285"/>
      <c r="G5" s="285"/>
      <c r="H5" s="285"/>
      <c r="I5" s="285"/>
      <c r="J5" s="285"/>
      <c r="K5" s="50"/>
      <c r="L5" s="285"/>
      <c r="M5" s="285"/>
      <c r="N5" s="285"/>
      <c r="O5" s="285"/>
      <c r="P5" s="285"/>
      <c r="Q5" s="285"/>
      <c r="R5" s="285"/>
      <c r="S5" s="627"/>
      <c r="T5" s="50"/>
      <c r="U5" s="50"/>
      <c r="V5" s="50"/>
      <c r="W5" s="50"/>
      <c r="X5" s="50"/>
      <c r="Y5" s="50"/>
      <c r="Z5" s="50"/>
      <c r="AA5" s="50"/>
      <c r="AB5" s="50"/>
      <c r="AC5" s="50"/>
      <c r="AD5" s="50"/>
      <c r="AE5" s="50"/>
      <c r="AF5" s="50"/>
      <c r="AG5" s="50"/>
      <c r="AH5" s="50"/>
      <c r="AI5" s="50"/>
      <c r="AJ5" s="50"/>
      <c r="AK5" s="50"/>
    </row>
    <row r="6" spans="3:61" x14ac:dyDescent="0.25">
      <c r="C6" s="301" t="s">
        <v>378</v>
      </c>
      <c r="D6" s="286"/>
      <c r="E6" s="286"/>
      <c r="F6" s="286"/>
      <c r="G6" s="286"/>
      <c r="H6" s="286"/>
      <c r="I6" s="286"/>
      <c r="J6" s="286"/>
      <c r="K6" s="51"/>
      <c r="L6" s="286"/>
      <c r="M6" s="286"/>
      <c r="N6" s="286"/>
      <c r="O6" s="286"/>
      <c r="P6" s="286"/>
      <c r="Q6" s="286"/>
      <c r="R6" s="286"/>
      <c r="S6" s="628"/>
      <c r="T6" s="51"/>
      <c r="U6" s="51"/>
      <c r="V6" s="51"/>
      <c r="W6" s="51"/>
      <c r="X6" s="51"/>
      <c r="Y6" s="51"/>
      <c r="Z6" s="51"/>
      <c r="AA6" s="51"/>
      <c r="AB6" s="51"/>
      <c r="AC6" s="51"/>
      <c r="AD6" s="51"/>
      <c r="AE6" s="51"/>
      <c r="AF6" s="51"/>
      <c r="AG6" s="51"/>
      <c r="AH6" s="51"/>
      <c r="AI6" s="51"/>
      <c r="AJ6" s="51"/>
      <c r="AK6" s="51"/>
    </row>
    <row r="7" spans="3:61" ht="15.75" customHeight="1" x14ac:dyDescent="0.25">
      <c r="C7" s="302" t="s">
        <v>181</v>
      </c>
      <c r="D7" s="287"/>
      <c r="E7" s="287"/>
      <c r="F7" s="287"/>
      <c r="G7" s="287"/>
      <c r="H7" s="287"/>
      <c r="I7" s="287"/>
      <c r="J7" s="287"/>
      <c r="K7" s="52"/>
      <c r="L7" s="287"/>
      <c r="M7" s="287"/>
      <c r="N7" s="287"/>
      <c r="O7" s="287"/>
      <c r="P7" s="287"/>
      <c r="Q7" s="287"/>
      <c r="R7" s="287"/>
      <c r="S7" s="629"/>
      <c r="T7" s="52"/>
      <c r="U7" s="52"/>
      <c r="V7" s="52"/>
      <c r="W7" s="52"/>
      <c r="X7" s="52"/>
      <c r="Y7" s="52"/>
      <c r="Z7" s="52"/>
      <c r="AA7" s="52"/>
      <c r="AB7" s="52"/>
      <c r="AC7" s="52"/>
      <c r="AD7" s="52"/>
      <c r="AE7" s="52"/>
      <c r="AF7" s="52"/>
      <c r="AG7" s="52"/>
      <c r="AH7" s="52"/>
      <c r="AI7" s="52"/>
      <c r="AJ7" s="52"/>
      <c r="AK7" s="52"/>
      <c r="AL7" s="52"/>
      <c r="AM7" s="52"/>
      <c r="AN7" s="52"/>
      <c r="AO7" s="52"/>
      <c r="AP7" s="52"/>
      <c r="AQ7" s="52"/>
      <c r="AR7" s="52"/>
    </row>
    <row r="8" spans="3:61" ht="15.75" x14ac:dyDescent="0.3">
      <c r="C8"/>
      <c r="D8"/>
      <c r="E8"/>
      <c r="F8"/>
      <c r="G8"/>
      <c r="H8"/>
      <c r="I8"/>
      <c r="J8"/>
      <c r="K8"/>
      <c r="L8"/>
      <c r="M8"/>
      <c r="N8"/>
      <c r="O8"/>
      <c r="P8"/>
      <c r="Q8"/>
      <c r="R8"/>
      <c r="S8" s="493"/>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row>
    <row r="10" spans="3:61" ht="15.75" thickBot="1" x14ac:dyDescent="0.3">
      <c r="F10" s="54"/>
      <c r="H10" s="54"/>
      <c r="I10" s="54"/>
      <c r="J10" s="54"/>
      <c r="L10" s="54"/>
      <c r="M10" s="54"/>
      <c r="N10" s="54"/>
      <c r="O10" s="54"/>
      <c r="P10" s="54"/>
      <c r="Q10" s="54"/>
      <c r="R10" s="54"/>
    </row>
    <row r="11" spans="3:61" s="56" customFormat="1" ht="39" customHeight="1" x14ac:dyDescent="0.3">
      <c r="C11" s="100" t="s">
        <v>182</v>
      </c>
      <c r="D11" s="100" t="s">
        <v>128</v>
      </c>
      <c r="E11" s="101"/>
      <c r="F11" s="101"/>
      <c r="G11" s="100" t="s">
        <v>119</v>
      </c>
      <c r="H11" s="100" t="s">
        <v>74</v>
      </c>
      <c r="I11" s="100" t="s">
        <v>120</v>
      </c>
      <c r="J11" s="100" t="s">
        <v>121</v>
      </c>
      <c r="K11" s="100" t="s">
        <v>127</v>
      </c>
      <c r="L11" s="100" t="s">
        <v>122</v>
      </c>
      <c r="M11" s="100" t="s">
        <v>76</v>
      </c>
      <c r="N11" s="100" t="s">
        <v>123</v>
      </c>
      <c r="O11" s="100" t="s">
        <v>124</v>
      </c>
      <c r="P11" s="100" t="s">
        <v>125</v>
      </c>
      <c r="Q11" s="100" t="s">
        <v>365</v>
      </c>
      <c r="R11" s="100" t="s">
        <v>126</v>
      </c>
      <c r="S11" s="408"/>
    </row>
    <row r="12" spans="3:61" s="56" customFormat="1" ht="15.75" x14ac:dyDescent="0.3">
      <c r="C12" s="57" t="s">
        <v>14</v>
      </c>
      <c r="D12" s="390">
        <f>SUM(G12:R12)</f>
        <v>3667937.4357699994</v>
      </c>
      <c r="E12" s="391"/>
      <c r="F12" s="392"/>
      <c r="G12" s="390">
        <v>90366.199110000001</v>
      </c>
      <c r="H12" s="393">
        <v>673590.15850000002</v>
      </c>
      <c r="I12" s="390">
        <v>624002.99564999994</v>
      </c>
      <c r="J12" s="393">
        <v>914252.0737999999</v>
      </c>
      <c r="K12" s="390">
        <v>72925.600839999999</v>
      </c>
      <c r="L12" s="393">
        <v>397550.87368999986</v>
      </c>
      <c r="M12" s="390">
        <v>529582.62838000001</v>
      </c>
      <c r="N12" s="393">
        <v>75339.583469999998</v>
      </c>
      <c r="O12" s="390">
        <v>146238.99155000001</v>
      </c>
      <c r="P12" s="393">
        <v>4878.5931900000005</v>
      </c>
      <c r="Q12" s="390">
        <v>49346.351659999993</v>
      </c>
      <c r="R12" s="393">
        <v>89863.385930000004</v>
      </c>
      <c r="S12" s="356"/>
      <c r="T12" s="632"/>
      <c r="U12" s="632"/>
      <c r="V12" s="48"/>
      <c r="W12" s="48"/>
      <c r="X12" s="48"/>
      <c r="Y12" s="48"/>
      <c r="Z12" s="48"/>
      <c r="AA12" s="48">
        <v>2372.7362400000002</v>
      </c>
      <c r="AI12" s="48"/>
      <c r="AJ12" s="48"/>
      <c r="AK12" s="48"/>
      <c r="AL12" s="48"/>
      <c r="BF12" s="48"/>
      <c r="BG12" s="48"/>
      <c r="BH12" s="48"/>
      <c r="BI12" s="48"/>
    </row>
    <row r="13" spans="3:61" ht="15.75" x14ac:dyDescent="0.3">
      <c r="C13" s="59" t="s">
        <v>183</v>
      </c>
      <c r="D13" s="394">
        <f>SUM(G13:R13)</f>
        <v>8732.9095899999993</v>
      </c>
      <c r="E13" s="395"/>
      <c r="F13" s="392"/>
      <c r="G13" s="396">
        <v>2908.9503500000001</v>
      </c>
      <c r="H13" s="397">
        <v>0</v>
      </c>
      <c r="I13" s="396">
        <v>0</v>
      </c>
      <c r="J13" s="397">
        <v>5823.9592400000001</v>
      </c>
      <c r="K13" s="396">
        <v>0</v>
      </c>
      <c r="L13" s="397">
        <v>0</v>
      </c>
      <c r="M13" s="396">
        <v>0</v>
      </c>
      <c r="N13" s="397">
        <v>0</v>
      </c>
      <c r="O13" s="396">
        <v>0</v>
      </c>
      <c r="P13" s="397">
        <v>0</v>
      </c>
      <c r="Q13" s="396">
        <v>0</v>
      </c>
      <c r="R13" s="397">
        <v>0</v>
      </c>
      <c r="T13" s="632"/>
      <c r="U13" s="632"/>
      <c r="AA13" s="48">
        <v>0</v>
      </c>
    </row>
    <row r="14" spans="3:61" ht="15.75" x14ac:dyDescent="0.3">
      <c r="C14" s="62" t="s">
        <v>15</v>
      </c>
      <c r="D14" s="396">
        <f>SUM(G14:R14)</f>
        <v>413148.82086999994</v>
      </c>
      <c r="E14" s="395"/>
      <c r="F14" s="392"/>
      <c r="G14" s="394">
        <v>23628.646989999997</v>
      </c>
      <c r="H14" s="398">
        <v>5697.2506900000008</v>
      </c>
      <c r="I14" s="394">
        <v>182077.44691999999</v>
      </c>
      <c r="J14" s="398">
        <v>39016.20953</v>
      </c>
      <c r="K14" s="394">
        <v>18166.17427</v>
      </c>
      <c r="L14" s="398">
        <v>15369.215700000002</v>
      </c>
      <c r="M14" s="394">
        <v>52506.298450000002</v>
      </c>
      <c r="N14" s="398">
        <v>3441.29016</v>
      </c>
      <c r="O14" s="394">
        <v>44570.475279999999</v>
      </c>
      <c r="P14" s="398">
        <v>4878.5931900000005</v>
      </c>
      <c r="Q14" s="394">
        <v>0</v>
      </c>
      <c r="R14" s="399">
        <v>23797.219690000002</v>
      </c>
      <c r="T14" s="632"/>
      <c r="U14" s="632"/>
      <c r="AA14" s="48">
        <v>0</v>
      </c>
    </row>
    <row r="15" spans="3:61" ht="15.75" x14ac:dyDescent="0.3">
      <c r="C15" s="59" t="s">
        <v>16</v>
      </c>
      <c r="D15" s="394">
        <f>SUM(G15:R15)</f>
        <v>3246055.7053100001</v>
      </c>
      <c r="E15" s="395"/>
      <c r="F15" s="392"/>
      <c r="G15" s="396">
        <v>63828.601770000001</v>
      </c>
      <c r="H15" s="397">
        <v>667892.90780999989</v>
      </c>
      <c r="I15" s="396">
        <v>441925.54873000004</v>
      </c>
      <c r="J15" s="397">
        <v>869411.90503000002</v>
      </c>
      <c r="K15" s="396">
        <v>54759.426570000003</v>
      </c>
      <c r="L15" s="397">
        <v>382181.65798999986</v>
      </c>
      <c r="M15" s="396">
        <v>477076.32993000001</v>
      </c>
      <c r="N15" s="397">
        <v>71898.293310000008</v>
      </c>
      <c r="O15" s="396">
        <v>101668.51626999999</v>
      </c>
      <c r="P15" s="397">
        <v>0</v>
      </c>
      <c r="Q15" s="396">
        <v>49346.351659999993</v>
      </c>
      <c r="R15" s="397">
        <v>66066.166240000006</v>
      </c>
      <c r="T15" s="632"/>
      <c r="U15" s="632"/>
      <c r="AA15" s="48">
        <v>2372.7362400000002</v>
      </c>
    </row>
    <row r="16" spans="3:61" ht="15.75" x14ac:dyDescent="0.3">
      <c r="C16" s="63"/>
      <c r="D16" s="394"/>
      <c r="E16" s="395"/>
      <c r="F16" s="392"/>
      <c r="G16" s="394"/>
      <c r="H16" s="398"/>
      <c r="I16" s="394"/>
      <c r="J16" s="398"/>
      <c r="K16" s="394"/>
      <c r="L16" s="398"/>
      <c r="M16" s="394"/>
      <c r="N16" s="398"/>
      <c r="O16" s="394"/>
      <c r="P16" s="398"/>
      <c r="Q16" s="394"/>
      <c r="R16" s="398"/>
      <c r="T16" s="632"/>
      <c r="U16" s="632"/>
    </row>
    <row r="17" spans="3:27" ht="15.75" x14ac:dyDescent="0.3">
      <c r="C17" s="64" t="s">
        <v>21</v>
      </c>
      <c r="D17" s="400">
        <f>SUM(G17:R17)</f>
        <v>232652.35825999998</v>
      </c>
      <c r="E17" s="395"/>
      <c r="F17" s="392"/>
      <c r="G17" s="400">
        <v>0</v>
      </c>
      <c r="H17" s="401">
        <v>0</v>
      </c>
      <c r="I17" s="400">
        <v>28516.232399999997</v>
      </c>
      <c r="J17" s="401">
        <v>25527.873149999999</v>
      </c>
      <c r="K17" s="400">
        <v>13494.063689999999</v>
      </c>
      <c r="L17" s="401">
        <v>15278.564819999996</v>
      </c>
      <c r="M17" s="400">
        <v>74391.828750000001</v>
      </c>
      <c r="N17" s="401">
        <v>513.27846</v>
      </c>
      <c r="O17" s="400">
        <v>35945.378229999995</v>
      </c>
      <c r="P17" s="401">
        <v>23730.107039999999</v>
      </c>
      <c r="Q17" s="400">
        <v>0</v>
      </c>
      <c r="R17" s="401">
        <v>15255.031720000001</v>
      </c>
      <c r="T17" s="632"/>
      <c r="U17" s="632"/>
      <c r="AA17" s="48">
        <v>0</v>
      </c>
    </row>
    <row r="18" spans="3:27" ht="15.75" x14ac:dyDescent="0.3">
      <c r="C18" s="62" t="s">
        <v>184</v>
      </c>
      <c r="D18" s="394">
        <f>SUM(G18:R18)</f>
        <v>37896.899590000001</v>
      </c>
      <c r="E18" s="395"/>
      <c r="F18" s="402"/>
      <c r="G18" s="394">
        <v>0</v>
      </c>
      <c r="H18" s="398">
        <v>0</v>
      </c>
      <c r="I18" s="394">
        <v>166.46405999999999</v>
      </c>
      <c r="J18" s="398">
        <v>229.65</v>
      </c>
      <c r="K18" s="394">
        <v>2827.5129300000003</v>
      </c>
      <c r="L18" s="398">
        <v>3634.8713200000002</v>
      </c>
      <c r="M18" s="394">
        <v>7308.2942400000002</v>
      </c>
      <c r="N18" s="398">
        <v>0</v>
      </c>
      <c r="O18" s="394">
        <v>0</v>
      </c>
      <c r="P18" s="398">
        <v>23730.107039999999</v>
      </c>
      <c r="Q18" s="394">
        <v>0</v>
      </c>
      <c r="R18" s="398">
        <v>0</v>
      </c>
      <c r="T18" s="632"/>
      <c r="U18" s="632"/>
      <c r="AA18" s="48">
        <v>0</v>
      </c>
    </row>
    <row r="19" spans="3:27" ht="15.75" x14ac:dyDescent="0.3">
      <c r="C19" s="59" t="s">
        <v>185</v>
      </c>
      <c r="D19" s="396">
        <f>SUM(G19:R19)</f>
        <v>67592.356349999987</v>
      </c>
      <c r="E19" s="395"/>
      <c r="F19" s="402"/>
      <c r="G19" s="396">
        <v>0</v>
      </c>
      <c r="H19" s="397">
        <v>0</v>
      </c>
      <c r="I19" s="396">
        <v>27.26</v>
      </c>
      <c r="J19" s="397">
        <v>20197.985550000001</v>
      </c>
      <c r="K19" s="396">
        <v>10666.55076</v>
      </c>
      <c r="L19" s="48">
        <v>0</v>
      </c>
      <c r="M19" s="396">
        <v>36700.560039999997</v>
      </c>
      <c r="N19" s="397">
        <v>0</v>
      </c>
      <c r="O19" s="396">
        <v>0</v>
      </c>
      <c r="P19" s="397">
        <v>0</v>
      </c>
      <c r="Q19" s="396">
        <v>0</v>
      </c>
      <c r="R19" s="397">
        <v>0</v>
      </c>
      <c r="T19" s="632"/>
      <c r="U19" s="632"/>
      <c r="AA19" s="48">
        <v>0</v>
      </c>
    </row>
    <row r="20" spans="3:27" ht="15.75" x14ac:dyDescent="0.3">
      <c r="C20" s="62" t="s">
        <v>186</v>
      </c>
      <c r="D20" s="394">
        <f>SUM(G20:R20)</f>
        <v>127163.10231999998</v>
      </c>
      <c r="E20" s="395"/>
      <c r="F20" s="402"/>
      <c r="G20" s="394">
        <v>0</v>
      </c>
      <c r="H20" s="398">
        <v>0</v>
      </c>
      <c r="I20" s="394">
        <v>28322.50834</v>
      </c>
      <c r="J20" s="398">
        <v>5100.2375999999995</v>
      </c>
      <c r="K20" s="394">
        <v>0</v>
      </c>
      <c r="L20" s="397">
        <v>11643.693499999996</v>
      </c>
      <c r="M20" s="394">
        <v>30382.974469999997</v>
      </c>
      <c r="N20" s="398">
        <v>513.27846</v>
      </c>
      <c r="O20" s="394">
        <v>35945.378229999995</v>
      </c>
      <c r="P20" s="398">
        <v>0</v>
      </c>
      <c r="Q20" s="394">
        <v>0</v>
      </c>
      <c r="R20" s="398">
        <v>15255.031720000001</v>
      </c>
      <c r="T20" s="632"/>
      <c r="U20" s="632"/>
      <c r="AA20" s="48">
        <v>0</v>
      </c>
    </row>
    <row r="21" spans="3:27" ht="15.75" x14ac:dyDescent="0.3">
      <c r="C21" s="58"/>
      <c r="D21" s="396"/>
      <c r="E21" s="395"/>
      <c r="F21" s="392"/>
      <c r="G21" s="396"/>
      <c r="H21" s="397"/>
      <c r="I21" s="396"/>
      <c r="J21" s="397"/>
      <c r="K21" s="396"/>
      <c r="L21" s="397"/>
      <c r="M21" s="396"/>
      <c r="N21" s="397"/>
      <c r="O21" s="396"/>
      <c r="P21" s="397"/>
      <c r="Q21" s="396"/>
      <c r="R21" s="397"/>
      <c r="T21" s="632"/>
      <c r="U21" s="632"/>
    </row>
    <row r="22" spans="3:27" ht="15.75" x14ac:dyDescent="0.3">
      <c r="C22" s="57" t="s">
        <v>20</v>
      </c>
      <c r="D22" s="390">
        <f t="shared" ref="D22:D44" si="0">SUM(G22:R22)</f>
        <v>1619863.77712</v>
      </c>
      <c r="E22" s="395"/>
      <c r="F22" s="392"/>
      <c r="G22" s="390">
        <v>87322.546060000008</v>
      </c>
      <c r="H22" s="393">
        <v>0</v>
      </c>
      <c r="I22" s="390">
        <v>132763.72098000001</v>
      </c>
      <c r="J22" s="393">
        <v>586258.79275999998</v>
      </c>
      <c r="K22" s="390">
        <v>33888.322310000003</v>
      </c>
      <c r="L22" s="393">
        <v>278488.26604000002</v>
      </c>
      <c r="M22" s="390">
        <v>43823.22436</v>
      </c>
      <c r="N22" s="393">
        <v>44987.869100000004</v>
      </c>
      <c r="O22" s="390">
        <v>153945.41288999998</v>
      </c>
      <c r="P22" s="393">
        <v>30680.129100000002</v>
      </c>
      <c r="Q22" s="390">
        <v>15626.206609999999</v>
      </c>
      <c r="R22" s="393">
        <v>212079.28691</v>
      </c>
      <c r="T22" s="632"/>
      <c r="U22" s="632"/>
      <c r="AA22" s="48">
        <v>74.078530000000001</v>
      </c>
    </row>
    <row r="23" spans="3:27" ht="15.75" x14ac:dyDescent="0.3">
      <c r="C23" s="59" t="s">
        <v>187</v>
      </c>
      <c r="D23" s="396">
        <f t="shared" si="0"/>
        <v>26914.333629999997</v>
      </c>
      <c r="E23" s="395"/>
      <c r="F23" s="402"/>
      <c r="G23" s="396">
        <v>0</v>
      </c>
      <c r="H23" s="397">
        <v>0</v>
      </c>
      <c r="I23" s="396">
        <v>0</v>
      </c>
      <c r="J23" s="397">
        <v>501.89779999999996</v>
      </c>
      <c r="K23" s="396">
        <v>0</v>
      </c>
      <c r="L23" s="397">
        <v>24768.687549999999</v>
      </c>
      <c r="M23" s="396">
        <v>0</v>
      </c>
      <c r="N23" s="397">
        <v>0</v>
      </c>
      <c r="O23" s="396">
        <v>0</v>
      </c>
      <c r="P23" s="397">
        <v>0</v>
      </c>
      <c r="Q23" s="396">
        <v>980.13744999999994</v>
      </c>
      <c r="R23" s="397">
        <v>663.61082999999996</v>
      </c>
      <c r="T23" s="632"/>
      <c r="U23" s="632"/>
      <c r="AA23" s="48">
        <v>0</v>
      </c>
    </row>
    <row r="24" spans="3:27" ht="15.75" x14ac:dyDescent="0.3">
      <c r="C24" s="62" t="s">
        <v>188</v>
      </c>
      <c r="D24" s="394">
        <f t="shared" si="0"/>
        <v>55635.137000000002</v>
      </c>
      <c r="E24" s="395"/>
      <c r="F24" s="402"/>
      <c r="G24" s="394">
        <v>589.16854000000001</v>
      </c>
      <c r="H24" s="398">
        <v>0</v>
      </c>
      <c r="I24" s="394">
        <v>12842.305329999999</v>
      </c>
      <c r="J24" s="398">
        <v>8333.5759299999991</v>
      </c>
      <c r="K24" s="394">
        <v>0</v>
      </c>
      <c r="L24" s="398">
        <v>20771.004420000001</v>
      </c>
      <c r="M24" s="394">
        <v>5197.9110799999999</v>
      </c>
      <c r="N24" s="398">
        <v>0</v>
      </c>
      <c r="O24" s="394">
        <v>4568.9979800000001</v>
      </c>
      <c r="P24" s="398">
        <v>3332.1737200000002</v>
      </c>
      <c r="Q24" s="394">
        <v>0</v>
      </c>
      <c r="R24" s="398">
        <v>0</v>
      </c>
      <c r="T24" s="632"/>
      <c r="U24" s="632"/>
      <c r="AA24" s="48">
        <v>0</v>
      </c>
    </row>
    <row r="25" spans="3:27" ht="15.75" x14ac:dyDescent="0.3">
      <c r="C25" s="59" t="s">
        <v>189</v>
      </c>
      <c r="D25" s="396">
        <f t="shared" si="0"/>
        <v>72529.663360000006</v>
      </c>
      <c r="E25" s="395"/>
      <c r="F25" s="402"/>
      <c r="G25" s="396">
        <v>1323.2639999999999</v>
      </c>
      <c r="H25" s="397">
        <v>0</v>
      </c>
      <c r="I25" s="396">
        <v>0</v>
      </c>
      <c r="J25" s="397">
        <v>20288.0321</v>
      </c>
      <c r="K25" s="396">
        <v>0</v>
      </c>
      <c r="L25" s="397">
        <v>17109.949700000001</v>
      </c>
      <c r="M25" s="396">
        <v>2127.6487700000002</v>
      </c>
      <c r="N25" s="397">
        <v>0</v>
      </c>
      <c r="O25" s="396">
        <v>0</v>
      </c>
      <c r="P25" s="397">
        <v>1436.3968400000001</v>
      </c>
      <c r="Q25" s="396">
        <v>3028.5771600000003</v>
      </c>
      <c r="R25" s="397">
        <v>27215.79479</v>
      </c>
      <c r="T25" s="632"/>
      <c r="U25" s="632"/>
      <c r="AA25" s="48">
        <v>0</v>
      </c>
    </row>
    <row r="26" spans="3:27" ht="15.75" x14ac:dyDescent="0.3">
      <c r="C26" s="62" t="s">
        <v>190</v>
      </c>
      <c r="D26" s="394">
        <f t="shared" si="0"/>
        <v>1836.9272000000001</v>
      </c>
      <c r="E26" s="395"/>
      <c r="F26" s="402"/>
      <c r="G26" s="394">
        <v>16.814910000000001</v>
      </c>
      <c r="H26" s="398">
        <v>0</v>
      </c>
      <c r="I26" s="394">
        <v>947.83377000000007</v>
      </c>
      <c r="J26" s="398">
        <v>36.830980000000004</v>
      </c>
      <c r="K26" s="394">
        <v>0</v>
      </c>
      <c r="L26" s="398">
        <v>835.44754</v>
      </c>
      <c r="M26" s="394">
        <v>0</v>
      </c>
      <c r="N26" s="398">
        <v>0</v>
      </c>
      <c r="O26" s="394">
        <v>0</v>
      </c>
      <c r="P26" s="398">
        <v>0</v>
      </c>
      <c r="Q26" s="396">
        <v>0</v>
      </c>
      <c r="R26" s="398">
        <v>0</v>
      </c>
      <c r="T26" s="632"/>
      <c r="U26" s="632"/>
      <c r="AA26" s="48">
        <v>0</v>
      </c>
    </row>
    <row r="27" spans="3:27" ht="15.75" x14ac:dyDescent="0.3">
      <c r="C27" s="59" t="s">
        <v>191</v>
      </c>
      <c r="D27" s="396">
        <f t="shared" si="0"/>
        <v>28175.303519999998</v>
      </c>
      <c r="E27" s="395"/>
      <c r="F27" s="402"/>
      <c r="G27" s="396">
        <v>1434.75964</v>
      </c>
      <c r="H27" s="397">
        <v>0</v>
      </c>
      <c r="I27" s="396">
        <v>480.44951000000003</v>
      </c>
      <c r="J27" s="397">
        <v>2351.8479400000001</v>
      </c>
      <c r="K27" s="396">
        <v>7642.84375</v>
      </c>
      <c r="L27" s="397">
        <v>898.25508000000002</v>
      </c>
      <c r="M27" s="396">
        <v>7945.9144500000002</v>
      </c>
      <c r="N27" s="397">
        <v>0</v>
      </c>
      <c r="O27" s="396">
        <v>7002.6393499999995</v>
      </c>
      <c r="P27" s="397">
        <v>66.33153999999999</v>
      </c>
      <c r="Q27" s="396">
        <v>0</v>
      </c>
      <c r="R27" s="397">
        <v>352.26226000000003</v>
      </c>
      <c r="T27" s="632"/>
      <c r="U27" s="632"/>
      <c r="AA27" s="48">
        <v>0</v>
      </c>
    </row>
    <row r="28" spans="3:27" ht="15.75" x14ac:dyDescent="0.3">
      <c r="C28" s="62" t="s">
        <v>192</v>
      </c>
      <c r="D28" s="394">
        <f t="shared" si="0"/>
        <v>0</v>
      </c>
      <c r="E28" s="395"/>
      <c r="F28" s="402"/>
      <c r="G28" s="394">
        <v>0</v>
      </c>
      <c r="H28" s="398">
        <v>0</v>
      </c>
      <c r="I28" s="394">
        <v>0</v>
      </c>
      <c r="J28" s="398">
        <v>0</v>
      </c>
      <c r="K28" s="394">
        <v>0</v>
      </c>
      <c r="L28" s="398">
        <v>0</v>
      </c>
      <c r="M28" s="394">
        <v>0</v>
      </c>
      <c r="N28" s="398">
        <v>0</v>
      </c>
      <c r="O28" s="394">
        <v>0</v>
      </c>
      <c r="P28" s="398">
        <v>0</v>
      </c>
      <c r="Q28" s="396">
        <v>0</v>
      </c>
      <c r="R28" s="398">
        <v>0</v>
      </c>
      <c r="T28" s="632"/>
      <c r="U28" s="632"/>
      <c r="AA28" s="48">
        <v>0</v>
      </c>
    </row>
    <row r="29" spans="3:27" ht="15.75" x14ac:dyDescent="0.3">
      <c r="C29" s="59" t="s">
        <v>193</v>
      </c>
      <c r="D29" s="396">
        <f t="shared" si="0"/>
        <v>173748.42454000001</v>
      </c>
      <c r="E29" s="395"/>
      <c r="F29" s="402"/>
      <c r="G29" s="396">
        <v>7333.1915899999995</v>
      </c>
      <c r="H29" s="397">
        <v>0</v>
      </c>
      <c r="I29" s="396">
        <v>4574.7463799999996</v>
      </c>
      <c r="J29" s="397">
        <v>120486.7755</v>
      </c>
      <c r="K29" s="396">
        <v>177.73952</v>
      </c>
      <c r="L29" s="397">
        <v>7665.0728399999998</v>
      </c>
      <c r="M29" s="396">
        <v>1643.77305</v>
      </c>
      <c r="N29" s="397">
        <v>13239.71722</v>
      </c>
      <c r="O29" s="396">
        <v>14615.51936</v>
      </c>
      <c r="P29" s="397">
        <v>3524.3087300000002</v>
      </c>
      <c r="Q29" s="396">
        <v>0</v>
      </c>
      <c r="R29" s="397">
        <v>487.58034999999995</v>
      </c>
      <c r="T29" s="632"/>
      <c r="U29" s="632"/>
      <c r="AA29" s="48">
        <v>0</v>
      </c>
    </row>
    <row r="30" spans="3:27" ht="15.75" x14ac:dyDescent="0.3">
      <c r="C30" s="62" t="s">
        <v>194</v>
      </c>
      <c r="D30" s="394">
        <f t="shared" si="0"/>
        <v>116352.78954</v>
      </c>
      <c r="E30" s="395"/>
      <c r="F30" s="402"/>
      <c r="G30" s="394">
        <v>12503.370859999999</v>
      </c>
      <c r="H30" s="398">
        <v>0</v>
      </c>
      <c r="I30" s="394">
        <v>15525.091420000001</v>
      </c>
      <c r="J30" s="398">
        <v>23886.293679999999</v>
      </c>
      <c r="K30" s="394">
        <v>7548.0694299999996</v>
      </c>
      <c r="L30" s="398">
        <v>34279.624939999994</v>
      </c>
      <c r="M30" s="394">
        <v>1869.7167400000001</v>
      </c>
      <c r="N30" s="398">
        <v>0</v>
      </c>
      <c r="O30" s="394">
        <v>7822.8097600000001</v>
      </c>
      <c r="P30" s="398">
        <v>12407.021849999999</v>
      </c>
      <c r="Q30" s="396">
        <v>0</v>
      </c>
      <c r="R30" s="398">
        <v>510.79086000000001</v>
      </c>
      <c r="T30" s="632"/>
      <c r="U30" s="632"/>
      <c r="AA30" s="48">
        <v>0</v>
      </c>
    </row>
    <row r="31" spans="3:27" ht="16.899999999999999" customHeight="1" x14ac:dyDescent="0.3">
      <c r="C31" s="59" t="s">
        <v>195</v>
      </c>
      <c r="D31" s="396">
        <f t="shared" si="0"/>
        <v>183804.86378999997</v>
      </c>
      <c r="E31" s="474"/>
      <c r="F31" s="402"/>
      <c r="G31" s="396">
        <v>7836.4081699999997</v>
      </c>
      <c r="H31" s="397">
        <v>0</v>
      </c>
      <c r="I31" s="396">
        <v>7500.0266300000003</v>
      </c>
      <c r="J31" s="397">
        <v>108757.59884000001</v>
      </c>
      <c r="K31" s="396">
        <v>1109.9639199999999</v>
      </c>
      <c r="L31" s="397">
        <v>45850.509090000007</v>
      </c>
      <c r="M31" s="396">
        <v>2287.3627799999999</v>
      </c>
      <c r="N31" s="397">
        <v>3859.4013199999999</v>
      </c>
      <c r="O31" s="396">
        <v>4927.6030300000002</v>
      </c>
      <c r="P31" s="397">
        <v>1227.31295</v>
      </c>
      <c r="Q31" s="396">
        <v>0</v>
      </c>
      <c r="R31" s="397">
        <v>448.67705999999998</v>
      </c>
      <c r="T31" s="632"/>
      <c r="U31" s="632"/>
      <c r="AA31" s="48">
        <v>0</v>
      </c>
    </row>
    <row r="32" spans="3:27" ht="15.75" x14ac:dyDescent="0.3">
      <c r="C32" s="62" t="s">
        <v>196</v>
      </c>
      <c r="D32" s="394">
        <f>SUM(G32:R32)</f>
        <v>0</v>
      </c>
      <c r="E32" s="395"/>
      <c r="F32" s="402"/>
      <c r="G32" s="394">
        <v>0</v>
      </c>
      <c r="H32" s="398">
        <v>0</v>
      </c>
      <c r="I32" s="394">
        <v>0</v>
      </c>
      <c r="J32" s="398">
        <v>0</v>
      </c>
      <c r="K32" s="394">
        <v>0</v>
      </c>
      <c r="L32" s="398">
        <v>0</v>
      </c>
      <c r="M32" s="394">
        <v>0</v>
      </c>
      <c r="N32" s="398">
        <v>0</v>
      </c>
      <c r="O32" s="394">
        <v>0</v>
      </c>
      <c r="P32" s="398">
        <v>0</v>
      </c>
      <c r="Q32" s="396">
        <v>0</v>
      </c>
      <c r="R32" s="398">
        <v>0</v>
      </c>
      <c r="T32" s="632"/>
      <c r="U32" s="632"/>
      <c r="AA32" s="48">
        <v>0</v>
      </c>
    </row>
    <row r="33" spans="3:27" ht="15.75" x14ac:dyDescent="0.3">
      <c r="C33" s="59" t="s">
        <v>197</v>
      </c>
      <c r="D33" s="396">
        <f t="shared" si="0"/>
        <v>0</v>
      </c>
      <c r="E33" s="395"/>
      <c r="F33" s="402"/>
      <c r="G33" s="396">
        <v>0</v>
      </c>
      <c r="H33" s="396">
        <v>0</v>
      </c>
      <c r="I33" s="396">
        <v>0</v>
      </c>
      <c r="J33" s="396">
        <v>0</v>
      </c>
      <c r="K33" s="396">
        <v>0</v>
      </c>
      <c r="L33" s="396">
        <v>0</v>
      </c>
      <c r="M33" s="396">
        <v>0</v>
      </c>
      <c r="N33" s="396">
        <v>0</v>
      </c>
      <c r="O33" s="396">
        <v>0</v>
      </c>
      <c r="P33" s="396">
        <v>0</v>
      </c>
      <c r="Q33" s="396">
        <v>0</v>
      </c>
      <c r="R33" s="396">
        <v>0</v>
      </c>
      <c r="T33" s="632"/>
      <c r="U33" s="632"/>
      <c r="AA33" s="48">
        <v>0</v>
      </c>
    </row>
    <row r="34" spans="3:27" ht="15.75" x14ac:dyDescent="0.3">
      <c r="C34" s="62" t="s">
        <v>198</v>
      </c>
      <c r="D34" s="394">
        <f>SUM(G34:R34)</f>
        <v>18124.269410000001</v>
      </c>
      <c r="E34" s="395"/>
      <c r="F34" s="402"/>
      <c r="G34" s="394">
        <v>55.835129999999999</v>
      </c>
      <c r="H34" s="398">
        <v>0</v>
      </c>
      <c r="I34" s="394">
        <v>59.836449999999999</v>
      </c>
      <c r="J34" s="398">
        <v>6770.9030000000002</v>
      </c>
      <c r="K34" s="394">
        <v>2044.72695</v>
      </c>
      <c r="L34" s="398">
        <v>2886.3289100000006</v>
      </c>
      <c r="M34" s="394">
        <v>692.58358999999996</v>
      </c>
      <c r="N34" s="398">
        <v>0</v>
      </c>
      <c r="O34" s="394">
        <v>209.50398000000001</v>
      </c>
      <c r="P34" s="398">
        <v>0</v>
      </c>
      <c r="Q34" s="396">
        <v>0</v>
      </c>
      <c r="R34" s="398">
        <v>5404.5514000000003</v>
      </c>
      <c r="T34" s="632"/>
      <c r="U34" s="632"/>
      <c r="AA34" s="48">
        <v>0</v>
      </c>
    </row>
    <row r="35" spans="3:27" ht="15.75" x14ac:dyDescent="0.3">
      <c r="C35" s="59" t="s">
        <v>199</v>
      </c>
      <c r="D35" s="396">
        <f t="shared" si="0"/>
        <v>125448.56821</v>
      </c>
      <c r="E35" s="395"/>
      <c r="F35" s="402"/>
      <c r="G35" s="396">
        <v>854.52906000000007</v>
      </c>
      <c r="H35" s="398">
        <v>0</v>
      </c>
      <c r="I35" s="396">
        <v>11352.920789999998</v>
      </c>
      <c r="J35" s="397">
        <v>59518.39486</v>
      </c>
      <c r="K35" s="396">
        <v>0</v>
      </c>
      <c r="L35" s="397">
        <v>21656.895140000004</v>
      </c>
      <c r="M35" s="396">
        <v>2732.9460800000002</v>
      </c>
      <c r="N35" s="397">
        <v>24056.433699999998</v>
      </c>
      <c r="O35" s="396">
        <v>0</v>
      </c>
      <c r="P35" s="397">
        <v>1076.20571</v>
      </c>
      <c r="Q35" s="396">
        <v>0</v>
      </c>
      <c r="R35" s="397">
        <v>4200.24287</v>
      </c>
      <c r="T35" s="632"/>
      <c r="U35" s="632"/>
      <c r="AA35" s="48">
        <v>0</v>
      </c>
    </row>
    <row r="36" spans="3:27" ht="15.75" x14ac:dyDescent="0.3">
      <c r="C36" s="62" t="s">
        <v>200</v>
      </c>
      <c r="D36" s="394">
        <f t="shared" si="0"/>
        <v>0</v>
      </c>
      <c r="E36" s="395"/>
      <c r="F36" s="402"/>
      <c r="G36" s="394">
        <v>0</v>
      </c>
      <c r="H36" s="398">
        <v>0</v>
      </c>
      <c r="I36" s="394">
        <v>0</v>
      </c>
      <c r="J36" s="398">
        <v>0</v>
      </c>
      <c r="K36" s="394">
        <v>0</v>
      </c>
      <c r="L36" s="398">
        <v>0</v>
      </c>
      <c r="M36" s="394">
        <v>0</v>
      </c>
      <c r="N36" s="398">
        <v>0</v>
      </c>
      <c r="O36" s="394">
        <v>0</v>
      </c>
      <c r="P36" s="398">
        <v>0</v>
      </c>
      <c r="Q36" s="396">
        <v>0</v>
      </c>
      <c r="R36" s="398">
        <v>0</v>
      </c>
      <c r="T36" s="632"/>
      <c r="U36" s="632"/>
      <c r="AA36" s="48">
        <v>0</v>
      </c>
    </row>
    <row r="37" spans="3:27" ht="15.75" x14ac:dyDescent="0.3">
      <c r="C37" s="59" t="s">
        <v>201</v>
      </c>
      <c r="D37" s="396">
        <f t="shared" si="0"/>
        <v>270858.70686999999</v>
      </c>
      <c r="E37" s="474"/>
      <c r="F37" s="402"/>
      <c r="G37" s="396">
        <v>3375.6520699999996</v>
      </c>
      <c r="H37" s="398">
        <v>0</v>
      </c>
      <c r="I37" s="396">
        <v>17382.889729999999</v>
      </c>
      <c r="J37" s="397">
        <v>65681.432530000005</v>
      </c>
      <c r="K37" s="396">
        <v>9146.5438200000008</v>
      </c>
      <c r="L37" s="397">
        <v>21999.36825</v>
      </c>
      <c r="M37" s="396">
        <v>9514.2830199999989</v>
      </c>
      <c r="N37" s="397">
        <v>0</v>
      </c>
      <c r="O37" s="396">
        <v>13859.89027</v>
      </c>
      <c r="P37" s="397">
        <v>4537.9410599999992</v>
      </c>
      <c r="Q37" s="396">
        <v>0</v>
      </c>
      <c r="R37" s="397">
        <v>125360.70612</v>
      </c>
      <c r="T37" s="632"/>
      <c r="U37" s="632"/>
      <c r="AA37" s="48">
        <v>0</v>
      </c>
    </row>
    <row r="38" spans="3:27" ht="15.75" x14ac:dyDescent="0.3">
      <c r="C38" s="62" t="s">
        <v>202</v>
      </c>
      <c r="D38" s="394">
        <f t="shared" si="0"/>
        <v>8589.1000999999997</v>
      </c>
      <c r="E38" s="395"/>
      <c r="F38" s="402"/>
      <c r="G38" s="394">
        <v>0</v>
      </c>
      <c r="H38" s="398">
        <v>0</v>
      </c>
      <c r="I38" s="394">
        <v>0</v>
      </c>
      <c r="J38" s="398">
        <v>0</v>
      </c>
      <c r="K38" s="394">
        <v>161.73848000000001</v>
      </c>
      <c r="L38" s="398">
        <v>6545.9018500000002</v>
      </c>
      <c r="M38" s="394">
        <v>102.76560000000001</v>
      </c>
      <c r="N38" s="398">
        <v>0</v>
      </c>
      <c r="O38" s="394">
        <v>1778.69417</v>
      </c>
      <c r="P38" s="398">
        <v>0</v>
      </c>
      <c r="Q38" s="396">
        <v>0</v>
      </c>
      <c r="R38" s="398">
        <v>0</v>
      </c>
      <c r="T38" s="632"/>
      <c r="U38" s="632"/>
      <c r="AA38" s="48">
        <v>0</v>
      </c>
    </row>
    <row r="39" spans="3:27" ht="15.75" x14ac:dyDescent="0.3">
      <c r="C39" s="59" t="s">
        <v>203</v>
      </c>
      <c r="D39" s="396">
        <f t="shared" si="0"/>
        <v>54744.422299999991</v>
      </c>
      <c r="E39" s="395"/>
      <c r="F39" s="402"/>
      <c r="G39" s="396">
        <v>23631.971389999999</v>
      </c>
      <c r="H39" s="398">
        <v>0</v>
      </c>
      <c r="I39" s="396">
        <v>13813.33358</v>
      </c>
      <c r="J39" s="397">
        <v>0</v>
      </c>
      <c r="K39" s="396">
        <v>571.00152000000003</v>
      </c>
      <c r="L39" s="397">
        <v>1951.72579</v>
      </c>
      <c r="M39" s="396">
        <v>118.33625000000001</v>
      </c>
      <c r="N39" s="397">
        <v>0</v>
      </c>
      <c r="O39" s="396">
        <v>782.99414999999999</v>
      </c>
      <c r="P39" s="397">
        <v>19.679680000000001</v>
      </c>
      <c r="Q39" s="396">
        <v>11617.492</v>
      </c>
      <c r="R39" s="397">
        <v>2237.8879400000001</v>
      </c>
      <c r="T39" s="632"/>
      <c r="U39" s="632"/>
      <c r="AA39" s="48">
        <v>74.078530000000001</v>
      </c>
    </row>
    <row r="40" spans="3:27" ht="15.75" x14ac:dyDescent="0.3">
      <c r="C40" s="62" t="s">
        <v>204</v>
      </c>
      <c r="D40" s="394">
        <f t="shared" si="0"/>
        <v>162.95321000000001</v>
      </c>
      <c r="E40" s="395"/>
      <c r="F40" s="402"/>
      <c r="G40" s="394">
        <v>0</v>
      </c>
      <c r="H40" s="398">
        <v>0</v>
      </c>
      <c r="I40" s="394">
        <v>4.2904</v>
      </c>
      <c r="J40" s="398">
        <v>0</v>
      </c>
      <c r="K40" s="394">
        <v>0</v>
      </c>
      <c r="L40" s="398">
        <v>150.44662</v>
      </c>
      <c r="M40" s="394">
        <v>0</v>
      </c>
      <c r="N40" s="398">
        <v>0</v>
      </c>
      <c r="O40" s="394">
        <v>0</v>
      </c>
      <c r="P40" s="398">
        <v>0</v>
      </c>
      <c r="Q40" s="396">
        <v>0</v>
      </c>
      <c r="R40" s="398">
        <v>8.216190000000001</v>
      </c>
      <c r="T40" s="632"/>
      <c r="U40" s="632"/>
      <c r="AA40" s="48">
        <v>0</v>
      </c>
    </row>
    <row r="41" spans="3:27" ht="15.75" x14ac:dyDescent="0.3">
      <c r="C41" s="59" t="s">
        <v>205</v>
      </c>
      <c r="D41" s="396">
        <f t="shared" si="0"/>
        <v>205954.71499999997</v>
      </c>
      <c r="E41" s="395"/>
      <c r="F41" s="402"/>
      <c r="G41" s="396">
        <v>1466.13906</v>
      </c>
      <c r="H41" s="398">
        <v>0</v>
      </c>
      <c r="I41" s="396">
        <v>3340.1930299999999</v>
      </c>
      <c r="J41" s="397">
        <v>88916.30661</v>
      </c>
      <c r="K41" s="396">
        <v>2433.3657899999998</v>
      </c>
      <c r="L41" s="397">
        <v>41689.723019999983</v>
      </c>
      <c r="M41" s="396">
        <v>386.65062</v>
      </c>
      <c r="N41" s="397">
        <v>2845.13402</v>
      </c>
      <c r="O41" s="396">
        <v>64141.752860000001</v>
      </c>
      <c r="P41" s="397">
        <v>640.29543000000001</v>
      </c>
      <c r="Q41" s="396">
        <v>0</v>
      </c>
      <c r="R41" s="397">
        <v>95.154560000000004</v>
      </c>
      <c r="T41" s="632"/>
      <c r="U41" s="632"/>
      <c r="AA41" s="48">
        <v>0</v>
      </c>
    </row>
    <row r="42" spans="3:27" ht="15.75" x14ac:dyDescent="0.3">
      <c r="C42" s="62" t="s">
        <v>206</v>
      </c>
      <c r="D42" s="394">
        <f t="shared" si="0"/>
        <v>5916.0197200000002</v>
      </c>
      <c r="E42" s="395"/>
      <c r="F42" s="402"/>
      <c r="G42" s="394">
        <v>0</v>
      </c>
      <c r="H42" s="394">
        <v>0</v>
      </c>
      <c r="I42" s="394">
        <v>0</v>
      </c>
      <c r="J42" s="394">
        <v>0</v>
      </c>
      <c r="K42" s="394">
        <v>0</v>
      </c>
      <c r="L42" s="394">
        <v>103.49898999999999</v>
      </c>
      <c r="M42" s="394">
        <v>0</v>
      </c>
      <c r="N42" s="394">
        <v>0</v>
      </c>
      <c r="O42" s="394">
        <v>5812.5207300000002</v>
      </c>
      <c r="P42" s="394">
        <v>0</v>
      </c>
      <c r="Q42" s="394">
        <v>0</v>
      </c>
      <c r="R42" s="394">
        <v>0</v>
      </c>
      <c r="T42" s="632"/>
      <c r="U42" s="632"/>
      <c r="AA42" s="48">
        <v>0</v>
      </c>
    </row>
    <row r="43" spans="3:27" ht="15.75" x14ac:dyDescent="0.3">
      <c r="C43" s="59" t="s">
        <v>207</v>
      </c>
      <c r="D43" s="396">
        <f t="shared" si="0"/>
        <v>51173.239860000001</v>
      </c>
      <c r="E43" s="395"/>
      <c r="F43" s="402"/>
      <c r="G43" s="396">
        <v>0</v>
      </c>
      <c r="H43" s="398">
        <v>0</v>
      </c>
      <c r="I43" s="396">
        <v>0</v>
      </c>
      <c r="J43" s="397">
        <v>0</v>
      </c>
      <c r="K43" s="396">
        <v>98.704250000000002</v>
      </c>
      <c r="L43" s="397">
        <v>1251.7801100000001</v>
      </c>
      <c r="M43" s="396">
        <v>0</v>
      </c>
      <c r="N43" s="397">
        <v>0</v>
      </c>
      <c r="O43" s="396">
        <v>11817.222179999999</v>
      </c>
      <c r="P43" s="397">
        <v>0</v>
      </c>
      <c r="Q43" s="396">
        <v>0</v>
      </c>
      <c r="R43" s="397">
        <v>38005.533320000002</v>
      </c>
      <c r="T43" s="632"/>
      <c r="U43" s="632"/>
      <c r="AA43" s="48">
        <v>0</v>
      </c>
    </row>
    <row r="44" spans="3:27" ht="15.75" x14ac:dyDescent="0.3">
      <c r="C44" s="62" t="s">
        <v>208</v>
      </c>
      <c r="D44" s="394">
        <f t="shared" si="0"/>
        <v>219894.33985999998</v>
      </c>
      <c r="E44" s="395"/>
      <c r="F44" s="402"/>
      <c r="G44" s="394">
        <v>26901.441640000001</v>
      </c>
      <c r="H44" s="398">
        <v>0</v>
      </c>
      <c r="I44" s="394">
        <v>44939.803959999997</v>
      </c>
      <c r="J44" s="398">
        <v>80728.902989999988</v>
      </c>
      <c r="K44" s="394">
        <v>2953.6248799999998</v>
      </c>
      <c r="L44" s="398">
        <v>28074.046200000004</v>
      </c>
      <c r="M44" s="394">
        <v>9203.3323299999993</v>
      </c>
      <c r="N44" s="398">
        <v>987.18283999999994</v>
      </c>
      <c r="O44" s="394">
        <v>16605.265070000001</v>
      </c>
      <c r="P44" s="398">
        <v>2412.4615899999999</v>
      </c>
      <c r="Q44" s="396">
        <v>0</v>
      </c>
      <c r="R44" s="398">
        <v>7088.2783600000002</v>
      </c>
      <c r="T44" s="632"/>
      <c r="U44" s="632"/>
      <c r="AA44" s="48">
        <v>0</v>
      </c>
    </row>
    <row r="45" spans="3:27" ht="15.75" x14ac:dyDescent="0.3">
      <c r="C45" s="58"/>
      <c r="D45" s="396"/>
      <c r="E45" s="395"/>
      <c r="F45" s="392"/>
      <c r="G45" s="396"/>
      <c r="H45" s="397"/>
      <c r="I45" s="396"/>
      <c r="J45" s="397"/>
      <c r="K45" s="396"/>
      <c r="L45" s="397"/>
      <c r="M45" s="396"/>
      <c r="N45" s="397"/>
      <c r="O45" s="396"/>
      <c r="P45" s="397"/>
      <c r="Q45" s="396"/>
      <c r="R45" s="397"/>
      <c r="T45" s="632"/>
      <c r="U45" s="632"/>
    </row>
    <row r="46" spans="3:27" ht="15.75" x14ac:dyDescent="0.3">
      <c r="C46" s="57" t="s">
        <v>209</v>
      </c>
      <c r="D46" s="390">
        <f>+SUM(G46:R46)</f>
        <v>0</v>
      </c>
      <c r="E46" s="395"/>
      <c r="F46" s="392"/>
      <c r="G46" s="390">
        <v>0</v>
      </c>
      <c r="H46" s="390">
        <v>0</v>
      </c>
      <c r="I46" s="390">
        <v>0</v>
      </c>
      <c r="J46" s="390">
        <v>0</v>
      </c>
      <c r="K46" s="390">
        <v>0</v>
      </c>
      <c r="L46" s="390">
        <v>0</v>
      </c>
      <c r="M46" s="390">
        <v>0</v>
      </c>
      <c r="N46" s="390">
        <v>0</v>
      </c>
      <c r="O46" s="390">
        <v>0</v>
      </c>
      <c r="P46" s="390">
        <v>0</v>
      </c>
      <c r="Q46" s="390">
        <v>0</v>
      </c>
      <c r="R46" s="390">
        <v>0</v>
      </c>
      <c r="T46" s="632"/>
      <c r="U46" s="632"/>
      <c r="AA46" s="48">
        <v>0</v>
      </c>
    </row>
    <row r="47" spans="3:27" ht="15.75" x14ac:dyDescent="0.3">
      <c r="C47" s="59" t="s">
        <v>210</v>
      </c>
      <c r="D47" s="396">
        <v>0</v>
      </c>
      <c r="E47" s="395"/>
      <c r="F47" s="402"/>
      <c r="G47" s="396">
        <v>0</v>
      </c>
      <c r="H47" s="396">
        <v>0</v>
      </c>
      <c r="I47" s="396">
        <v>0</v>
      </c>
      <c r="J47" s="396">
        <v>0</v>
      </c>
      <c r="K47" s="396">
        <v>0</v>
      </c>
      <c r="L47" s="396">
        <v>0</v>
      </c>
      <c r="M47" s="396">
        <v>0</v>
      </c>
      <c r="N47" s="396">
        <v>0</v>
      </c>
      <c r="O47" s="396">
        <v>0</v>
      </c>
      <c r="P47" s="396">
        <v>0</v>
      </c>
      <c r="Q47" s="396">
        <v>0</v>
      </c>
      <c r="R47" s="396">
        <v>0</v>
      </c>
      <c r="T47" s="632"/>
      <c r="U47" s="632"/>
      <c r="AA47" s="48">
        <v>0</v>
      </c>
    </row>
    <row r="48" spans="3:27" ht="15.75" x14ac:dyDescent="0.3">
      <c r="C48" s="62" t="s">
        <v>211</v>
      </c>
      <c r="D48" s="394">
        <v>0</v>
      </c>
      <c r="E48" s="395"/>
      <c r="F48" s="402"/>
      <c r="G48" s="394">
        <v>0</v>
      </c>
      <c r="H48" s="394">
        <v>0</v>
      </c>
      <c r="I48" s="394">
        <v>0</v>
      </c>
      <c r="J48" s="394">
        <v>0</v>
      </c>
      <c r="K48" s="394">
        <v>0</v>
      </c>
      <c r="L48" s="394">
        <v>0</v>
      </c>
      <c r="M48" s="394">
        <v>0</v>
      </c>
      <c r="N48" s="394">
        <v>0</v>
      </c>
      <c r="O48" s="394">
        <v>0</v>
      </c>
      <c r="P48" s="394">
        <v>0</v>
      </c>
      <c r="Q48" s="394">
        <v>0</v>
      </c>
      <c r="R48" s="394">
        <v>0</v>
      </c>
      <c r="T48" s="632"/>
      <c r="U48" s="632"/>
      <c r="AA48" s="48">
        <v>0</v>
      </c>
    </row>
    <row r="49" spans="2:27" ht="15.75" x14ac:dyDescent="0.3">
      <c r="C49" s="59" t="s">
        <v>212</v>
      </c>
      <c r="D49" s="396">
        <v>0</v>
      </c>
      <c r="E49" s="395"/>
      <c r="F49" s="402"/>
      <c r="G49" s="394">
        <v>0</v>
      </c>
      <c r="H49" s="394">
        <v>0</v>
      </c>
      <c r="I49" s="394">
        <v>0</v>
      </c>
      <c r="J49" s="394">
        <v>0</v>
      </c>
      <c r="K49" s="394">
        <v>0</v>
      </c>
      <c r="L49" s="394">
        <v>0</v>
      </c>
      <c r="M49" s="394">
        <v>0</v>
      </c>
      <c r="N49" s="394">
        <v>0</v>
      </c>
      <c r="O49" s="394">
        <v>0</v>
      </c>
      <c r="P49" s="394">
        <v>0</v>
      </c>
      <c r="Q49" s="394">
        <v>0</v>
      </c>
      <c r="R49" s="394">
        <v>0</v>
      </c>
      <c r="T49" s="632"/>
      <c r="U49" s="632"/>
      <c r="AA49" s="48">
        <v>0</v>
      </c>
    </row>
    <row r="50" spans="2:27" ht="15.75" x14ac:dyDescent="0.3">
      <c r="C50" s="63"/>
      <c r="D50" s="394"/>
      <c r="E50" s="395"/>
      <c r="F50" s="392"/>
      <c r="G50" s="394"/>
      <c r="H50" s="398"/>
      <c r="I50" s="394"/>
      <c r="J50" s="398"/>
      <c r="K50" s="394"/>
      <c r="L50" s="398"/>
      <c r="M50" s="394"/>
      <c r="N50" s="398"/>
      <c r="O50" s="394"/>
      <c r="P50" s="398"/>
      <c r="Q50" s="394"/>
      <c r="R50" s="398"/>
      <c r="T50" s="632"/>
      <c r="U50" s="632"/>
    </row>
    <row r="51" spans="2:27" ht="15.75" x14ac:dyDescent="0.3">
      <c r="C51" s="64" t="s">
        <v>213</v>
      </c>
      <c r="D51" s="400">
        <f>SUM(G51:R51)</f>
        <v>6507785.9165000003</v>
      </c>
      <c r="E51" s="395"/>
      <c r="F51" s="392"/>
      <c r="G51" s="400">
        <v>727742.47467999998</v>
      </c>
      <c r="H51" s="401">
        <v>708211.02527999994</v>
      </c>
      <c r="I51" s="400">
        <v>1431960.77862</v>
      </c>
      <c r="J51" s="401">
        <v>1124496.6725000001</v>
      </c>
      <c r="K51" s="400">
        <v>82020.52</v>
      </c>
      <c r="L51" s="401">
        <v>774128.62094000005</v>
      </c>
      <c r="M51" s="400">
        <v>368063.53039999999</v>
      </c>
      <c r="N51" s="401">
        <v>492612.78324999998</v>
      </c>
      <c r="O51" s="400">
        <v>293767.95322000002</v>
      </c>
      <c r="P51" s="401">
        <v>200551.50822999998</v>
      </c>
      <c r="Q51" s="400">
        <v>285629.93826999998</v>
      </c>
      <c r="R51" s="401">
        <v>18600.111109999998</v>
      </c>
      <c r="T51" s="632"/>
      <c r="U51" s="632"/>
      <c r="AA51" s="48">
        <v>4806.6801699999996</v>
      </c>
    </row>
    <row r="52" spans="2:27" ht="15.75" x14ac:dyDescent="0.3">
      <c r="C52" s="62" t="s">
        <v>214</v>
      </c>
      <c r="D52" s="394">
        <f>SUM(G52:R52)</f>
        <v>13759.633519999999</v>
      </c>
      <c r="E52" s="395"/>
      <c r="F52" s="402"/>
      <c r="G52" s="394">
        <v>0</v>
      </c>
      <c r="H52" s="398">
        <v>0</v>
      </c>
      <c r="I52" s="394">
        <v>0</v>
      </c>
      <c r="J52" s="398">
        <v>0</v>
      </c>
      <c r="K52" s="394">
        <v>0</v>
      </c>
      <c r="L52" s="398">
        <v>0</v>
      </c>
      <c r="M52" s="394">
        <v>0</v>
      </c>
      <c r="N52" s="398">
        <v>13759.633519999999</v>
      </c>
      <c r="O52" s="394">
        <v>0</v>
      </c>
      <c r="P52" s="398">
        <v>0</v>
      </c>
      <c r="Q52" s="396">
        <v>0</v>
      </c>
      <c r="R52" s="398">
        <v>0</v>
      </c>
      <c r="T52" s="632"/>
      <c r="U52" s="632"/>
      <c r="AA52" s="48">
        <v>0</v>
      </c>
    </row>
    <row r="53" spans="2:27" ht="15.75" x14ac:dyDescent="0.3">
      <c r="C53" s="59" t="s">
        <v>215</v>
      </c>
      <c r="D53" s="396">
        <f>+SUM(G53:R53)</f>
        <v>0</v>
      </c>
      <c r="E53" s="395"/>
      <c r="F53" s="402"/>
      <c r="G53" s="48">
        <v>0</v>
      </c>
      <c r="H53" s="48">
        <v>0</v>
      </c>
      <c r="I53" s="48">
        <v>0</v>
      </c>
      <c r="J53" s="48">
        <v>0</v>
      </c>
      <c r="K53" s="48">
        <v>0</v>
      </c>
      <c r="L53" s="48">
        <v>0</v>
      </c>
      <c r="M53" s="48">
        <v>0</v>
      </c>
      <c r="N53" s="48">
        <v>0</v>
      </c>
      <c r="O53" s="48">
        <v>0</v>
      </c>
      <c r="P53" s="48">
        <v>0</v>
      </c>
      <c r="Q53" s="48">
        <v>0</v>
      </c>
      <c r="R53" s="48">
        <v>0</v>
      </c>
      <c r="T53" s="632"/>
      <c r="U53" s="632"/>
      <c r="AA53" s="48">
        <v>0</v>
      </c>
    </row>
    <row r="54" spans="2:27" s="433" customFormat="1" ht="15.75" x14ac:dyDescent="0.3">
      <c r="C54" s="437" t="s">
        <v>13</v>
      </c>
      <c r="D54" s="434">
        <f>+SUM(G54:R54)</f>
        <v>5589617.2639599992</v>
      </c>
      <c r="E54" s="435"/>
      <c r="F54" s="436"/>
      <c r="G54" s="396">
        <v>415387.05189999996</v>
      </c>
      <c r="H54" s="397">
        <v>369295.89483999996</v>
      </c>
      <c r="I54" s="396">
        <v>1388307.52944</v>
      </c>
      <c r="J54" s="397">
        <v>1032276.41847</v>
      </c>
      <c r="K54" s="396">
        <v>23206.099289999998</v>
      </c>
      <c r="L54" s="397">
        <v>757758.37159</v>
      </c>
      <c r="M54" s="396">
        <v>364874.00635000004</v>
      </c>
      <c r="N54" s="397">
        <v>478853.14973</v>
      </c>
      <c r="O54" s="396">
        <v>274317.64567</v>
      </c>
      <c r="P54" s="397">
        <v>182677.84027000002</v>
      </c>
      <c r="Q54" s="396">
        <v>284063.14530000003</v>
      </c>
      <c r="R54" s="397">
        <v>18600.111109999998</v>
      </c>
      <c r="S54" s="356"/>
      <c r="T54" s="632"/>
      <c r="U54" s="632"/>
      <c r="AA54" s="433">
        <v>4806.6801699999996</v>
      </c>
    </row>
    <row r="55" spans="2:27" ht="15.75" x14ac:dyDescent="0.3">
      <c r="C55" s="59" t="s">
        <v>12</v>
      </c>
      <c r="D55" s="396">
        <f>SUM(G55:R55)</f>
        <v>904409.01901999989</v>
      </c>
      <c r="E55" s="395"/>
      <c r="F55" s="402"/>
      <c r="G55" s="434">
        <v>312355.42277999996</v>
      </c>
      <c r="H55" s="413">
        <v>338915.13043999998</v>
      </c>
      <c r="I55" s="434">
        <v>43653.249179999999</v>
      </c>
      <c r="J55" s="413">
        <v>92220.254029999996</v>
      </c>
      <c r="K55" s="434">
        <v>58814.420709999999</v>
      </c>
      <c r="L55" s="413">
        <v>16370.249350000002</v>
      </c>
      <c r="M55" s="434">
        <v>3189.52405</v>
      </c>
      <c r="N55" s="413">
        <v>0</v>
      </c>
      <c r="O55" s="434">
        <v>19450.307550000001</v>
      </c>
      <c r="P55" s="413">
        <v>17873.667960000002</v>
      </c>
      <c r="Q55" s="434">
        <v>1566.79297</v>
      </c>
      <c r="R55" s="413">
        <v>0</v>
      </c>
      <c r="T55" s="632"/>
      <c r="U55" s="632"/>
      <c r="AA55" s="48">
        <v>0</v>
      </c>
    </row>
    <row r="56" spans="2:27" ht="15.75" x14ac:dyDescent="0.3">
      <c r="C56" s="63"/>
      <c r="D56" s="394"/>
      <c r="E56" s="395"/>
      <c r="F56" s="392"/>
      <c r="G56" s="394"/>
      <c r="H56" s="398"/>
      <c r="I56" s="394"/>
      <c r="J56" s="398"/>
      <c r="K56" s="394"/>
      <c r="L56" s="398"/>
      <c r="M56" s="394"/>
      <c r="N56" s="398"/>
      <c r="O56" s="394"/>
      <c r="P56" s="398"/>
      <c r="Q56" s="394"/>
      <c r="R56" s="398"/>
      <c r="T56" s="632"/>
      <c r="U56" s="632"/>
    </row>
    <row r="57" spans="2:27" ht="15.75" x14ac:dyDescent="0.3">
      <c r="C57" s="64" t="s">
        <v>17</v>
      </c>
      <c r="D57" s="400">
        <f>SUM(G57:R57)</f>
        <v>6413499.4831899991</v>
      </c>
      <c r="E57" s="395"/>
      <c r="F57" s="392"/>
      <c r="G57" s="400">
        <v>608648.69328999997</v>
      </c>
      <c r="H57" s="401">
        <v>0</v>
      </c>
      <c r="I57" s="400">
        <v>835100.66347999999</v>
      </c>
      <c r="J57" s="401">
        <v>1758657.8883</v>
      </c>
      <c r="K57" s="400">
        <v>340465.54970999999</v>
      </c>
      <c r="L57" s="401">
        <v>1018690.52325</v>
      </c>
      <c r="M57" s="400">
        <v>332044.10730000003</v>
      </c>
      <c r="N57" s="401">
        <v>111473.19069</v>
      </c>
      <c r="O57" s="400">
        <v>620645.91995000001</v>
      </c>
      <c r="P57" s="401">
        <v>143883.80255000002</v>
      </c>
      <c r="Q57" s="400">
        <v>118271.09401999999</v>
      </c>
      <c r="R57" s="401">
        <v>525618.05064999999</v>
      </c>
      <c r="T57" s="632"/>
      <c r="U57" s="632"/>
      <c r="AA57" s="48">
        <v>3893.10538</v>
      </c>
    </row>
    <row r="58" spans="2:27" s="475" customFormat="1" ht="15.75" x14ac:dyDescent="0.3">
      <c r="C58" s="484" t="s">
        <v>216</v>
      </c>
      <c r="D58" s="483">
        <f>SUM(G58:R58)</f>
        <v>3597302.4535499993</v>
      </c>
      <c r="E58" s="478"/>
      <c r="F58" s="479"/>
      <c r="G58" s="483">
        <v>250257.59993</v>
      </c>
      <c r="H58" s="480">
        <v>0</v>
      </c>
      <c r="I58" s="483">
        <v>418048.62482999999</v>
      </c>
      <c r="J58" s="480">
        <v>1164264.2592</v>
      </c>
      <c r="K58" s="483">
        <v>182888.79969999997</v>
      </c>
      <c r="L58" s="480">
        <v>404342.18625999999</v>
      </c>
      <c r="M58" s="483">
        <v>157570.77687999999</v>
      </c>
      <c r="N58" s="480">
        <v>68173.871430000014</v>
      </c>
      <c r="O58" s="483">
        <v>389232.91619000002</v>
      </c>
      <c r="P58" s="480">
        <v>47272.342069999999</v>
      </c>
      <c r="Q58" s="623">
        <v>32389.875350000002</v>
      </c>
      <c r="R58" s="480">
        <v>482861.20170999999</v>
      </c>
      <c r="S58" s="356"/>
      <c r="T58" s="632"/>
      <c r="U58" s="632"/>
      <c r="AA58" s="475">
        <v>61.202010000000001</v>
      </c>
    </row>
    <row r="59" spans="2:27" s="475" customFormat="1" ht="15.75" x14ac:dyDescent="0.3">
      <c r="C59" s="476" t="s">
        <v>19</v>
      </c>
      <c r="D59" s="477">
        <f>SUM(G59:R59)</f>
        <v>2816197.0296499999</v>
      </c>
      <c r="E59" s="478"/>
      <c r="F59" s="479"/>
      <c r="G59" s="477">
        <v>358391.09336</v>
      </c>
      <c r="H59" s="480">
        <v>0</v>
      </c>
      <c r="I59" s="477">
        <v>417052.03865</v>
      </c>
      <c r="J59" s="481">
        <v>594393.62910000002</v>
      </c>
      <c r="K59" s="477">
        <v>157576.75000999999</v>
      </c>
      <c r="L59" s="481">
        <v>614348.33698999998</v>
      </c>
      <c r="M59" s="477">
        <v>174473.33041999998</v>
      </c>
      <c r="N59" s="481">
        <v>43299.319259999997</v>
      </c>
      <c r="O59" s="477">
        <v>231413.00375999999</v>
      </c>
      <c r="P59" s="481">
        <v>96611.460480000009</v>
      </c>
      <c r="Q59" s="624">
        <v>85881.218670000002</v>
      </c>
      <c r="R59" s="481">
        <v>42756.84895</v>
      </c>
      <c r="S59" s="356"/>
      <c r="T59" s="632"/>
      <c r="U59" s="632"/>
      <c r="AA59" s="475">
        <v>3831.90337</v>
      </c>
    </row>
    <row r="60" spans="2:27" ht="15.75" x14ac:dyDescent="0.3">
      <c r="C60" s="63"/>
      <c r="D60" s="394"/>
      <c r="E60" s="395"/>
      <c r="F60" s="392"/>
      <c r="G60" s="394"/>
      <c r="H60" s="398"/>
      <c r="I60" s="394"/>
      <c r="J60" s="398"/>
      <c r="K60" s="394"/>
      <c r="L60" s="398"/>
      <c r="M60" s="394"/>
      <c r="N60" s="398"/>
      <c r="O60" s="394"/>
      <c r="P60" s="398"/>
      <c r="Q60" s="394"/>
      <c r="R60" s="398"/>
      <c r="T60" s="632"/>
      <c r="U60" s="632"/>
    </row>
    <row r="61" spans="2:27" ht="15.75" thickBot="1" x14ac:dyDescent="0.3">
      <c r="C61" s="65" t="s">
        <v>128</v>
      </c>
      <c r="D61" s="403">
        <f>+SUM(G61:R61)</f>
        <v>18441738.970850002</v>
      </c>
      <c r="E61" s="403">
        <f>SUM(H61:S61)</f>
        <v>16927659.057710003</v>
      </c>
      <c r="F61" s="403">
        <f>SUM(I61:T61)</f>
        <v>15545857.873930002</v>
      </c>
      <c r="G61" s="403">
        <v>1514079.9131400001</v>
      </c>
      <c r="H61" s="403">
        <v>1381801.1837800001</v>
      </c>
      <c r="I61" s="403">
        <v>3052344.3911299999</v>
      </c>
      <c r="J61" s="403">
        <v>4409193.3005100004</v>
      </c>
      <c r="K61" s="403">
        <v>542794.05654999998</v>
      </c>
      <c r="L61" s="403">
        <v>2484136.8487399998</v>
      </c>
      <c r="M61" s="403">
        <v>1347905.31919</v>
      </c>
      <c r="N61" s="403">
        <v>724926.70497000008</v>
      </c>
      <c r="O61" s="403">
        <v>1250543.6558399999</v>
      </c>
      <c r="P61" s="403">
        <v>403724.14011000004</v>
      </c>
      <c r="Q61" s="403">
        <v>468873.59055999998</v>
      </c>
      <c r="R61" s="404">
        <v>861415.86632999999</v>
      </c>
      <c r="T61" s="632"/>
      <c r="U61" s="632"/>
      <c r="AA61" s="48">
        <v>11146.60032</v>
      </c>
    </row>
    <row r="63" spans="2:27" ht="15" customHeight="1" x14ac:dyDescent="0.25">
      <c r="C63" s="66"/>
      <c r="D63" s="66"/>
      <c r="E63" s="66"/>
      <c r="F63" s="66"/>
      <c r="G63" s="66"/>
      <c r="H63" s="66"/>
      <c r="I63" s="66"/>
      <c r="J63" s="66"/>
      <c r="K63" s="66"/>
      <c r="L63" s="66"/>
      <c r="M63" s="66"/>
      <c r="N63" s="66"/>
      <c r="O63" s="66"/>
      <c r="P63" s="66"/>
      <c r="Q63" s="66"/>
      <c r="R63" s="66"/>
      <c r="U63" s="66"/>
      <c r="V63" s="66"/>
    </row>
    <row r="64" spans="2:27" x14ac:dyDescent="0.25">
      <c r="B64" s="88"/>
      <c r="C64" s="282"/>
      <c r="D64" s="282"/>
      <c r="E64" s="282"/>
      <c r="F64" s="282"/>
      <c r="G64" s="282"/>
      <c r="H64" s="282"/>
      <c r="I64" s="282"/>
      <c r="J64" s="282"/>
      <c r="K64" s="282"/>
      <c r="L64" s="282"/>
      <c r="M64" s="282"/>
      <c r="N64" s="282"/>
      <c r="O64" s="282"/>
      <c r="P64" s="282"/>
      <c r="Q64" s="282"/>
      <c r="R64" s="282"/>
      <c r="S64" s="360"/>
      <c r="U64" s="66"/>
      <c r="V64" s="66"/>
    </row>
    <row r="65" spans="19:31" ht="15" customHeight="1" x14ac:dyDescent="0.25">
      <c r="W65" s="66"/>
      <c r="X65" s="66"/>
      <c r="Y65" s="66"/>
      <c r="Z65" s="66"/>
      <c r="AA65" s="66"/>
      <c r="AB65" s="66"/>
      <c r="AC65" s="66"/>
      <c r="AD65" s="66"/>
      <c r="AE65" s="66"/>
    </row>
    <row r="68" spans="19:31" x14ac:dyDescent="0.25">
      <c r="S68" s="630"/>
    </row>
    <row r="69" spans="19:31" x14ac:dyDescent="0.25">
      <c r="S69" s="630"/>
    </row>
    <row r="73" spans="19:31" x14ac:dyDescent="0.25">
      <c r="T73" s="66"/>
    </row>
    <row r="74" spans="19:31" x14ac:dyDescent="0.25">
      <c r="T74" s="66"/>
    </row>
    <row r="83" spans="19:19" x14ac:dyDescent="0.25">
      <c r="S83" s="631"/>
    </row>
    <row r="84" spans="19:19" x14ac:dyDescent="0.25">
      <c r="S84" s="631"/>
    </row>
  </sheetData>
  <pageMargins left="0.7" right="0.7" top="0.75" bottom="0.75" header="0.3" footer="0.3"/>
  <pageSetup paperSize="7" scale="48" orientation="landscape" r:id="rId1"/>
  <rowBreaks count="1" manualBreakCount="1">
    <brk id="61" max="16383" man="1"/>
  </rowBreaks>
  <ignoredErrors>
    <ignoredError sqref="D16:D45 D47:D50 D56:D60 D52" formulaRange="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8">
    <tabColor rgb="FFFFC000"/>
  </sheetPr>
  <dimension ref="D1:AM74"/>
  <sheetViews>
    <sheetView zoomScale="90" zoomScaleNormal="90" zoomScaleSheetLayoutView="89" workbookViewId="0">
      <selection activeCell="M8" sqref="M8"/>
    </sheetView>
  </sheetViews>
  <sheetFormatPr baseColWidth="10" defaultColWidth="11.42578125" defaultRowHeight="15" x14ac:dyDescent="0.25"/>
  <cols>
    <col min="1" max="1" width="1.28515625" style="48" customWidth="1"/>
    <col min="2" max="2" width="3.140625" style="48" customWidth="1"/>
    <col min="3" max="3" width="1.5703125" style="48" customWidth="1"/>
    <col min="4" max="4" width="34.28515625" style="48" customWidth="1"/>
    <col min="5" max="5" width="15.7109375" style="48" customWidth="1"/>
    <col min="6" max="6" width="11.42578125" style="48" hidden="1" customWidth="1"/>
    <col min="7" max="7" width="14.7109375" style="48" customWidth="1"/>
    <col min="8" max="8" width="11.42578125" style="48" hidden="1" customWidth="1"/>
    <col min="9" max="9" width="14.7109375" style="48" customWidth="1"/>
    <col min="10" max="10" width="11.42578125" style="48" hidden="1" customWidth="1"/>
    <col min="11" max="11" width="14.7109375" style="48" customWidth="1"/>
    <col min="12" max="12" width="11.42578125" style="48" hidden="1" customWidth="1"/>
    <col min="13" max="13" width="15.7109375" style="48" customWidth="1"/>
    <col min="14" max="14" width="8" style="48" hidden="1" customWidth="1"/>
    <col min="15" max="15" width="17.5703125" style="48" customWidth="1"/>
    <col min="16" max="16" width="6.42578125" style="48" hidden="1" customWidth="1"/>
    <col min="17" max="17" width="14.7109375" style="48" customWidth="1"/>
    <col min="18" max="18" width="11.42578125" style="48" hidden="1" customWidth="1"/>
    <col min="19" max="19" width="14.7109375" style="48" customWidth="1"/>
    <col min="20" max="20" width="11.42578125" style="48" hidden="1" customWidth="1"/>
    <col min="21" max="21" width="14.7109375" style="48" customWidth="1"/>
    <col min="22" max="22" width="11.42578125" style="48" hidden="1" customWidth="1"/>
    <col min="23" max="23" width="14.7109375" style="48" customWidth="1"/>
    <col min="24" max="24" width="11.42578125" style="48" hidden="1" customWidth="1"/>
    <col min="25" max="25" width="13.5703125" style="48" customWidth="1"/>
    <col min="26" max="26" width="11.42578125" style="48" hidden="1" customWidth="1"/>
    <col min="27" max="27" width="14.7109375" style="48" customWidth="1"/>
    <col min="28" max="28" width="6.5703125" style="48" hidden="1" customWidth="1"/>
    <col min="29" max="29" width="14.7109375" style="48" customWidth="1"/>
    <col min="30" max="30" width="7.5703125" style="48" customWidth="1"/>
    <col min="31" max="31" width="11" style="48" customWidth="1"/>
    <col min="32" max="32" width="14.7109375" style="48" customWidth="1"/>
    <col min="33" max="33" width="11" style="48" customWidth="1"/>
    <col min="34" max="34" width="14.7109375" style="48" customWidth="1"/>
    <col min="35" max="35" width="11" style="48" customWidth="1"/>
    <col min="36" max="36" width="14.7109375" style="48" customWidth="1"/>
    <col min="37" max="37" width="11" style="48" customWidth="1"/>
    <col min="38" max="38" width="14.7109375" style="48" customWidth="1"/>
    <col min="39" max="39" width="0" style="48" hidden="1" customWidth="1"/>
    <col min="40" max="42" width="17.5703125" style="48" customWidth="1"/>
    <col min="43" max="43" width="12" style="48" customWidth="1"/>
    <col min="44" max="44" width="17.5703125" style="48" customWidth="1"/>
    <col min="45" max="45" width="12" style="48" customWidth="1"/>
    <col min="46" max="46" width="17.5703125" style="48" customWidth="1"/>
    <col min="47" max="47" width="12" style="48" customWidth="1"/>
    <col min="48" max="48" width="17.5703125" style="48" customWidth="1"/>
    <col min="49" max="49" width="12" style="48" customWidth="1"/>
    <col min="50" max="50" width="17.5703125" style="48" customWidth="1"/>
    <col min="51" max="51" width="12" style="48" customWidth="1"/>
    <col min="52" max="52" width="17.5703125" style="48" customWidth="1"/>
    <col min="53" max="53" width="11" style="48" customWidth="1"/>
    <col min="54" max="54" width="17.5703125" style="48" customWidth="1"/>
    <col min="55" max="55" width="11" style="48" customWidth="1"/>
    <col min="56" max="56" width="17.5703125" style="48" customWidth="1"/>
    <col min="57" max="57" width="11" style="48" customWidth="1"/>
    <col min="58" max="58" width="17.5703125" style="48" customWidth="1"/>
    <col min="59" max="59" width="12" style="48" customWidth="1"/>
    <col min="60" max="60" width="17.5703125" style="48" customWidth="1"/>
    <col min="61" max="61" width="12" style="48" customWidth="1"/>
    <col min="62" max="62" width="17.5703125" style="48" customWidth="1"/>
    <col min="63" max="63" width="12" style="48" customWidth="1"/>
    <col min="64" max="64" width="17.5703125" style="48" customWidth="1"/>
    <col min="65" max="65" width="12" style="48" customWidth="1"/>
    <col min="66" max="66" width="17.5703125" style="48" customWidth="1"/>
    <col min="67" max="67" width="12" style="48" customWidth="1"/>
    <col min="68" max="68" width="17.5703125" style="48" customWidth="1"/>
    <col min="69" max="69" width="12" style="48" customWidth="1"/>
    <col min="70" max="70" width="17.5703125" style="48" customWidth="1"/>
    <col min="71" max="71" width="14.5703125" style="48" customWidth="1"/>
    <col min="72" max="72" width="22.5703125" style="48" customWidth="1"/>
    <col min="73" max="73" width="12" style="48" customWidth="1"/>
    <col min="74" max="74" width="17.5703125" style="48" customWidth="1"/>
    <col min="75" max="75" width="12" style="48" customWidth="1"/>
    <col min="76" max="76" width="17.5703125" style="48" customWidth="1"/>
    <col min="77" max="77" width="13.42578125" style="48" customWidth="1"/>
    <col min="78" max="78" width="21.42578125" style="48" customWidth="1"/>
    <col min="79" max="79" width="14.5703125" style="48" customWidth="1"/>
    <col min="80" max="80" width="22.5703125" style="48" customWidth="1"/>
    <col min="81" max="81" width="13.42578125" style="48" customWidth="1"/>
    <col min="82" max="82" width="21.42578125" style="48" bestFit="1" customWidth="1"/>
    <col min="83" max="83" width="12" style="48" bestFit="1" customWidth="1"/>
    <col min="84" max="84" width="17.5703125" style="48" bestFit="1" customWidth="1"/>
    <col min="85" max="85" width="12" style="48" bestFit="1" customWidth="1"/>
    <col min="86" max="86" width="17.5703125" style="48" bestFit="1" customWidth="1"/>
    <col min="87" max="87" width="12.85546875" style="48" bestFit="1" customWidth="1"/>
    <col min="88" max="88" width="20.7109375" style="48" bestFit="1" customWidth="1"/>
    <col min="89" max="89" width="11" style="48" customWidth="1"/>
    <col min="90" max="90" width="17.5703125" style="48" bestFit="1" customWidth="1"/>
    <col min="91" max="91" width="12" style="48" bestFit="1" customWidth="1"/>
    <col min="92" max="92" width="17.5703125" style="48" bestFit="1" customWidth="1"/>
    <col min="93" max="93" width="13.42578125" style="48" bestFit="1" customWidth="1"/>
    <col min="94" max="94" width="21.42578125" style="48" bestFit="1" customWidth="1"/>
    <col min="95" max="95" width="11" style="48" customWidth="1"/>
    <col min="96" max="96" width="17.5703125" style="48" bestFit="1" customWidth="1"/>
    <col min="97" max="97" width="12" style="48" bestFit="1" customWidth="1"/>
    <col min="98" max="98" width="17.5703125" style="48" bestFit="1" customWidth="1"/>
    <col min="99" max="99" width="12.7109375" style="48" bestFit="1" customWidth="1"/>
    <col min="100" max="100" width="20.5703125" style="48" bestFit="1" customWidth="1"/>
    <col min="101" max="101" width="13.42578125" style="48" bestFit="1" customWidth="1"/>
    <col min="102" max="102" width="21.42578125" style="48" bestFit="1" customWidth="1"/>
    <col min="103" max="103" width="14.5703125" style="48" bestFit="1" customWidth="1"/>
    <col min="104" max="104" width="22.5703125" style="48" bestFit="1" customWidth="1"/>
    <col min="105" max="16384" width="11.42578125" style="48"/>
  </cols>
  <sheetData>
    <row r="1" spans="4:39" ht="15" customHeight="1" x14ac:dyDescent="0.25">
      <c r="D1" s="46"/>
      <c r="E1" s="46"/>
      <c r="F1" s="46"/>
      <c r="G1" s="46"/>
      <c r="H1" s="46"/>
      <c r="I1" s="46"/>
      <c r="J1" s="46"/>
      <c r="K1" s="46"/>
      <c r="L1" s="46"/>
      <c r="M1" s="46"/>
      <c r="N1" s="46"/>
      <c r="O1" s="47"/>
      <c r="P1" s="47"/>
      <c r="Q1" s="46"/>
      <c r="R1" s="46"/>
      <c r="S1" s="46"/>
      <c r="T1" s="46"/>
      <c r="U1" s="46"/>
      <c r="V1" s="46"/>
      <c r="W1" s="46"/>
      <c r="X1" s="46"/>
      <c r="Y1" s="46"/>
      <c r="Z1" s="46"/>
      <c r="AA1" s="46"/>
      <c r="AB1" s="46"/>
      <c r="AC1" s="46"/>
      <c r="AD1" s="47"/>
      <c r="AE1" s="47"/>
      <c r="AF1" s="47"/>
    </row>
    <row r="2" spans="4:39" x14ac:dyDescent="0.25">
      <c r="D2" s="46"/>
      <c r="E2" s="46"/>
      <c r="F2" s="46"/>
      <c r="G2" s="46"/>
      <c r="H2" s="46"/>
      <c r="I2" s="46"/>
      <c r="J2" s="46"/>
      <c r="K2" s="46"/>
      <c r="L2" s="46"/>
      <c r="M2" s="46"/>
      <c r="N2" s="46"/>
      <c r="O2" s="47"/>
      <c r="P2" s="47"/>
      <c r="Q2" s="46"/>
      <c r="R2" s="46"/>
      <c r="S2" s="46"/>
      <c r="T2" s="46"/>
      <c r="U2" s="46"/>
      <c r="V2" s="46"/>
      <c r="W2" s="46"/>
      <c r="X2" s="46"/>
      <c r="Y2" s="46"/>
      <c r="Z2" s="46"/>
      <c r="AA2" s="46"/>
      <c r="AB2" s="46"/>
      <c r="AC2" s="46"/>
      <c r="AD2" s="47"/>
      <c r="AE2" s="47"/>
      <c r="AF2" s="47"/>
    </row>
    <row r="3" spans="4:39" x14ac:dyDescent="0.25">
      <c r="D3" s="67"/>
      <c r="E3" s="67"/>
      <c r="F3" s="67"/>
      <c r="G3" s="67"/>
      <c r="H3" s="67"/>
      <c r="I3" s="67"/>
      <c r="J3" s="67"/>
      <c r="K3" s="67"/>
      <c r="L3" s="67"/>
      <c r="M3" s="67"/>
      <c r="N3" s="67"/>
      <c r="O3" s="47"/>
      <c r="P3" s="47"/>
      <c r="Q3" s="67"/>
      <c r="R3" s="67"/>
      <c r="S3" s="67"/>
      <c r="T3" s="67"/>
      <c r="U3" s="67"/>
      <c r="V3" s="67"/>
      <c r="W3" s="67"/>
      <c r="X3" s="67"/>
      <c r="Y3" s="67"/>
      <c r="Z3" s="67"/>
      <c r="AA3" s="67"/>
      <c r="AB3" s="67"/>
      <c r="AC3" s="67"/>
      <c r="AD3" s="47"/>
      <c r="AE3" s="47"/>
      <c r="AF3" s="47"/>
    </row>
    <row r="4" spans="4:39" ht="18" customHeight="1" x14ac:dyDescent="0.25">
      <c r="D4" s="303" t="s">
        <v>180</v>
      </c>
      <c r="E4" s="288"/>
      <c r="F4" s="288"/>
      <c r="G4" s="288"/>
      <c r="H4" s="288"/>
      <c r="I4" s="288"/>
      <c r="J4" s="288"/>
      <c r="K4" s="288"/>
      <c r="L4" s="288"/>
      <c r="M4" s="288"/>
      <c r="N4" s="288"/>
      <c r="O4" s="49"/>
      <c r="P4" s="49"/>
      <c r="Q4" s="288"/>
      <c r="R4" s="288"/>
      <c r="S4" s="288"/>
      <c r="T4" s="288"/>
      <c r="U4" s="288"/>
      <c r="V4" s="288"/>
      <c r="W4" s="288"/>
      <c r="X4" s="288"/>
      <c r="Y4" s="288"/>
      <c r="Z4" s="288"/>
      <c r="AA4" s="288"/>
      <c r="AB4" s="288"/>
      <c r="AC4" s="288"/>
      <c r="AD4" s="49"/>
      <c r="AE4" s="49"/>
      <c r="AF4" s="49"/>
    </row>
    <row r="5" spans="4:39" ht="15.75" customHeight="1" x14ac:dyDescent="0.25">
      <c r="D5" s="304" t="s">
        <v>218</v>
      </c>
      <c r="E5" s="289"/>
      <c r="F5" s="289"/>
      <c r="G5" s="289"/>
      <c r="H5" s="289"/>
      <c r="I5" s="289"/>
      <c r="J5" s="289"/>
      <c r="K5" s="289" t="s">
        <v>379</v>
      </c>
      <c r="L5" s="289"/>
      <c r="M5" s="289"/>
      <c r="N5" s="289"/>
      <c r="O5" s="50"/>
      <c r="P5" s="50"/>
      <c r="Q5" s="289"/>
      <c r="R5" s="289"/>
      <c r="S5" s="289"/>
      <c r="T5" s="289"/>
      <c r="U5" s="289"/>
      <c r="V5" s="289"/>
      <c r="W5" s="289"/>
      <c r="X5" s="289"/>
      <c r="Y5" s="289"/>
      <c r="Z5" s="289"/>
      <c r="AA5" s="289"/>
      <c r="AB5" s="289"/>
      <c r="AC5" s="289"/>
      <c r="AD5" s="50"/>
      <c r="AE5" s="50"/>
      <c r="AF5" s="50"/>
    </row>
    <row r="6" spans="4:39" x14ac:dyDescent="0.25">
      <c r="D6" s="301" t="s">
        <v>378</v>
      </c>
      <c r="E6" s="293"/>
      <c r="F6" s="293"/>
      <c r="G6" s="293"/>
      <c r="H6" s="293"/>
      <c r="I6" s="634"/>
      <c r="J6" s="293"/>
      <c r="K6" s="293"/>
      <c r="L6" s="293"/>
      <c r="M6" s="293"/>
      <c r="N6" s="293"/>
      <c r="O6" s="68"/>
      <c r="P6" s="68"/>
      <c r="Q6" s="293"/>
      <c r="R6" s="293"/>
      <c r="S6" s="293"/>
      <c r="T6" s="293"/>
      <c r="U6" s="293"/>
      <c r="V6" s="293"/>
      <c r="W6" s="293"/>
      <c r="X6" s="293"/>
      <c r="Y6" s="293"/>
      <c r="Z6" s="293"/>
      <c r="AA6" s="293"/>
      <c r="AB6" s="293"/>
      <c r="AC6" s="293"/>
      <c r="AD6" s="68"/>
      <c r="AE6" s="68"/>
      <c r="AF6" s="68"/>
    </row>
    <row r="7" spans="4:39" x14ac:dyDescent="0.25">
      <c r="D7" s="305" t="s">
        <v>181</v>
      </c>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row>
    <row r="8" spans="4:39" ht="18.75" customHeight="1" x14ac:dyDescent="0.25"/>
    <row r="9" spans="4:39" s="69" customFormat="1" x14ac:dyDescent="0.25">
      <c r="F9" s="70"/>
      <c r="G9" s="48"/>
      <c r="H9" s="48"/>
      <c r="I9" s="48"/>
      <c r="J9" s="48"/>
      <c r="K9" s="48"/>
      <c r="L9" s="48"/>
      <c r="M9" s="48"/>
      <c r="N9" s="48"/>
      <c r="O9" s="48"/>
      <c r="P9" s="48"/>
      <c r="Q9" s="48"/>
      <c r="R9" s="48"/>
      <c r="S9" s="48"/>
      <c r="T9" s="48"/>
      <c r="U9" s="48"/>
      <c r="V9" s="48"/>
      <c r="W9" s="48"/>
      <c r="X9" s="48"/>
      <c r="Y9" s="48"/>
      <c r="Z9" s="48"/>
      <c r="AA9" s="48"/>
      <c r="AB9" s="48"/>
      <c r="AC9" s="48"/>
      <c r="AD9" s="48"/>
    </row>
    <row r="10" spans="4:39" ht="15.75" thickBot="1" x14ac:dyDescent="0.3">
      <c r="F10" s="73"/>
      <c r="H10" s="56"/>
      <c r="J10" s="56"/>
      <c r="L10" s="56"/>
      <c r="N10" s="56"/>
      <c r="R10" s="56"/>
      <c r="T10" s="56"/>
      <c r="V10" s="56"/>
      <c r="X10" s="56"/>
      <c r="Z10" s="56"/>
      <c r="AB10" s="56"/>
      <c r="AD10" s="56"/>
    </row>
    <row r="11" spans="4:39" ht="30" x14ac:dyDescent="0.25">
      <c r="D11" s="55" t="s">
        <v>219</v>
      </c>
      <c r="E11" s="100" t="s">
        <v>128</v>
      </c>
      <c r="F11" s="101"/>
      <c r="G11" s="100" t="s">
        <v>119</v>
      </c>
      <c r="H11" s="101"/>
      <c r="I11" s="100" t="s">
        <v>74</v>
      </c>
      <c r="J11" s="101"/>
      <c r="K11" s="102" t="s">
        <v>120</v>
      </c>
      <c r="L11" s="101"/>
      <c r="M11" s="102" t="s">
        <v>121</v>
      </c>
      <c r="N11" s="101"/>
      <c r="O11" s="102" t="s">
        <v>127</v>
      </c>
      <c r="Q11" s="102" t="s">
        <v>122</v>
      </c>
      <c r="R11" s="102"/>
      <c r="S11" s="102" t="s">
        <v>76</v>
      </c>
      <c r="T11" s="102"/>
      <c r="U11" s="102" t="s">
        <v>123</v>
      </c>
      <c r="V11" s="102"/>
      <c r="W11" s="102" t="s">
        <v>124</v>
      </c>
      <c r="X11" s="102"/>
      <c r="Y11" s="102" t="s">
        <v>125</v>
      </c>
      <c r="Z11" s="102"/>
      <c r="AA11" s="102" t="s">
        <v>365</v>
      </c>
      <c r="AB11" s="102"/>
      <c r="AC11" s="102" t="s">
        <v>126</v>
      </c>
      <c r="AD11" s="56"/>
    </row>
    <row r="12" spans="4:39" s="56" customFormat="1" ht="15.75" x14ac:dyDescent="0.3">
      <c r="D12" s="57" t="s">
        <v>14</v>
      </c>
      <c r="E12" s="390">
        <f>SUM(G12:AC12)</f>
        <v>2523894.5767799993</v>
      </c>
      <c r="F12" s="392"/>
      <c r="G12" s="390">
        <v>62357.867920000004</v>
      </c>
      <c r="H12" s="397"/>
      <c r="I12" s="390">
        <v>429755.70064</v>
      </c>
      <c r="J12" s="397"/>
      <c r="K12" s="390">
        <v>385532.07276000001</v>
      </c>
      <c r="L12" s="397"/>
      <c r="M12" s="393">
        <v>657165.51090999995</v>
      </c>
      <c r="N12" s="397"/>
      <c r="O12" s="390">
        <v>38344.440459999998</v>
      </c>
      <c r="P12" s="415"/>
      <c r="Q12" s="393">
        <v>355480.87786000001</v>
      </c>
      <c r="R12" s="397"/>
      <c r="S12" s="390">
        <v>347097.24650000001</v>
      </c>
      <c r="T12" s="397"/>
      <c r="U12" s="393">
        <v>56215.273430000001</v>
      </c>
      <c r="V12" s="397"/>
      <c r="W12" s="390">
        <v>80950.221659999996</v>
      </c>
      <c r="X12" s="397"/>
      <c r="Y12" s="393">
        <v>2314.5313200000001</v>
      </c>
      <c r="Z12" s="397"/>
      <c r="AA12" s="390">
        <v>56993.020420000001</v>
      </c>
      <c r="AB12" s="397"/>
      <c r="AC12" s="393">
        <v>51687.812899999997</v>
      </c>
      <c r="AD12" s="61"/>
      <c r="AF12" s="408"/>
      <c r="AH12" s="48"/>
      <c r="AI12" s="48"/>
      <c r="AJ12" s="48"/>
      <c r="AK12" s="48"/>
      <c r="AL12" s="48"/>
      <c r="AM12" s="48"/>
    </row>
    <row r="13" spans="4:39" ht="15.75" x14ac:dyDescent="0.3">
      <c r="D13" s="60" t="s">
        <v>183</v>
      </c>
      <c r="E13" s="396">
        <f t="shared" ref="E13:E61" si="0">SUM(G13:AC13)</f>
        <v>3421.2068199999999</v>
      </c>
      <c r="F13" s="402"/>
      <c r="G13" s="396">
        <v>0</v>
      </c>
      <c r="H13" s="397"/>
      <c r="I13" s="397">
        <v>0</v>
      </c>
      <c r="J13" s="397"/>
      <c r="K13" s="396">
        <v>0</v>
      </c>
      <c r="L13" s="397"/>
      <c r="M13" s="397">
        <v>3421.2068199999999</v>
      </c>
      <c r="N13" s="397"/>
      <c r="O13" s="396">
        <v>0</v>
      </c>
      <c r="P13" s="415"/>
      <c r="Q13" s="397">
        <v>0</v>
      </c>
      <c r="R13" s="397"/>
      <c r="S13" s="396">
        <v>0</v>
      </c>
      <c r="T13" s="397"/>
      <c r="U13" s="397">
        <v>0</v>
      </c>
      <c r="V13" s="397"/>
      <c r="W13" s="396">
        <v>0</v>
      </c>
      <c r="X13" s="397"/>
      <c r="Y13" s="397">
        <v>0</v>
      </c>
      <c r="Z13" s="397"/>
      <c r="AA13" s="396">
        <v>0</v>
      </c>
      <c r="AB13" s="397"/>
      <c r="AC13" s="397">
        <v>0</v>
      </c>
      <c r="AD13" s="61"/>
      <c r="AE13" s="56"/>
    </row>
    <row r="14" spans="4:39" ht="15.75" x14ac:dyDescent="0.3">
      <c r="D14" s="75" t="s">
        <v>15</v>
      </c>
      <c r="E14" s="394">
        <f t="shared" si="0"/>
        <v>76625.171199999982</v>
      </c>
      <c r="F14" s="402"/>
      <c r="G14" s="394">
        <v>6822.0844000000006</v>
      </c>
      <c r="H14" s="397"/>
      <c r="I14" s="398">
        <v>0</v>
      </c>
      <c r="J14" s="397"/>
      <c r="K14" s="394">
        <v>24103.901040000001</v>
      </c>
      <c r="L14" s="397"/>
      <c r="M14" s="398">
        <v>10056.147989999999</v>
      </c>
      <c r="N14" s="397"/>
      <c r="O14" s="394">
        <v>4254.58392</v>
      </c>
      <c r="P14" s="415"/>
      <c r="Q14" s="398">
        <v>4448.4693600000001</v>
      </c>
      <c r="R14" s="397"/>
      <c r="S14" s="394">
        <v>10609.537630000001</v>
      </c>
      <c r="T14" s="397"/>
      <c r="U14" s="398">
        <v>1148.7585100000001</v>
      </c>
      <c r="V14" s="397"/>
      <c r="W14" s="394">
        <v>7802.6392100000003</v>
      </c>
      <c r="X14" s="397"/>
      <c r="Y14" s="398">
        <v>2314.5313200000001</v>
      </c>
      <c r="Z14" s="397"/>
      <c r="AA14" s="394">
        <v>0</v>
      </c>
      <c r="AB14" s="397"/>
      <c r="AC14" s="398">
        <v>5064.51782</v>
      </c>
      <c r="AD14" s="61"/>
      <c r="AE14" s="56"/>
    </row>
    <row r="15" spans="4:39" ht="15.75" x14ac:dyDescent="0.3">
      <c r="D15" s="60" t="s">
        <v>16</v>
      </c>
      <c r="E15" s="396">
        <f t="shared" si="0"/>
        <v>2443848.1987600005</v>
      </c>
      <c r="F15" s="402"/>
      <c r="G15" s="396">
        <v>55535.783520000005</v>
      </c>
      <c r="H15" s="397"/>
      <c r="I15" s="397">
        <v>429755.70064</v>
      </c>
      <c r="J15" s="397"/>
      <c r="K15" s="396">
        <v>361428.17172000004</v>
      </c>
      <c r="L15" s="397"/>
      <c r="M15" s="397">
        <v>643688.15610000002</v>
      </c>
      <c r="N15" s="397"/>
      <c r="O15" s="396">
        <v>34089.856540000001</v>
      </c>
      <c r="P15" s="415"/>
      <c r="Q15" s="397">
        <v>351032.40850000002</v>
      </c>
      <c r="R15" s="397"/>
      <c r="S15" s="396">
        <v>336487.70887000003</v>
      </c>
      <c r="T15" s="397"/>
      <c r="U15" s="397">
        <v>55066.514920000001</v>
      </c>
      <c r="V15" s="397"/>
      <c r="W15" s="396">
        <v>73147.582450000002</v>
      </c>
      <c r="X15" s="397"/>
      <c r="Y15" s="397">
        <v>0</v>
      </c>
      <c r="Z15" s="397"/>
      <c r="AA15" s="396">
        <v>56993.020420000001</v>
      </c>
      <c r="AB15" s="397"/>
      <c r="AC15" s="397">
        <v>46623.295079999996</v>
      </c>
      <c r="AD15" s="61"/>
      <c r="AE15" s="56"/>
    </row>
    <row r="16" spans="4:39" ht="15.75" x14ac:dyDescent="0.3">
      <c r="D16" s="63"/>
      <c r="E16" s="394"/>
      <c r="F16" s="392"/>
      <c r="G16" s="394"/>
      <c r="H16" s="397"/>
      <c r="I16" s="398"/>
      <c r="J16" s="397"/>
      <c r="K16" s="394"/>
      <c r="L16" s="397"/>
      <c r="M16" s="398"/>
      <c r="N16" s="397"/>
      <c r="O16" s="394"/>
      <c r="P16" s="415"/>
      <c r="Q16" s="398"/>
      <c r="R16" s="397"/>
      <c r="S16" s="394"/>
      <c r="T16" s="397"/>
      <c r="U16" s="398"/>
      <c r="V16" s="397"/>
      <c r="W16" s="394"/>
      <c r="X16" s="397"/>
      <c r="Y16" s="398"/>
      <c r="Z16" s="397"/>
      <c r="AA16" s="394"/>
      <c r="AB16" s="397"/>
      <c r="AC16" s="398"/>
      <c r="AD16" s="61"/>
      <c r="AE16" s="56"/>
    </row>
    <row r="17" spans="4:31" ht="15.75" x14ac:dyDescent="0.3">
      <c r="D17" s="64" t="s">
        <v>21</v>
      </c>
      <c r="E17" s="400">
        <f t="shared" si="0"/>
        <v>10491.704229999999</v>
      </c>
      <c r="F17" s="392"/>
      <c r="G17" s="400">
        <v>0</v>
      </c>
      <c r="H17" s="397"/>
      <c r="I17" s="401">
        <v>0</v>
      </c>
      <c r="J17" s="397"/>
      <c r="K17" s="400">
        <v>455</v>
      </c>
      <c r="L17" s="397"/>
      <c r="M17" s="401">
        <v>2479</v>
      </c>
      <c r="N17" s="397"/>
      <c r="O17" s="400">
        <v>0</v>
      </c>
      <c r="P17" s="415"/>
      <c r="Q17" s="401">
        <v>0</v>
      </c>
      <c r="R17" s="397"/>
      <c r="S17" s="400">
        <v>4299.3293899999999</v>
      </c>
      <c r="T17" s="397"/>
      <c r="U17" s="401">
        <v>2803.17875</v>
      </c>
      <c r="V17" s="397"/>
      <c r="W17" s="522">
        <v>100.48824999999999</v>
      </c>
      <c r="X17" s="397"/>
      <c r="Y17" s="401">
        <v>354.70784000000003</v>
      </c>
      <c r="Z17" s="397"/>
      <c r="AA17" s="400">
        <v>0</v>
      </c>
      <c r="AB17" s="397"/>
      <c r="AC17" s="401">
        <v>0</v>
      </c>
      <c r="AD17" s="61"/>
      <c r="AE17" s="56"/>
    </row>
    <row r="18" spans="4:31" ht="15.75" x14ac:dyDescent="0.3">
      <c r="D18" s="75" t="s">
        <v>184</v>
      </c>
      <c r="E18" s="394">
        <f t="shared" si="0"/>
        <v>354.70784000000003</v>
      </c>
      <c r="F18" s="402"/>
      <c r="G18" s="394">
        <v>0</v>
      </c>
      <c r="H18" s="397"/>
      <c r="I18" s="398">
        <v>0</v>
      </c>
      <c r="J18" s="397"/>
      <c r="K18" s="394">
        <v>0</v>
      </c>
      <c r="L18" s="397"/>
      <c r="M18" s="398">
        <v>0</v>
      </c>
      <c r="N18" s="397"/>
      <c r="O18" s="394">
        <v>0</v>
      </c>
      <c r="P18" s="415"/>
      <c r="Q18" s="398">
        <v>0</v>
      </c>
      <c r="R18" s="397"/>
      <c r="S18" s="394">
        <v>0</v>
      </c>
      <c r="T18" s="397"/>
      <c r="U18" s="398">
        <v>0</v>
      </c>
      <c r="V18" s="397"/>
      <c r="W18" s="394">
        <v>0</v>
      </c>
      <c r="X18" s="397"/>
      <c r="Y18" s="398">
        <v>354.70784000000003</v>
      </c>
      <c r="Z18" s="397"/>
      <c r="AA18" s="394">
        <v>0</v>
      </c>
      <c r="AB18" s="397"/>
      <c r="AC18" s="398">
        <v>0</v>
      </c>
      <c r="AD18" s="61"/>
      <c r="AE18" s="56"/>
    </row>
    <row r="19" spans="4:31" ht="15.75" x14ac:dyDescent="0.3">
      <c r="D19" s="60" t="s">
        <v>185</v>
      </c>
      <c r="E19" s="396">
        <f t="shared" si="0"/>
        <v>2479</v>
      </c>
      <c r="F19" s="402"/>
      <c r="G19" s="396">
        <v>0</v>
      </c>
      <c r="H19" s="397"/>
      <c r="I19" s="397">
        <v>0</v>
      </c>
      <c r="J19" s="397"/>
      <c r="K19" s="397">
        <v>0</v>
      </c>
      <c r="L19" s="397"/>
      <c r="M19" s="397">
        <v>2479</v>
      </c>
      <c r="N19" s="397"/>
      <c r="O19" s="396">
        <v>0</v>
      </c>
      <c r="P19" s="415"/>
      <c r="Q19" s="397">
        <v>0</v>
      </c>
      <c r="R19" s="397"/>
      <c r="S19" s="396">
        <v>0</v>
      </c>
      <c r="T19" s="397"/>
      <c r="U19" s="397">
        <v>0</v>
      </c>
      <c r="V19" s="397"/>
      <c r="W19" s="396">
        <v>0</v>
      </c>
      <c r="X19" s="397"/>
      <c r="Y19" s="397">
        <v>0</v>
      </c>
      <c r="Z19" s="397"/>
      <c r="AA19" s="396">
        <v>0</v>
      </c>
      <c r="AB19" s="397"/>
      <c r="AC19" s="397">
        <v>0</v>
      </c>
      <c r="AD19" s="61"/>
      <c r="AE19" s="56"/>
    </row>
    <row r="20" spans="4:31" ht="15.75" x14ac:dyDescent="0.3">
      <c r="D20" s="75" t="s">
        <v>220</v>
      </c>
      <c r="E20" s="394">
        <f>+G20+I20+K20+M20+O20+Q20+S20+U20+W20+Y20+AA20+AC20</f>
        <v>7657.9963900000002</v>
      </c>
      <c r="F20" s="402"/>
      <c r="G20" s="394">
        <v>0</v>
      </c>
      <c r="H20" s="397"/>
      <c r="I20" s="398">
        <v>0</v>
      </c>
      <c r="J20" s="397"/>
      <c r="K20" s="398">
        <v>455</v>
      </c>
      <c r="L20" s="397"/>
      <c r="M20" s="398">
        <v>0</v>
      </c>
      <c r="N20" s="397"/>
      <c r="O20" s="394">
        <v>0</v>
      </c>
      <c r="P20" s="415"/>
      <c r="Q20" s="398">
        <v>0</v>
      </c>
      <c r="R20" s="397"/>
      <c r="S20" s="396">
        <v>4299.3293899999999</v>
      </c>
      <c r="T20" s="397"/>
      <c r="U20" s="398">
        <v>2803.17875</v>
      </c>
      <c r="V20" s="397"/>
      <c r="W20" s="394">
        <v>100.48824999999999</v>
      </c>
      <c r="X20" s="397"/>
      <c r="Y20" s="398">
        <v>0</v>
      </c>
      <c r="Z20" s="397"/>
      <c r="AA20" s="394">
        <v>0</v>
      </c>
      <c r="AB20" s="397"/>
      <c r="AC20" s="398">
        <v>0</v>
      </c>
      <c r="AD20" s="61"/>
      <c r="AE20" s="56"/>
    </row>
    <row r="21" spans="4:31" ht="15.75" x14ac:dyDescent="0.3">
      <c r="D21" s="58"/>
      <c r="E21" s="396"/>
      <c r="F21" s="392"/>
      <c r="G21" s="396"/>
      <c r="H21" s="397"/>
      <c r="I21" s="397"/>
      <c r="J21" s="397"/>
      <c r="K21" s="396"/>
      <c r="L21" s="397"/>
      <c r="M21" s="397"/>
      <c r="N21" s="397"/>
      <c r="O21" s="396"/>
      <c r="P21" s="415"/>
      <c r="Q21" s="397"/>
      <c r="R21" s="397"/>
      <c r="S21" s="396"/>
      <c r="T21" s="397"/>
      <c r="U21" s="397"/>
      <c r="V21" s="397"/>
      <c r="W21" s="396"/>
      <c r="X21" s="397"/>
      <c r="Y21" s="397"/>
      <c r="Z21" s="397"/>
      <c r="AA21" s="396"/>
      <c r="AB21" s="397"/>
      <c r="AC21" s="397"/>
      <c r="AD21" s="61"/>
      <c r="AE21" s="56"/>
    </row>
    <row r="22" spans="4:31" ht="15.75" x14ac:dyDescent="0.3">
      <c r="D22" s="57" t="s">
        <v>20</v>
      </c>
      <c r="E22" s="390">
        <f t="shared" si="0"/>
        <v>557161.99369000003</v>
      </c>
      <c r="F22" s="392"/>
      <c r="G22" s="390">
        <v>35113.727509999997</v>
      </c>
      <c r="H22" s="397"/>
      <c r="I22" s="393">
        <v>0</v>
      </c>
      <c r="J22" s="397"/>
      <c r="K22" s="390">
        <v>13156.93907</v>
      </c>
      <c r="L22" s="397"/>
      <c r="M22" s="390">
        <v>245878.8463</v>
      </c>
      <c r="N22" s="397"/>
      <c r="O22" s="390">
        <v>3908.48317</v>
      </c>
      <c r="P22" s="415"/>
      <c r="Q22" s="393">
        <v>34761.446040000003</v>
      </c>
      <c r="R22" s="397"/>
      <c r="S22" s="390">
        <v>11480.555339999999</v>
      </c>
      <c r="T22" s="397"/>
      <c r="U22" s="393">
        <v>5596.0206600000001</v>
      </c>
      <c r="V22" s="397"/>
      <c r="W22" s="390">
        <v>34097.311889999997</v>
      </c>
      <c r="X22" s="397"/>
      <c r="Y22" s="393">
        <v>1174.5536100000002</v>
      </c>
      <c r="Z22" s="397"/>
      <c r="AA22" s="390">
        <v>107837.44439</v>
      </c>
      <c r="AB22" s="397"/>
      <c r="AC22" s="393">
        <v>64156.665710000001</v>
      </c>
      <c r="AD22" s="61"/>
      <c r="AE22" s="56"/>
    </row>
    <row r="23" spans="4:31" ht="15.75" x14ac:dyDescent="0.3">
      <c r="D23" s="60" t="s">
        <v>187</v>
      </c>
      <c r="E23" s="444">
        <f t="shared" si="0"/>
        <v>11166.935730000001</v>
      </c>
      <c r="F23" s="402"/>
      <c r="G23" s="396">
        <v>0</v>
      </c>
      <c r="H23" s="397"/>
      <c r="I23" s="396">
        <v>0</v>
      </c>
      <c r="J23" s="397"/>
      <c r="K23" s="396">
        <v>0</v>
      </c>
      <c r="L23" s="397"/>
      <c r="M23" s="48">
        <v>0</v>
      </c>
      <c r="N23" s="397"/>
      <c r="O23" s="396">
        <v>0</v>
      </c>
      <c r="P23" s="415"/>
      <c r="Q23" s="397">
        <v>7064.5709400000005</v>
      </c>
      <c r="R23" s="397"/>
      <c r="S23" s="396">
        <v>0</v>
      </c>
      <c r="T23" s="397"/>
      <c r="U23" s="397">
        <v>0</v>
      </c>
      <c r="V23" s="397"/>
      <c r="W23" s="396">
        <v>0</v>
      </c>
      <c r="X23" s="397"/>
      <c r="Y23" s="397">
        <v>0</v>
      </c>
      <c r="Z23" s="397"/>
      <c r="AA23" s="396">
        <v>181.01478</v>
      </c>
      <c r="AB23" s="397"/>
      <c r="AC23" s="397">
        <v>3921.3500099999997</v>
      </c>
      <c r="AD23" s="61"/>
      <c r="AE23" s="56"/>
    </row>
    <row r="24" spans="4:31" ht="15.75" x14ac:dyDescent="0.3">
      <c r="D24" s="75" t="s">
        <v>188</v>
      </c>
      <c r="E24" s="394">
        <f t="shared" si="0"/>
        <v>8388.0888599999998</v>
      </c>
      <c r="F24" s="402"/>
      <c r="G24" s="394">
        <v>0</v>
      </c>
      <c r="H24" s="397"/>
      <c r="I24" s="394">
        <v>0</v>
      </c>
      <c r="J24" s="397"/>
      <c r="K24" s="394">
        <v>0</v>
      </c>
      <c r="L24" s="397"/>
      <c r="M24" s="398">
        <v>0</v>
      </c>
      <c r="N24" s="397"/>
      <c r="O24" s="394">
        <v>0</v>
      </c>
      <c r="P24" s="415"/>
      <c r="Q24" s="398">
        <v>0</v>
      </c>
      <c r="R24" s="397"/>
      <c r="S24" s="394">
        <v>0</v>
      </c>
      <c r="T24" s="397"/>
      <c r="U24" s="398">
        <v>0</v>
      </c>
      <c r="V24" s="397"/>
      <c r="W24" s="394">
        <v>8388.0888599999998</v>
      </c>
      <c r="X24" s="397"/>
      <c r="Y24" s="398">
        <v>0</v>
      </c>
      <c r="Z24" s="397"/>
      <c r="AA24" s="394">
        <v>0</v>
      </c>
      <c r="AB24" s="397"/>
      <c r="AC24" s="398">
        <v>0</v>
      </c>
      <c r="AD24" s="61"/>
      <c r="AE24" s="56"/>
    </row>
    <row r="25" spans="4:31" ht="15.75" x14ac:dyDescent="0.3">
      <c r="D25" s="60" t="s">
        <v>189</v>
      </c>
      <c r="E25" s="396">
        <f t="shared" si="0"/>
        <v>161115.60611999998</v>
      </c>
      <c r="F25" s="402"/>
      <c r="G25" s="396">
        <v>0</v>
      </c>
      <c r="H25" s="397"/>
      <c r="I25" s="396">
        <v>0</v>
      </c>
      <c r="J25" s="397"/>
      <c r="K25" s="396">
        <v>0</v>
      </c>
      <c r="L25" s="397"/>
      <c r="M25" s="397">
        <v>8703.7504300000001</v>
      </c>
      <c r="N25" s="397"/>
      <c r="O25" s="396">
        <v>0</v>
      </c>
      <c r="P25" s="415"/>
      <c r="Q25" s="397">
        <v>0</v>
      </c>
      <c r="R25" s="397"/>
      <c r="S25" s="396">
        <v>0</v>
      </c>
      <c r="T25" s="397"/>
      <c r="U25" s="397">
        <v>0</v>
      </c>
      <c r="V25" s="397"/>
      <c r="W25" s="396">
        <v>0</v>
      </c>
      <c r="X25" s="397"/>
      <c r="Y25" s="397">
        <v>0</v>
      </c>
      <c r="Z25" s="397"/>
      <c r="AA25" s="396">
        <v>106734.28418999999</v>
      </c>
      <c r="AB25" s="397"/>
      <c r="AC25" s="397">
        <v>45677.571499999998</v>
      </c>
      <c r="AD25" s="61"/>
      <c r="AE25" s="56"/>
    </row>
    <row r="26" spans="4:31" ht="15.75" x14ac:dyDescent="0.3">
      <c r="D26" s="75" t="s">
        <v>190</v>
      </c>
      <c r="E26" s="394">
        <f t="shared" si="0"/>
        <v>54.43647</v>
      </c>
      <c r="F26" s="402"/>
      <c r="G26" s="394">
        <v>54.43647</v>
      </c>
      <c r="H26" s="397"/>
      <c r="I26" s="394">
        <v>0</v>
      </c>
      <c r="J26" s="397"/>
      <c r="K26" s="394">
        <v>0</v>
      </c>
      <c r="L26" s="397"/>
      <c r="M26" s="398">
        <v>0</v>
      </c>
      <c r="N26" s="397"/>
      <c r="O26" s="394">
        <v>0</v>
      </c>
      <c r="P26" s="415"/>
      <c r="Q26" s="398">
        <v>0</v>
      </c>
      <c r="R26" s="397"/>
      <c r="S26" s="394">
        <v>0</v>
      </c>
      <c r="T26" s="397"/>
      <c r="U26" s="398">
        <v>0</v>
      </c>
      <c r="V26" s="397"/>
      <c r="W26" s="394">
        <v>0</v>
      </c>
      <c r="X26" s="397"/>
      <c r="Y26" s="398">
        <v>0</v>
      </c>
      <c r="Z26" s="397"/>
      <c r="AA26" s="394">
        <v>0</v>
      </c>
      <c r="AB26" s="397"/>
      <c r="AC26" s="398">
        <v>0</v>
      </c>
      <c r="AD26" s="61"/>
      <c r="AE26" s="56"/>
    </row>
    <row r="27" spans="4:31" ht="15.75" x14ac:dyDescent="0.3">
      <c r="D27" s="60" t="s">
        <v>221</v>
      </c>
      <c r="E27" s="444">
        <f t="shared" si="0"/>
        <v>1691.8086900000001</v>
      </c>
      <c r="F27" s="402"/>
      <c r="G27" s="396">
        <v>59.737199999999994</v>
      </c>
      <c r="H27" s="397"/>
      <c r="I27" s="396">
        <v>0</v>
      </c>
      <c r="J27" s="397"/>
      <c r="K27" s="396">
        <v>0</v>
      </c>
      <c r="L27" s="397"/>
      <c r="M27" s="397">
        <v>148.99620000000002</v>
      </c>
      <c r="N27" s="397"/>
      <c r="O27" s="396">
        <v>0</v>
      </c>
      <c r="P27" s="415"/>
      <c r="Q27" s="397">
        <v>1483.07529</v>
      </c>
      <c r="R27" s="397"/>
      <c r="S27" s="396">
        <v>0</v>
      </c>
      <c r="T27" s="397"/>
      <c r="U27" s="397">
        <v>0</v>
      </c>
      <c r="V27" s="397"/>
      <c r="W27" s="396">
        <v>0</v>
      </c>
      <c r="X27" s="397"/>
      <c r="Y27" s="397">
        <v>0</v>
      </c>
      <c r="Z27" s="397"/>
      <c r="AA27" s="396">
        <v>0</v>
      </c>
      <c r="AB27" s="397"/>
      <c r="AC27" s="397">
        <v>0</v>
      </c>
      <c r="AD27" s="61"/>
      <c r="AE27" s="56"/>
    </row>
    <row r="28" spans="4:31" ht="15.75" x14ac:dyDescent="0.3">
      <c r="D28" s="75" t="s">
        <v>222</v>
      </c>
      <c r="E28" s="394">
        <f t="shared" si="0"/>
        <v>0</v>
      </c>
      <c r="F28" s="402"/>
      <c r="G28" s="394">
        <v>0</v>
      </c>
      <c r="H28" s="397"/>
      <c r="I28" s="394">
        <v>0</v>
      </c>
      <c r="J28" s="397"/>
      <c r="K28" s="394">
        <v>0</v>
      </c>
      <c r="L28" s="397"/>
      <c r="M28" s="398">
        <v>0</v>
      </c>
      <c r="N28" s="397"/>
      <c r="O28" s="394">
        <v>0</v>
      </c>
      <c r="P28" s="415"/>
      <c r="Q28" s="398">
        <v>0</v>
      </c>
      <c r="R28" s="397"/>
      <c r="S28" s="394">
        <v>0</v>
      </c>
      <c r="T28" s="397"/>
      <c r="U28" s="398">
        <v>0</v>
      </c>
      <c r="V28" s="397"/>
      <c r="W28" s="394">
        <v>0</v>
      </c>
      <c r="X28" s="397"/>
      <c r="Y28" s="398">
        <v>0</v>
      </c>
      <c r="Z28" s="397"/>
      <c r="AA28" s="394">
        <v>0</v>
      </c>
      <c r="AB28" s="397"/>
      <c r="AC28" s="398">
        <v>0</v>
      </c>
      <c r="AD28" s="61"/>
      <c r="AE28" s="56"/>
    </row>
    <row r="29" spans="4:31" ht="15.75" x14ac:dyDescent="0.3">
      <c r="D29" s="60" t="s">
        <v>193</v>
      </c>
      <c r="E29" s="396">
        <f t="shared" si="0"/>
        <v>7828.0279100000016</v>
      </c>
      <c r="F29" s="402"/>
      <c r="G29" s="396">
        <v>5369.4275800000005</v>
      </c>
      <c r="H29" s="397"/>
      <c r="I29" s="396">
        <v>0</v>
      </c>
      <c r="J29" s="397"/>
      <c r="K29" s="396">
        <v>0</v>
      </c>
      <c r="L29" s="397"/>
      <c r="M29" s="397">
        <v>212.06166000000002</v>
      </c>
      <c r="N29" s="397"/>
      <c r="O29" s="396">
        <v>0</v>
      </c>
      <c r="P29" s="415"/>
      <c r="Q29" s="397">
        <v>173.48882999999998</v>
      </c>
      <c r="R29" s="397"/>
      <c r="S29" s="396">
        <v>0</v>
      </c>
      <c r="T29" s="397"/>
      <c r="U29" s="25">
        <v>1646.5548999999999</v>
      </c>
      <c r="V29" s="397"/>
      <c r="W29" s="396">
        <v>219.34452999999999</v>
      </c>
      <c r="X29" s="397"/>
      <c r="Y29" s="397">
        <v>0</v>
      </c>
      <c r="Z29" s="397"/>
      <c r="AA29" s="396">
        <v>0</v>
      </c>
      <c r="AB29" s="397"/>
      <c r="AC29" s="397">
        <v>207.15040999999999</v>
      </c>
      <c r="AD29" s="61"/>
      <c r="AE29" s="56"/>
    </row>
    <row r="30" spans="4:31" ht="16.149999999999999" customHeight="1" x14ac:dyDescent="0.3">
      <c r="D30" s="75" t="s">
        <v>194</v>
      </c>
      <c r="E30" s="394">
        <f t="shared" si="0"/>
        <v>25533.204899999997</v>
      </c>
      <c r="F30" s="402"/>
      <c r="G30" s="394">
        <v>3485.9630000000002</v>
      </c>
      <c r="H30" s="397"/>
      <c r="I30" s="394">
        <v>0</v>
      </c>
      <c r="J30" s="397"/>
      <c r="K30" s="394">
        <v>0</v>
      </c>
      <c r="L30" s="397"/>
      <c r="M30" s="398">
        <v>11439.62306</v>
      </c>
      <c r="N30" s="397"/>
      <c r="O30" s="394">
        <v>2686.2557599999996</v>
      </c>
      <c r="P30" s="415"/>
      <c r="Q30" s="398">
        <v>3708.0405299999998</v>
      </c>
      <c r="R30" s="397"/>
      <c r="S30" s="394">
        <v>770.75281000000007</v>
      </c>
      <c r="T30" s="397"/>
      <c r="U30" s="398">
        <v>0</v>
      </c>
      <c r="V30" s="397"/>
      <c r="W30" s="394">
        <v>2511.0172699999998</v>
      </c>
      <c r="X30" s="397"/>
      <c r="Y30" s="398">
        <v>931.55246999999997</v>
      </c>
      <c r="Z30" s="397"/>
      <c r="AA30" s="394">
        <v>0</v>
      </c>
      <c r="AB30" s="397"/>
      <c r="AC30" s="398">
        <v>0</v>
      </c>
      <c r="AD30" s="61"/>
      <c r="AE30" s="56"/>
    </row>
    <row r="31" spans="4:31" ht="15.75" x14ac:dyDescent="0.3">
      <c r="D31" s="60" t="s">
        <v>195</v>
      </c>
      <c r="E31" s="396">
        <f t="shared" si="0"/>
        <v>50768.986120000001</v>
      </c>
      <c r="F31" s="402"/>
      <c r="G31" s="396">
        <v>6786.4189500000002</v>
      </c>
      <c r="H31" s="397"/>
      <c r="I31" s="396">
        <v>0</v>
      </c>
      <c r="J31" s="397"/>
      <c r="K31" s="396">
        <v>0</v>
      </c>
      <c r="L31" s="397"/>
      <c r="M31" s="397">
        <v>40506.042700000005</v>
      </c>
      <c r="N31" s="397"/>
      <c r="O31" s="396">
        <v>150.12257</v>
      </c>
      <c r="P31" s="415"/>
      <c r="Q31" s="397">
        <v>1865.4657099999999</v>
      </c>
      <c r="R31" s="397"/>
      <c r="S31" s="396">
        <v>522.62094000000002</v>
      </c>
      <c r="T31" s="397"/>
      <c r="U31" s="397">
        <v>518.81159000000002</v>
      </c>
      <c r="V31" s="397"/>
      <c r="W31" s="396">
        <v>339.06641999999999</v>
      </c>
      <c r="X31" s="397"/>
      <c r="Y31" s="397">
        <v>26.425939999999997</v>
      </c>
      <c r="Z31" s="397"/>
      <c r="AA31" s="396">
        <v>0</v>
      </c>
      <c r="AB31" s="397"/>
      <c r="AC31" s="397">
        <v>54.011300000000006</v>
      </c>
      <c r="AD31" s="61"/>
      <c r="AE31" s="56"/>
    </row>
    <row r="32" spans="4:31" ht="15.75" x14ac:dyDescent="0.3">
      <c r="D32" s="75" t="s">
        <v>196</v>
      </c>
      <c r="E32" s="394">
        <f t="shared" si="0"/>
        <v>0</v>
      </c>
      <c r="F32" s="402"/>
      <c r="G32" s="394">
        <v>0</v>
      </c>
      <c r="H32" s="397"/>
      <c r="I32" s="394">
        <v>0</v>
      </c>
      <c r="J32" s="397"/>
      <c r="K32" s="394">
        <v>0</v>
      </c>
      <c r="L32" s="397"/>
      <c r="M32" s="398">
        <v>0</v>
      </c>
      <c r="N32" s="397"/>
      <c r="O32" s="394">
        <v>0</v>
      </c>
      <c r="P32" s="415"/>
      <c r="Q32" s="398">
        <v>0</v>
      </c>
      <c r="R32" s="397"/>
      <c r="S32" s="394">
        <v>0</v>
      </c>
      <c r="T32" s="397"/>
      <c r="U32" s="398">
        <v>0</v>
      </c>
      <c r="V32" s="397"/>
      <c r="W32" s="394">
        <v>0</v>
      </c>
      <c r="X32" s="397"/>
      <c r="Y32" s="398">
        <v>0</v>
      </c>
      <c r="Z32" s="397"/>
      <c r="AA32" s="394">
        <v>0</v>
      </c>
      <c r="AB32" s="397"/>
      <c r="AC32" s="398">
        <v>0</v>
      </c>
      <c r="AD32" s="61"/>
      <c r="AE32" s="56"/>
    </row>
    <row r="33" spans="4:31" ht="15.75" x14ac:dyDescent="0.3">
      <c r="D33" s="60" t="s">
        <v>197</v>
      </c>
      <c r="E33" s="396">
        <f t="shared" si="0"/>
        <v>1.4000000000000001E-4</v>
      </c>
      <c r="F33" s="402"/>
      <c r="G33" s="396">
        <v>0</v>
      </c>
      <c r="H33" s="397"/>
      <c r="I33" s="396">
        <v>0</v>
      </c>
      <c r="J33" s="397"/>
      <c r="K33" s="396">
        <v>0</v>
      </c>
      <c r="L33" s="397"/>
      <c r="M33" s="397">
        <v>0</v>
      </c>
      <c r="N33" s="397"/>
      <c r="O33" s="396">
        <v>0</v>
      </c>
      <c r="P33" s="415"/>
      <c r="Q33" s="397">
        <v>0</v>
      </c>
      <c r="R33" s="397"/>
      <c r="S33" s="396">
        <v>0</v>
      </c>
      <c r="T33" s="397"/>
      <c r="U33" s="397">
        <v>0</v>
      </c>
      <c r="V33" s="397"/>
      <c r="W33" s="396">
        <v>1.4000000000000001E-4</v>
      </c>
      <c r="X33" s="397"/>
      <c r="Y33" s="397">
        <v>0</v>
      </c>
      <c r="Z33" s="397"/>
      <c r="AA33" s="396">
        <v>0</v>
      </c>
      <c r="AB33" s="397"/>
      <c r="AC33" s="397">
        <v>0</v>
      </c>
      <c r="AD33" s="61"/>
      <c r="AE33" s="56"/>
    </row>
    <row r="34" spans="4:31" ht="15.75" x14ac:dyDescent="0.3">
      <c r="D34" s="75" t="s">
        <v>198</v>
      </c>
      <c r="E34" s="464">
        <f t="shared" si="0"/>
        <v>1113.4426799999999</v>
      </c>
      <c r="F34" s="402"/>
      <c r="G34" s="394">
        <v>0</v>
      </c>
      <c r="H34" s="397"/>
      <c r="I34" s="394">
        <v>0</v>
      </c>
      <c r="J34" s="397"/>
      <c r="K34" s="394">
        <v>0</v>
      </c>
      <c r="L34" s="397"/>
      <c r="M34" s="398">
        <v>0</v>
      </c>
      <c r="N34" s="397"/>
      <c r="O34" s="394">
        <v>0</v>
      </c>
      <c r="P34" s="415"/>
      <c r="Q34" s="398">
        <v>0</v>
      </c>
      <c r="R34" s="397"/>
      <c r="S34" s="394">
        <v>0</v>
      </c>
      <c r="T34" s="397"/>
      <c r="U34" s="398">
        <v>0</v>
      </c>
      <c r="V34" s="397"/>
      <c r="W34" s="394">
        <v>0</v>
      </c>
      <c r="X34" s="397"/>
      <c r="Y34" s="398">
        <v>0</v>
      </c>
      <c r="Z34" s="397"/>
      <c r="AA34" s="394">
        <v>0</v>
      </c>
      <c r="AB34" s="397"/>
      <c r="AC34" s="398">
        <v>1113.4426799999999</v>
      </c>
      <c r="AD34" s="61"/>
      <c r="AE34" s="56"/>
    </row>
    <row r="35" spans="4:31" ht="15.75" x14ac:dyDescent="0.3">
      <c r="D35" s="60" t="s">
        <v>199</v>
      </c>
      <c r="E35" s="396">
        <f t="shared" si="0"/>
        <v>19762.883950000003</v>
      </c>
      <c r="F35" s="402"/>
      <c r="G35" s="396">
        <v>4123.3142600000001</v>
      </c>
      <c r="H35" s="397"/>
      <c r="I35" s="396">
        <v>0</v>
      </c>
      <c r="J35" s="397"/>
      <c r="K35" s="442">
        <v>10842.99948</v>
      </c>
      <c r="L35" s="397"/>
      <c r="M35" s="397">
        <v>940.02912000000003</v>
      </c>
      <c r="N35" s="397"/>
      <c r="O35" s="396">
        <v>0</v>
      </c>
      <c r="P35" s="415"/>
      <c r="Q35" s="397">
        <v>22.124919999999999</v>
      </c>
      <c r="R35" s="397"/>
      <c r="S35" s="396">
        <v>0</v>
      </c>
      <c r="T35" s="397"/>
      <c r="U35" s="397">
        <v>3388.7333100000001</v>
      </c>
      <c r="V35" s="397"/>
      <c r="W35" s="396">
        <v>0</v>
      </c>
      <c r="X35" s="397"/>
      <c r="Y35" s="397">
        <v>0</v>
      </c>
      <c r="Z35" s="397"/>
      <c r="AA35" s="396">
        <v>0</v>
      </c>
      <c r="AB35" s="397"/>
      <c r="AC35" s="397">
        <v>445.68286000000001</v>
      </c>
      <c r="AD35" s="61"/>
      <c r="AE35" s="56"/>
    </row>
    <row r="36" spans="4:31" ht="15.75" x14ac:dyDescent="0.3">
      <c r="D36" s="75" t="s">
        <v>200</v>
      </c>
      <c r="E36" s="394">
        <f t="shared" si="0"/>
        <v>0</v>
      </c>
      <c r="F36" s="402"/>
      <c r="G36" s="394">
        <v>0</v>
      </c>
      <c r="H36" s="397"/>
      <c r="I36" s="394">
        <v>0</v>
      </c>
      <c r="J36" s="397"/>
      <c r="K36" s="394">
        <v>0</v>
      </c>
      <c r="L36" s="397"/>
      <c r="M36" s="398">
        <v>0</v>
      </c>
      <c r="N36" s="397"/>
      <c r="O36" s="394">
        <v>0</v>
      </c>
      <c r="P36" s="415"/>
      <c r="Q36" s="398">
        <v>0</v>
      </c>
      <c r="R36" s="397"/>
      <c r="S36" s="394">
        <v>0</v>
      </c>
      <c r="T36" s="397"/>
      <c r="U36" s="398">
        <v>0</v>
      </c>
      <c r="V36" s="397"/>
      <c r="W36" s="394">
        <v>0</v>
      </c>
      <c r="X36" s="397"/>
      <c r="Y36" s="398">
        <v>0</v>
      </c>
      <c r="Z36" s="397"/>
      <c r="AA36" s="394">
        <v>0</v>
      </c>
      <c r="AB36" s="397"/>
      <c r="AC36" s="398">
        <v>0</v>
      </c>
      <c r="AD36" s="61"/>
      <c r="AE36" s="56"/>
    </row>
    <row r="37" spans="4:31" ht="15.75" x14ac:dyDescent="0.3">
      <c r="D37" s="60" t="s">
        <v>201</v>
      </c>
      <c r="E37" s="396">
        <f t="shared" si="0"/>
        <v>13379.426599999999</v>
      </c>
      <c r="F37" s="402"/>
      <c r="G37" s="396">
        <v>75.665809999999993</v>
      </c>
      <c r="H37" s="397"/>
      <c r="I37" s="396">
        <v>0</v>
      </c>
      <c r="J37" s="397"/>
      <c r="K37" s="396">
        <v>0</v>
      </c>
      <c r="L37" s="397"/>
      <c r="M37" s="397">
        <v>24.076259999999998</v>
      </c>
      <c r="N37" s="397"/>
      <c r="O37" s="396">
        <v>708.25118000000009</v>
      </c>
      <c r="P37" s="415"/>
      <c r="Q37" s="397">
        <v>2853.10509</v>
      </c>
      <c r="R37" s="397"/>
      <c r="S37" s="396">
        <v>7155.2687400000004</v>
      </c>
      <c r="T37" s="397"/>
      <c r="U37" s="397">
        <v>0</v>
      </c>
      <c r="V37" s="397"/>
      <c r="W37" s="396">
        <v>1555.20704</v>
      </c>
      <c r="X37" s="397"/>
      <c r="Y37" s="397">
        <v>216.57520000000002</v>
      </c>
      <c r="Z37" s="397"/>
      <c r="AA37" s="396">
        <v>0</v>
      </c>
      <c r="AB37" s="397"/>
      <c r="AC37" s="398">
        <v>791.27728000000002</v>
      </c>
      <c r="AD37" s="61"/>
      <c r="AE37" s="56"/>
    </row>
    <row r="38" spans="4:31" ht="15.75" x14ac:dyDescent="0.3">
      <c r="D38" s="75" t="s">
        <v>202</v>
      </c>
      <c r="E38" s="394">
        <f t="shared" si="0"/>
        <v>447.0086</v>
      </c>
      <c r="F38" s="402"/>
      <c r="G38" s="394">
        <v>0</v>
      </c>
      <c r="H38" s="397"/>
      <c r="I38" s="394">
        <v>0</v>
      </c>
      <c r="J38" s="397"/>
      <c r="K38" s="394">
        <v>0</v>
      </c>
      <c r="L38" s="397"/>
      <c r="M38" s="398">
        <v>0</v>
      </c>
      <c r="N38" s="397"/>
      <c r="O38" s="394">
        <v>0</v>
      </c>
      <c r="P38" s="415"/>
      <c r="Q38" s="398">
        <v>147.0086</v>
      </c>
      <c r="R38" s="397"/>
      <c r="S38" s="394">
        <v>0</v>
      </c>
      <c r="T38" s="397"/>
      <c r="U38" s="398">
        <v>0</v>
      </c>
      <c r="V38" s="397"/>
      <c r="W38" s="394">
        <v>300</v>
      </c>
      <c r="X38" s="397"/>
      <c r="Y38" s="398">
        <v>0</v>
      </c>
      <c r="Z38" s="397"/>
      <c r="AA38" s="394">
        <v>0</v>
      </c>
      <c r="AB38" s="397"/>
      <c r="AC38" s="398">
        <v>0</v>
      </c>
      <c r="AD38" s="61"/>
      <c r="AE38" s="56"/>
    </row>
    <row r="39" spans="4:31" ht="15.75" x14ac:dyDescent="0.3">
      <c r="D39" s="60" t="s">
        <v>203</v>
      </c>
      <c r="E39" s="396">
        <f t="shared" si="0"/>
        <v>3618.2138599999998</v>
      </c>
      <c r="F39" s="402"/>
      <c r="G39" s="396">
        <v>1559.7120300000001</v>
      </c>
      <c r="H39" s="397"/>
      <c r="I39" s="396">
        <v>0</v>
      </c>
      <c r="J39" s="397"/>
      <c r="K39" s="396">
        <v>0</v>
      </c>
      <c r="L39" s="397"/>
      <c r="M39" s="397">
        <v>0</v>
      </c>
      <c r="N39" s="397"/>
      <c r="O39" s="396">
        <v>0</v>
      </c>
      <c r="P39" s="415"/>
      <c r="Q39" s="397">
        <v>0</v>
      </c>
      <c r="R39" s="397"/>
      <c r="S39" s="396">
        <v>7.2755200000000002</v>
      </c>
      <c r="T39" s="397"/>
      <c r="U39" s="397">
        <v>0</v>
      </c>
      <c r="V39" s="397"/>
      <c r="W39" s="396">
        <v>1070.0628100000001</v>
      </c>
      <c r="X39" s="397"/>
      <c r="Y39" s="397">
        <v>0</v>
      </c>
      <c r="Z39" s="397"/>
      <c r="AA39" s="396">
        <v>922.14542000000006</v>
      </c>
      <c r="AB39" s="397"/>
      <c r="AC39" s="397">
        <v>59.018080000000005</v>
      </c>
      <c r="AD39" s="61"/>
      <c r="AE39" s="56"/>
    </row>
    <row r="40" spans="4:31" ht="15.75" x14ac:dyDescent="0.3">
      <c r="D40" s="75" t="s">
        <v>204</v>
      </c>
      <c r="E40" s="394">
        <f t="shared" si="0"/>
        <v>15.2</v>
      </c>
      <c r="F40" s="402"/>
      <c r="G40" s="394">
        <v>0</v>
      </c>
      <c r="H40" s="397"/>
      <c r="I40" s="394">
        <v>0</v>
      </c>
      <c r="J40" s="397"/>
      <c r="K40" s="394">
        <v>0</v>
      </c>
      <c r="L40" s="397"/>
      <c r="M40" s="398">
        <v>0</v>
      </c>
      <c r="N40" s="397"/>
      <c r="O40" s="394">
        <v>0</v>
      </c>
      <c r="P40" s="415"/>
      <c r="Q40" s="398">
        <v>15.2</v>
      </c>
      <c r="R40" s="397"/>
      <c r="S40" s="394">
        <v>0</v>
      </c>
      <c r="T40" s="397"/>
      <c r="U40" s="398">
        <v>0</v>
      </c>
      <c r="V40" s="397"/>
      <c r="W40" s="394">
        <v>0</v>
      </c>
      <c r="X40" s="397"/>
      <c r="Y40" s="398">
        <v>0</v>
      </c>
      <c r="Z40" s="397"/>
      <c r="AA40" s="394">
        <v>0</v>
      </c>
      <c r="AB40" s="397"/>
      <c r="AC40" s="398">
        <v>0</v>
      </c>
      <c r="AD40" s="61"/>
      <c r="AE40" s="56"/>
    </row>
    <row r="41" spans="4:31" ht="15.75" x14ac:dyDescent="0.3">
      <c r="D41" s="60" t="s">
        <v>205</v>
      </c>
      <c r="E41" s="396">
        <f t="shared" si="0"/>
        <v>180372.00372000001</v>
      </c>
      <c r="F41" s="402"/>
      <c r="G41" s="396">
        <v>2121.03352</v>
      </c>
      <c r="H41" s="397"/>
      <c r="I41" s="396">
        <v>0</v>
      </c>
      <c r="J41" s="397"/>
      <c r="K41" s="396">
        <v>0</v>
      </c>
      <c r="L41" s="397"/>
      <c r="M41" s="397">
        <v>174524.94278000001</v>
      </c>
      <c r="N41" s="397"/>
      <c r="O41" s="396">
        <v>0</v>
      </c>
      <c r="P41" s="415"/>
      <c r="Q41" s="397">
        <v>0</v>
      </c>
      <c r="R41" s="397"/>
      <c r="S41" s="396">
        <v>0</v>
      </c>
      <c r="T41" s="397"/>
      <c r="U41" s="397">
        <v>27</v>
      </c>
      <c r="V41" s="397"/>
      <c r="W41" s="396">
        <v>3689.4548599999998</v>
      </c>
      <c r="X41" s="397"/>
      <c r="Y41" s="397">
        <v>0</v>
      </c>
      <c r="Z41" s="397"/>
      <c r="AA41" s="396">
        <v>0</v>
      </c>
      <c r="AB41" s="397"/>
      <c r="AC41" s="397">
        <v>9.5725599999999993</v>
      </c>
      <c r="AD41" s="61"/>
      <c r="AE41" s="56"/>
    </row>
    <row r="42" spans="4:31" ht="15.75" x14ac:dyDescent="0.3">
      <c r="D42" s="75" t="s">
        <v>206</v>
      </c>
      <c r="E42" s="394">
        <f t="shared" si="0"/>
        <v>464.80052000000001</v>
      </c>
      <c r="F42" s="402"/>
      <c r="G42" s="394">
        <v>0</v>
      </c>
      <c r="H42" s="397"/>
      <c r="I42" s="394">
        <v>0</v>
      </c>
      <c r="J42" s="397"/>
      <c r="K42" s="394">
        <v>0</v>
      </c>
      <c r="L42" s="397"/>
      <c r="M42" s="398">
        <v>0</v>
      </c>
      <c r="N42" s="397"/>
      <c r="O42" s="394">
        <v>0</v>
      </c>
      <c r="P42" s="415"/>
      <c r="Q42" s="398">
        <v>0</v>
      </c>
      <c r="R42" s="397"/>
      <c r="S42" s="394">
        <v>0</v>
      </c>
      <c r="T42" s="397"/>
      <c r="U42" s="398">
        <v>0</v>
      </c>
      <c r="V42" s="397"/>
      <c r="W42" s="394">
        <v>464.80052000000001</v>
      </c>
      <c r="X42" s="397"/>
      <c r="Y42" s="398">
        <v>0</v>
      </c>
      <c r="Z42" s="397"/>
      <c r="AA42" s="394">
        <v>0</v>
      </c>
      <c r="AB42" s="397"/>
      <c r="AC42" s="398">
        <v>0</v>
      </c>
      <c r="AD42" s="61"/>
      <c r="AE42" s="56"/>
    </row>
    <row r="43" spans="4:31" ht="15.75" x14ac:dyDescent="0.3">
      <c r="D43" s="60" t="s">
        <v>207</v>
      </c>
      <c r="E43" s="396">
        <f t="shared" si="0"/>
        <v>33557.494930000001</v>
      </c>
      <c r="F43" s="402"/>
      <c r="G43" s="396">
        <v>0</v>
      </c>
      <c r="H43" s="397"/>
      <c r="I43" s="396">
        <v>0</v>
      </c>
      <c r="J43" s="397"/>
      <c r="K43" s="396">
        <v>0</v>
      </c>
      <c r="L43" s="397"/>
      <c r="M43" s="397">
        <v>0</v>
      </c>
      <c r="N43" s="397"/>
      <c r="O43" s="396">
        <v>0</v>
      </c>
      <c r="P43" s="415"/>
      <c r="Q43" s="397">
        <v>12834.747640000001</v>
      </c>
      <c r="R43" s="397"/>
      <c r="S43" s="396">
        <v>0</v>
      </c>
      <c r="T43" s="397"/>
      <c r="U43" s="397">
        <v>0</v>
      </c>
      <c r="V43" s="397"/>
      <c r="W43" s="394">
        <v>14046.347039999999</v>
      </c>
      <c r="X43" s="397"/>
      <c r="Y43" s="397">
        <v>0</v>
      </c>
      <c r="Z43" s="397"/>
      <c r="AA43" s="396">
        <v>0</v>
      </c>
      <c r="AB43" s="397"/>
      <c r="AC43" s="397">
        <v>6676.4002499999997</v>
      </c>
      <c r="AD43" s="61"/>
      <c r="AE43" s="56"/>
    </row>
    <row r="44" spans="4:31" ht="15.75" x14ac:dyDescent="0.3">
      <c r="D44" s="75" t="s">
        <v>208</v>
      </c>
      <c r="E44" s="394">
        <f t="shared" si="0"/>
        <v>37884.423890000005</v>
      </c>
      <c r="F44" s="402"/>
      <c r="G44" s="394">
        <v>11478.018689999999</v>
      </c>
      <c r="H44" s="397"/>
      <c r="I44" s="394">
        <v>0</v>
      </c>
      <c r="J44" s="397"/>
      <c r="K44" s="394">
        <v>2313.93959</v>
      </c>
      <c r="L44" s="397"/>
      <c r="M44" s="398">
        <v>9379.3240900000001</v>
      </c>
      <c r="N44" s="397"/>
      <c r="O44" s="394">
        <v>363.85365999999999</v>
      </c>
      <c r="P44" s="415"/>
      <c r="Q44" s="398">
        <v>4594.6184899999998</v>
      </c>
      <c r="R44" s="397"/>
      <c r="S44" s="394">
        <v>3024.63733</v>
      </c>
      <c r="T44" s="397"/>
      <c r="U44" s="398">
        <v>14.920860000000001</v>
      </c>
      <c r="V44" s="397"/>
      <c r="W44" s="394">
        <v>1513.9223999999999</v>
      </c>
      <c r="X44" s="397"/>
      <c r="Y44" s="398">
        <v>0</v>
      </c>
      <c r="Z44" s="397"/>
      <c r="AA44" s="394">
        <v>0</v>
      </c>
      <c r="AB44" s="397"/>
      <c r="AC44" s="397">
        <v>5201.1887800000004</v>
      </c>
      <c r="AD44" s="61"/>
      <c r="AE44" s="56"/>
    </row>
    <row r="45" spans="4:31" ht="15.75" x14ac:dyDescent="0.3">
      <c r="D45" s="58"/>
      <c r="E45" s="396"/>
      <c r="F45" s="392"/>
      <c r="G45" s="396"/>
      <c r="H45" s="397"/>
      <c r="I45" s="397"/>
      <c r="J45" s="397"/>
      <c r="K45" s="396"/>
      <c r="L45" s="397"/>
      <c r="M45" s="397"/>
      <c r="N45" s="397"/>
      <c r="O45" s="396"/>
      <c r="P45" s="415"/>
      <c r="Q45" s="397"/>
      <c r="R45" s="397"/>
      <c r="S45" s="396"/>
      <c r="T45" s="397"/>
      <c r="U45" s="397"/>
      <c r="V45" s="397"/>
      <c r="W45" s="396"/>
      <c r="X45" s="397"/>
      <c r="Y45" s="397"/>
      <c r="Z45" s="397"/>
      <c r="AA45" s="396"/>
      <c r="AB45" s="397"/>
      <c r="AC45" s="397"/>
      <c r="AD45" s="61"/>
      <c r="AE45" s="56"/>
    </row>
    <row r="46" spans="4:31" ht="15.75" x14ac:dyDescent="0.3">
      <c r="D46" s="57" t="s">
        <v>223</v>
      </c>
      <c r="E46" s="390">
        <f t="shared" si="0"/>
        <v>0</v>
      </c>
      <c r="F46" s="392"/>
      <c r="G46" s="390">
        <v>0</v>
      </c>
      <c r="H46" s="397">
        <v>0</v>
      </c>
      <c r="I46" s="393">
        <v>0</v>
      </c>
      <c r="J46" s="397">
        <v>0</v>
      </c>
      <c r="K46" s="393">
        <v>0</v>
      </c>
      <c r="L46" s="393">
        <v>0</v>
      </c>
      <c r="M46" s="393">
        <v>0</v>
      </c>
      <c r="N46" s="393">
        <v>0</v>
      </c>
      <c r="O46" s="393">
        <v>0</v>
      </c>
      <c r="P46" s="393">
        <v>0</v>
      </c>
      <c r="Q46" s="393">
        <v>0</v>
      </c>
      <c r="R46" s="393">
        <v>0</v>
      </c>
      <c r="S46" s="393">
        <v>0</v>
      </c>
      <c r="T46" s="393">
        <v>0</v>
      </c>
      <c r="U46" s="393">
        <v>0</v>
      </c>
      <c r="V46" s="393">
        <v>0</v>
      </c>
      <c r="W46" s="393">
        <v>0</v>
      </c>
      <c r="X46" s="393">
        <v>0</v>
      </c>
      <c r="Y46" s="393">
        <v>0</v>
      </c>
      <c r="Z46" s="393">
        <v>0</v>
      </c>
      <c r="AA46" s="393">
        <v>0</v>
      </c>
      <c r="AB46" s="393">
        <v>0</v>
      </c>
      <c r="AC46" s="393">
        <v>0</v>
      </c>
      <c r="AD46" s="61"/>
      <c r="AE46" s="56"/>
    </row>
    <row r="47" spans="4:31" ht="15.75" x14ac:dyDescent="0.3">
      <c r="D47" s="60" t="s">
        <v>210</v>
      </c>
      <c r="E47" s="396">
        <f t="shared" si="0"/>
        <v>0</v>
      </c>
      <c r="F47" s="402"/>
      <c r="G47" s="396">
        <v>0</v>
      </c>
      <c r="H47" s="397">
        <v>0</v>
      </c>
      <c r="I47" s="397">
        <v>0</v>
      </c>
      <c r="J47" s="397">
        <v>0</v>
      </c>
      <c r="K47" s="397">
        <v>0</v>
      </c>
      <c r="L47" s="397">
        <v>0</v>
      </c>
      <c r="M47" s="397">
        <v>0</v>
      </c>
      <c r="N47" s="397">
        <v>0</v>
      </c>
      <c r="O47" s="397">
        <v>0</v>
      </c>
      <c r="P47" s="397">
        <v>0</v>
      </c>
      <c r="Q47" s="397">
        <v>0</v>
      </c>
      <c r="R47" s="397">
        <v>0</v>
      </c>
      <c r="S47" s="397">
        <v>0</v>
      </c>
      <c r="T47" s="397">
        <v>0</v>
      </c>
      <c r="U47" s="397">
        <v>0</v>
      </c>
      <c r="V47" s="397">
        <v>0</v>
      </c>
      <c r="W47" s="397">
        <v>0</v>
      </c>
      <c r="X47" s="397">
        <v>0</v>
      </c>
      <c r="Y47" s="397">
        <v>0</v>
      </c>
      <c r="Z47" s="397">
        <v>0</v>
      </c>
      <c r="AA47" s="397">
        <v>0</v>
      </c>
      <c r="AB47" s="397">
        <v>0</v>
      </c>
      <c r="AC47" s="397">
        <v>0</v>
      </c>
      <c r="AD47" s="61"/>
      <c r="AE47" s="56"/>
    </row>
    <row r="48" spans="4:31" ht="15.75" x14ac:dyDescent="0.3">
      <c r="D48" s="75" t="s">
        <v>211</v>
      </c>
      <c r="E48" s="394">
        <f t="shared" si="0"/>
        <v>0</v>
      </c>
      <c r="F48" s="402"/>
      <c r="G48" s="394">
        <v>0</v>
      </c>
      <c r="H48" s="397">
        <v>0</v>
      </c>
      <c r="I48" s="398">
        <v>0</v>
      </c>
      <c r="J48" s="397">
        <v>0</v>
      </c>
      <c r="K48" s="398">
        <v>0</v>
      </c>
      <c r="L48" s="398">
        <v>0</v>
      </c>
      <c r="M48" s="398">
        <v>0</v>
      </c>
      <c r="N48" s="398">
        <v>0</v>
      </c>
      <c r="O48" s="398">
        <v>0</v>
      </c>
      <c r="P48" s="398">
        <v>0</v>
      </c>
      <c r="Q48" s="398">
        <v>0</v>
      </c>
      <c r="R48" s="398">
        <v>0</v>
      </c>
      <c r="S48" s="398">
        <v>0</v>
      </c>
      <c r="T48" s="398">
        <v>0</v>
      </c>
      <c r="U48" s="398">
        <v>0</v>
      </c>
      <c r="V48" s="398">
        <v>0</v>
      </c>
      <c r="W48" s="398">
        <v>0</v>
      </c>
      <c r="X48" s="398">
        <v>0</v>
      </c>
      <c r="Y48" s="398">
        <v>0</v>
      </c>
      <c r="Z48" s="398">
        <v>0</v>
      </c>
      <c r="AA48" s="398">
        <v>0</v>
      </c>
      <c r="AB48" s="398">
        <v>0</v>
      </c>
      <c r="AC48" s="398">
        <v>0</v>
      </c>
      <c r="AD48" s="61"/>
      <c r="AE48" s="56"/>
    </row>
    <row r="49" spans="4:36" ht="15.75" x14ac:dyDescent="0.3">
      <c r="D49" s="60" t="s">
        <v>212</v>
      </c>
      <c r="E49" s="396">
        <f t="shared" si="0"/>
        <v>0</v>
      </c>
      <c r="F49" s="402"/>
      <c r="G49" s="396">
        <v>0</v>
      </c>
      <c r="H49" s="397">
        <v>0</v>
      </c>
      <c r="I49" s="397">
        <v>0</v>
      </c>
      <c r="J49" s="397">
        <v>0</v>
      </c>
      <c r="K49" s="397">
        <v>0</v>
      </c>
      <c r="L49" s="397">
        <v>0</v>
      </c>
      <c r="M49" s="397">
        <v>0</v>
      </c>
      <c r="N49" s="397">
        <v>0</v>
      </c>
      <c r="O49" s="397">
        <v>0</v>
      </c>
      <c r="P49" s="397">
        <v>0</v>
      </c>
      <c r="Q49" s="397">
        <v>0</v>
      </c>
      <c r="R49" s="397">
        <v>0</v>
      </c>
      <c r="S49" s="397">
        <v>0</v>
      </c>
      <c r="T49" s="397">
        <v>0</v>
      </c>
      <c r="U49" s="397">
        <v>0</v>
      </c>
      <c r="V49" s="397">
        <v>0</v>
      </c>
      <c r="W49" s="397">
        <v>0</v>
      </c>
      <c r="X49" s="397">
        <v>0</v>
      </c>
      <c r="Y49" s="397">
        <v>0</v>
      </c>
      <c r="Z49" s="397">
        <v>0</v>
      </c>
      <c r="AA49" s="397">
        <v>0</v>
      </c>
      <c r="AB49" s="397">
        <v>0</v>
      </c>
      <c r="AC49" s="397">
        <v>0</v>
      </c>
      <c r="AD49" s="61"/>
      <c r="AE49" s="56"/>
    </row>
    <row r="50" spans="4:36" ht="15.75" x14ac:dyDescent="0.3">
      <c r="D50" s="63"/>
      <c r="E50" s="394"/>
      <c r="F50" s="392"/>
      <c r="G50" s="394"/>
      <c r="H50" s="397"/>
      <c r="I50" s="398"/>
      <c r="J50" s="397"/>
      <c r="K50" s="394"/>
      <c r="L50" s="397"/>
      <c r="M50" s="398"/>
      <c r="N50" s="397"/>
      <c r="O50" s="394"/>
      <c r="P50" s="415"/>
      <c r="Q50" s="398"/>
      <c r="R50" s="397"/>
      <c r="S50" s="394"/>
      <c r="T50" s="397"/>
      <c r="U50" s="398"/>
      <c r="V50" s="397"/>
      <c r="W50" s="394"/>
      <c r="X50" s="397"/>
      <c r="Y50" s="398"/>
      <c r="Z50" s="397"/>
      <c r="AA50" s="394"/>
      <c r="AB50" s="397"/>
      <c r="AC50" s="398"/>
      <c r="AD50" s="61"/>
      <c r="AE50" s="56"/>
    </row>
    <row r="51" spans="4:36" ht="15.75" x14ac:dyDescent="0.3">
      <c r="D51" s="64" t="s">
        <v>224</v>
      </c>
      <c r="E51" s="400">
        <f t="shared" si="0"/>
        <v>1797331.9927399999</v>
      </c>
      <c r="F51" s="392"/>
      <c r="G51" s="400">
        <v>152228.61452</v>
      </c>
      <c r="H51" s="397"/>
      <c r="I51" s="401">
        <v>109113.50353</v>
      </c>
      <c r="J51" s="397"/>
      <c r="K51" s="400">
        <v>323778.38799000002</v>
      </c>
      <c r="L51" s="397"/>
      <c r="M51" s="401">
        <v>332942.47077999997</v>
      </c>
      <c r="N51" s="397"/>
      <c r="O51" s="400">
        <v>25750.475429999999</v>
      </c>
      <c r="P51" s="415"/>
      <c r="Q51" s="401">
        <v>240983.84765000001</v>
      </c>
      <c r="R51" s="397"/>
      <c r="S51" s="400">
        <v>115521.63686</v>
      </c>
      <c r="T51" s="397"/>
      <c r="U51" s="401">
        <v>243980.02192</v>
      </c>
      <c r="V51" s="397"/>
      <c r="W51" s="400">
        <v>58031.66317</v>
      </c>
      <c r="X51" s="397"/>
      <c r="Y51" s="401">
        <v>53214.254479999996</v>
      </c>
      <c r="Z51" s="397"/>
      <c r="AA51" s="400">
        <v>133921.60731999998</v>
      </c>
      <c r="AB51" s="397"/>
      <c r="AC51" s="401">
        <v>7865.5090899999996</v>
      </c>
      <c r="AD51" s="61"/>
      <c r="AE51" s="56"/>
    </row>
    <row r="52" spans="4:36" ht="15.75" x14ac:dyDescent="0.3">
      <c r="D52" s="75" t="s">
        <v>214</v>
      </c>
      <c r="E52" s="394">
        <f>+SUM(G52:AC52)</f>
        <v>10020.25</v>
      </c>
      <c r="F52" s="402"/>
      <c r="G52" s="394">
        <v>0</v>
      </c>
      <c r="H52" s="397"/>
      <c r="I52" s="398">
        <v>0</v>
      </c>
      <c r="J52" s="397"/>
      <c r="K52" s="394">
        <v>0</v>
      </c>
      <c r="L52" s="397"/>
      <c r="M52" s="398">
        <v>0</v>
      </c>
      <c r="N52" s="397"/>
      <c r="O52" s="394">
        <v>0</v>
      </c>
      <c r="P52" s="415"/>
      <c r="Q52" s="398">
        <v>0</v>
      </c>
      <c r="R52" s="397"/>
      <c r="S52" s="394">
        <v>0</v>
      </c>
      <c r="T52" s="397"/>
      <c r="U52" s="398">
        <v>10020.25</v>
      </c>
      <c r="V52" s="397"/>
      <c r="W52" s="394">
        <v>0</v>
      </c>
      <c r="X52" s="397"/>
      <c r="Y52" s="398">
        <v>0</v>
      </c>
      <c r="Z52" s="397"/>
      <c r="AA52" s="394">
        <v>0</v>
      </c>
      <c r="AB52" s="397"/>
      <c r="AC52" s="398">
        <v>0</v>
      </c>
      <c r="AD52" s="61"/>
      <c r="AE52" s="56"/>
    </row>
    <row r="53" spans="4:36" ht="15.75" x14ac:dyDescent="0.3">
      <c r="D53" s="60" t="s">
        <v>215</v>
      </c>
      <c r="E53" s="394">
        <f>+SUM(G53:AC53)</f>
        <v>0</v>
      </c>
      <c r="F53" s="402"/>
      <c r="G53" s="396">
        <v>0</v>
      </c>
      <c r="H53" s="397"/>
      <c r="I53" s="397">
        <v>0</v>
      </c>
      <c r="J53" s="397"/>
      <c r="K53" s="396">
        <v>0</v>
      </c>
      <c r="L53" s="397"/>
      <c r="M53" s="397">
        <v>0</v>
      </c>
      <c r="N53" s="397"/>
      <c r="O53" s="396">
        <v>0</v>
      </c>
      <c r="P53" s="415"/>
      <c r="Q53" s="397">
        <v>0</v>
      </c>
      <c r="R53" s="397"/>
      <c r="S53" s="396">
        <v>0</v>
      </c>
      <c r="T53" s="397"/>
      <c r="U53" s="397">
        <v>0</v>
      </c>
      <c r="V53" s="397"/>
      <c r="W53" s="396">
        <v>0</v>
      </c>
      <c r="X53" s="397"/>
      <c r="Y53" s="397">
        <v>0</v>
      </c>
      <c r="Z53" s="397"/>
      <c r="AA53" s="396">
        <v>0</v>
      </c>
      <c r="AB53" s="397"/>
      <c r="AC53" s="397">
        <v>0</v>
      </c>
      <c r="AD53" s="61"/>
      <c r="AE53" s="56"/>
    </row>
    <row r="54" spans="4:36" ht="15.75" x14ac:dyDescent="0.3">
      <c r="D54" s="75" t="s">
        <v>13</v>
      </c>
      <c r="E54" s="394">
        <f>+SUM(G54:AC54)</f>
        <v>1590688.04981</v>
      </c>
      <c r="F54" s="402"/>
      <c r="G54" s="394">
        <v>83162.574309999996</v>
      </c>
      <c r="H54" s="397"/>
      <c r="I54" s="397">
        <v>37495.19958</v>
      </c>
      <c r="J54" s="397"/>
      <c r="K54" s="394">
        <v>313505.36569000001</v>
      </c>
      <c r="L54" s="397"/>
      <c r="M54" s="398">
        <v>308824.71743999998</v>
      </c>
      <c r="N54" s="397"/>
      <c r="O54" s="394">
        <v>17353.32143</v>
      </c>
      <c r="P54" s="415"/>
      <c r="Q54" s="398">
        <v>234198.50765000001</v>
      </c>
      <c r="R54" s="397"/>
      <c r="S54" s="394">
        <v>115521.63686</v>
      </c>
      <c r="T54" s="397"/>
      <c r="U54" s="398">
        <v>233959.77192</v>
      </c>
      <c r="V54" s="397"/>
      <c r="W54" s="394">
        <v>52265.584040000002</v>
      </c>
      <c r="X54" s="397"/>
      <c r="Y54" s="398">
        <v>52614.254479999996</v>
      </c>
      <c r="Z54" s="397"/>
      <c r="AA54" s="394">
        <v>133921.60731999998</v>
      </c>
      <c r="AB54" s="397"/>
      <c r="AC54" s="398">
        <v>7865.5090899999996</v>
      </c>
      <c r="AD54" s="61"/>
      <c r="AE54" s="56"/>
    </row>
    <row r="55" spans="4:36" ht="15.75" x14ac:dyDescent="0.3">
      <c r="D55" s="60" t="s">
        <v>12</v>
      </c>
      <c r="E55" s="396">
        <f>+SUM(G55:AC55)</f>
        <v>196623.19292999999</v>
      </c>
      <c r="F55" s="402"/>
      <c r="G55" s="396">
        <v>69066.040209999992</v>
      </c>
      <c r="H55" s="397"/>
      <c r="I55" s="398">
        <v>71618.303950000001</v>
      </c>
      <c r="J55" s="397"/>
      <c r="K55" s="396">
        <v>10273.022300000001</v>
      </c>
      <c r="L55" s="397"/>
      <c r="M55" s="397">
        <v>24117.753339999999</v>
      </c>
      <c r="N55" s="397"/>
      <c r="O55" s="444">
        <v>8396.6540000000005</v>
      </c>
      <c r="P55" s="415"/>
      <c r="Q55" s="397">
        <v>6785.34</v>
      </c>
      <c r="R55" s="397"/>
      <c r="S55" s="396">
        <v>0</v>
      </c>
      <c r="T55" s="397"/>
      <c r="U55" s="397">
        <v>0</v>
      </c>
      <c r="V55" s="397"/>
      <c r="W55" s="396">
        <v>5766.0791300000001</v>
      </c>
      <c r="X55" s="397"/>
      <c r="Y55" s="397">
        <v>600</v>
      </c>
      <c r="Z55" s="397"/>
      <c r="AA55" s="396">
        <v>0</v>
      </c>
      <c r="AB55" s="397"/>
      <c r="AC55" s="397">
        <v>0</v>
      </c>
      <c r="AD55" s="61"/>
      <c r="AE55" s="56"/>
    </row>
    <row r="56" spans="4:36" ht="15.75" x14ac:dyDescent="0.3">
      <c r="D56" s="63"/>
      <c r="E56" s="394"/>
      <c r="F56" s="392"/>
      <c r="G56" s="394"/>
      <c r="H56" s="397"/>
      <c r="I56" s="398"/>
      <c r="J56" s="397"/>
      <c r="K56" s="394"/>
      <c r="L56" s="397"/>
      <c r="M56" s="398"/>
      <c r="N56" s="397"/>
      <c r="O56" s="394"/>
      <c r="P56" s="415"/>
      <c r="Q56" s="398"/>
      <c r="R56" s="397"/>
      <c r="S56" s="394"/>
      <c r="T56" s="397"/>
      <c r="U56" s="398"/>
      <c r="V56" s="397"/>
      <c r="W56" s="394"/>
      <c r="X56" s="397"/>
      <c r="Y56" s="398"/>
      <c r="Z56" s="397"/>
      <c r="AA56" s="394"/>
      <c r="AB56" s="397"/>
      <c r="AC56" s="398"/>
      <c r="AD56" s="61"/>
      <c r="AE56" s="56"/>
    </row>
    <row r="57" spans="4:36" ht="15.75" x14ac:dyDescent="0.3">
      <c r="D57" s="64" t="s">
        <v>17</v>
      </c>
      <c r="E57" s="400">
        <f>SUM(G57:AC57)</f>
        <v>2688530.0200300002</v>
      </c>
      <c r="F57" s="392"/>
      <c r="G57" s="400">
        <v>526151.63001999992</v>
      </c>
      <c r="H57" s="397"/>
      <c r="I57" s="401">
        <v>0</v>
      </c>
      <c r="J57" s="397"/>
      <c r="K57" s="400">
        <v>390516.13746</v>
      </c>
      <c r="L57" s="397"/>
      <c r="M57" s="401">
        <v>349145.02763999999</v>
      </c>
      <c r="N57" s="397"/>
      <c r="O57" s="400">
        <v>113628.63748</v>
      </c>
      <c r="P57" s="415"/>
      <c r="Q57" s="401">
        <v>658290.33037999994</v>
      </c>
      <c r="R57" s="397"/>
      <c r="S57" s="400">
        <v>108938.00978000001</v>
      </c>
      <c r="T57" s="397"/>
      <c r="U57" s="401">
        <v>88384.183359999995</v>
      </c>
      <c r="V57" s="397"/>
      <c r="W57" s="400">
        <v>240559.41237999999</v>
      </c>
      <c r="X57" s="397"/>
      <c r="Y57" s="401">
        <v>77720.55373</v>
      </c>
      <c r="Z57" s="397"/>
      <c r="AA57" s="400">
        <v>42064.877220000002</v>
      </c>
      <c r="AB57" s="397"/>
      <c r="AC57" s="401">
        <v>93131.220579999994</v>
      </c>
      <c r="AD57" s="61"/>
      <c r="AE57" s="56"/>
    </row>
    <row r="58" spans="4:36" ht="15.75" x14ac:dyDescent="0.3">
      <c r="D58" s="75" t="s">
        <v>18</v>
      </c>
      <c r="E58" s="394">
        <f t="shared" si="0"/>
        <v>1028788.1915899999</v>
      </c>
      <c r="F58" s="402"/>
      <c r="G58" s="394">
        <v>249198.70433000001</v>
      </c>
      <c r="H58" s="397"/>
      <c r="I58" s="398">
        <v>0</v>
      </c>
      <c r="J58" s="397"/>
      <c r="K58" s="394">
        <v>145483.32490000001</v>
      </c>
      <c r="L58" s="397"/>
      <c r="M58" s="398">
        <v>68421.987880000001</v>
      </c>
      <c r="N58" s="397"/>
      <c r="O58" s="394">
        <v>26922.790199999999</v>
      </c>
      <c r="P58" s="415"/>
      <c r="Q58" s="398">
        <v>347229.73089999997</v>
      </c>
      <c r="R58" s="397"/>
      <c r="S58" s="394">
        <v>14664.876259999999</v>
      </c>
      <c r="T58" s="397"/>
      <c r="U58" s="398">
        <v>64224.13</v>
      </c>
      <c r="V58" s="397"/>
      <c r="W58" s="394">
        <v>42446.307540000002</v>
      </c>
      <c r="X58" s="397"/>
      <c r="Y58" s="398">
        <v>8821.741390000001</v>
      </c>
      <c r="Z58" s="397"/>
      <c r="AA58" s="394">
        <v>6139.0189600000003</v>
      </c>
      <c r="AB58" s="397"/>
      <c r="AC58" s="398">
        <v>55235.579229999996</v>
      </c>
      <c r="AD58" s="61"/>
      <c r="AE58" s="56"/>
    </row>
    <row r="59" spans="4:36" ht="15.75" x14ac:dyDescent="0.3">
      <c r="D59" s="60" t="s">
        <v>19</v>
      </c>
      <c r="E59" s="396">
        <f t="shared" si="0"/>
        <v>1659741.1284399997</v>
      </c>
      <c r="F59" s="402"/>
      <c r="G59" s="396">
        <v>276952.92569</v>
      </c>
      <c r="H59" s="397"/>
      <c r="I59" s="397">
        <v>0</v>
      </c>
      <c r="J59" s="397"/>
      <c r="K59" s="396">
        <v>245032.81255999999</v>
      </c>
      <c r="L59" s="397"/>
      <c r="M59" s="397">
        <v>280723.03976000001</v>
      </c>
      <c r="N59" s="397"/>
      <c r="O59" s="396">
        <v>86705.347280000002</v>
      </c>
      <c r="P59" s="415"/>
      <c r="Q59" s="397">
        <v>311060.59948000003</v>
      </c>
      <c r="R59" s="397"/>
      <c r="S59" s="396">
        <v>94273.133520000003</v>
      </c>
      <c r="T59" s="397"/>
      <c r="U59" s="397">
        <v>24160.053359999998</v>
      </c>
      <c r="V59" s="397"/>
      <c r="W59" s="396">
        <v>198113.10484000001</v>
      </c>
      <c r="X59" s="397"/>
      <c r="Y59" s="397">
        <v>68898.812340000004</v>
      </c>
      <c r="Z59" s="397"/>
      <c r="AA59" s="396">
        <v>35925.658259999997</v>
      </c>
      <c r="AB59" s="397"/>
      <c r="AC59" s="397">
        <v>37895.641349999998</v>
      </c>
      <c r="AD59" s="61"/>
      <c r="AE59" s="56"/>
    </row>
    <row r="60" spans="4:36" ht="15.75" x14ac:dyDescent="0.3">
      <c r="D60" s="63"/>
      <c r="E60" s="394"/>
      <c r="F60" s="392"/>
      <c r="G60" s="394"/>
      <c r="H60" s="397"/>
      <c r="I60" s="398"/>
      <c r="J60" s="397"/>
      <c r="K60" s="394"/>
      <c r="L60" s="397"/>
      <c r="M60" s="398"/>
      <c r="N60" s="397"/>
      <c r="O60" s="394"/>
      <c r="P60" s="415"/>
      <c r="Q60" s="398"/>
      <c r="R60" s="397"/>
      <c r="S60" s="394"/>
      <c r="T60" s="397"/>
      <c r="U60" s="398"/>
      <c r="V60" s="397"/>
      <c r="W60" s="394"/>
      <c r="X60" s="397"/>
      <c r="Y60" s="398"/>
      <c r="Z60" s="397"/>
      <c r="AA60" s="394"/>
      <c r="AB60" s="397"/>
      <c r="AC60" s="398"/>
      <c r="AD60" s="61"/>
      <c r="AE60" s="56"/>
    </row>
    <row r="61" spans="4:36" ht="16.5" thickBot="1" x14ac:dyDescent="0.35">
      <c r="D61" s="65" t="s">
        <v>128</v>
      </c>
      <c r="E61" s="403">
        <f t="shared" si="0"/>
        <v>7577409.6874700012</v>
      </c>
      <c r="F61" s="392"/>
      <c r="G61" s="404">
        <v>775851.83996999997</v>
      </c>
      <c r="H61" s="397"/>
      <c r="I61" s="404">
        <v>538869.20416999992</v>
      </c>
      <c r="J61" s="397"/>
      <c r="K61" s="404">
        <v>1113438.53728</v>
      </c>
      <c r="L61" s="397"/>
      <c r="M61" s="404">
        <v>1587610.8556300001</v>
      </c>
      <c r="N61" s="397"/>
      <c r="O61" s="403">
        <v>181631.43654</v>
      </c>
      <c r="P61" s="415"/>
      <c r="Q61" s="404">
        <v>1289516.50193</v>
      </c>
      <c r="R61" s="397"/>
      <c r="S61" s="403">
        <v>587336.77786999999</v>
      </c>
      <c r="T61" s="397"/>
      <c r="U61" s="404">
        <v>396978.67812</v>
      </c>
      <c r="V61" s="397"/>
      <c r="W61" s="403">
        <v>413739.09735</v>
      </c>
      <c r="X61" s="397"/>
      <c r="Y61" s="404">
        <v>134778.80098</v>
      </c>
      <c r="Z61" s="397"/>
      <c r="AA61" s="449">
        <v>340816.74935</v>
      </c>
      <c r="AB61" s="397"/>
      <c r="AC61" s="404">
        <v>216841.20827999999</v>
      </c>
      <c r="AD61" s="61"/>
      <c r="AE61" s="56"/>
    </row>
    <row r="63" spans="4:36" ht="15" customHeight="1" x14ac:dyDescent="0.25">
      <c r="D63" s="290"/>
      <c r="E63" s="405"/>
      <c r="F63" s="405"/>
      <c r="G63" s="405"/>
      <c r="H63" s="405"/>
      <c r="I63" s="405"/>
      <c r="J63" s="405"/>
      <c r="K63" s="405"/>
      <c r="L63" s="405"/>
      <c r="M63" s="405"/>
      <c r="N63" s="405"/>
      <c r="O63" s="406"/>
      <c r="P63" s="356"/>
      <c r="Q63" s="405"/>
      <c r="R63" s="405"/>
      <c r="S63" s="405"/>
      <c r="T63" s="405"/>
      <c r="U63" s="405"/>
      <c r="V63" s="405"/>
      <c r="W63" s="405"/>
      <c r="X63" s="405"/>
      <c r="Y63" s="405"/>
      <c r="Z63" s="405"/>
      <c r="AA63" s="405"/>
      <c r="AB63" s="405"/>
      <c r="AC63" s="405"/>
      <c r="AD63" s="76"/>
      <c r="AE63" s="76"/>
      <c r="AF63" s="76"/>
      <c r="AG63" s="76"/>
      <c r="AH63" s="76"/>
      <c r="AI63" s="76"/>
      <c r="AJ63" s="76"/>
    </row>
    <row r="64" spans="4:36" x14ac:dyDescent="0.25">
      <c r="D64" s="291"/>
      <c r="E64" s="407"/>
      <c r="F64" s="292"/>
      <c r="G64" s="407"/>
      <c r="H64" s="407"/>
      <c r="I64" s="407"/>
      <c r="J64" s="407"/>
      <c r="K64" s="407"/>
      <c r="L64" s="407"/>
      <c r="M64" s="407"/>
      <c r="N64" s="407"/>
      <c r="O64" s="407"/>
      <c r="P64" s="407"/>
      <c r="Q64" s="407"/>
      <c r="R64" s="407"/>
      <c r="S64" s="407"/>
      <c r="T64" s="407"/>
      <c r="U64" s="407"/>
      <c r="V64" s="407"/>
      <c r="W64" s="407"/>
      <c r="X64" s="407"/>
      <c r="Y64" s="407"/>
      <c r="Z64" s="407"/>
      <c r="AA64" s="407"/>
      <c r="AB64" s="407"/>
      <c r="AC64" s="407"/>
      <c r="AD64" s="76"/>
      <c r="AE64" s="76"/>
      <c r="AF64" s="76"/>
      <c r="AG64" s="76"/>
      <c r="AH64" s="76"/>
      <c r="AI64" s="76"/>
      <c r="AJ64" s="76"/>
    </row>
    <row r="65" spans="4:23" x14ac:dyDescent="0.25">
      <c r="D65" s="679" t="s">
        <v>225</v>
      </c>
      <c r="E65" s="679"/>
      <c r="F65" s="679"/>
      <c r="G65" s="679"/>
      <c r="H65" s="679"/>
      <c r="I65" s="679"/>
      <c r="J65" s="679"/>
      <c r="K65" s="679"/>
      <c r="L65" s="679"/>
      <c r="M65" s="679"/>
      <c r="N65" s="679"/>
      <c r="O65" s="679"/>
      <c r="P65" s="679"/>
      <c r="Q65" s="679"/>
      <c r="R65" s="679"/>
      <c r="S65" s="679"/>
      <c r="T65" s="679"/>
      <c r="U65" s="679"/>
      <c r="V65" s="679"/>
      <c r="W65" s="679"/>
    </row>
    <row r="68" spans="4:23" x14ac:dyDescent="0.25">
      <c r="R68" s="48">
        <v>1418285.94</v>
      </c>
    </row>
    <row r="73" spans="4:23" x14ac:dyDescent="0.25">
      <c r="P73" s="76"/>
    </row>
    <row r="74" spans="4:23" x14ac:dyDescent="0.25">
      <c r="P74" s="76"/>
    </row>
  </sheetData>
  <mergeCells count="1">
    <mergeCell ref="D65:W65"/>
  </mergeCells>
  <pageMargins left="0.70866141732283472" right="0.70866141732283472" top="0.74803149606299213" bottom="0.74803149606299213" header="0.31496062992125984" footer="0.31496062992125984"/>
  <pageSetup paperSize="7" scale="5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0">
    <tabColor rgb="FFFFC000"/>
  </sheetPr>
  <dimension ref="B1:P52"/>
  <sheetViews>
    <sheetView topLeftCell="A8" zoomScale="91" zoomScaleNormal="91" workbookViewId="0">
      <selection activeCell="C11" sqref="C11"/>
    </sheetView>
  </sheetViews>
  <sheetFormatPr baseColWidth="10" defaultColWidth="11.42578125" defaultRowHeight="15" zeroHeight="1" x14ac:dyDescent="0.25"/>
  <cols>
    <col min="1" max="1" width="8.140625" style="48" customWidth="1"/>
    <col min="2" max="2" width="49.42578125" style="48" bestFit="1" customWidth="1"/>
    <col min="3" max="3" width="17.28515625" style="48" customWidth="1"/>
    <col min="4" max="4" width="0.28515625" style="48" hidden="1" customWidth="1"/>
    <col min="5" max="22" width="23.5703125" style="48" customWidth="1"/>
    <col min="23" max="16384" width="11.42578125" style="48"/>
  </cols>
  <sheetData>
    <row r="1" spans="2:16" ht="26.25" customHeight="1" x14ac:dyDescent="0.25">
      <c r="B1" s="306" t="s">
        <v>291</v>
      </c>
      <c r="C1" s="306"/>
      <c r="D1" s="306"/>
      <c r="E1" s="306"/>
      <c r="F1" s="306"/>
      <c r="G1" s="306"/>
      <c r="H1" s="306"/>
      <c r="J1" s="306"/>
    </row>
    <row r="2" spans="2:16" ht="26.25" x14ac:dyDescent="0.25">
      <c r="B2" s="307" t="s">
        <v>339</v>
      </c>
      <c r="C2" s="307"/>
      <c r="D2" s="307"/>
      <c r="E2" s="307"/>
      <c r="F2" s="307"/>
      <c r="G2" s="307"/>
      <c r="H2" s="307"/>
      <c r="J2" s="307"/>
    </row>
    <row r="3" spans="2:16" ht="21" x14ac:dyDescent="0.25">
      <c r="B3" s="308" t="s">
        <v>342</v>
      </c>
      <c r="C3" s="308"/>
      <c r="D3" s="308"/>
      <c r="E3" s="308"/>
      <c r="F3" s="308"/>
      <c r="G3" s="308"/>
      <c r="H3" s="308"/>
      <c r="J3" s="308"/>
    </row>
    <row r="4" spans="2:16" ht="17.25" x14ac:dyDescent="0.25">
      <c r="B4" s="309" t="s">
        <v>378</v>
      </c>
      <c r="C4" s="309"/>
      <c r="D4" s="309"/>
      <c r="E4" s="309" t="s">
        <v>377</v>
      </c>
      <c r="F4" s="309"/>
      <c r="G4" s="309"/>
      <c r="H4" s="309"/>
      <c r="J4" s="309"/>
    </row>
    <row r="5" spans="2:16" x14ac:dyDescent="0.25">
      <c r="B5" s="310" t="s">
        <v>340</v>
      </c>
      <c r="C5" s="310"/>
      <c r="D5" s="310"/>
      <c r="E5" s="310"/>
      <c r="F5" s="310"/>
      <c r="G5" s="310"/>
      <c r="H5" s="310"/>
      <c r="J5" s="310"/>
    </row>
    <row r="6" spans="2:16" x14ac:dyDescent="0.25"/>
    <row r="7" spans="2:16" hidden="1" x14ac:dyDescent="0.25">
      <c r="D7" s="77"/>
      <c r="E7" s="77"/>
      <c r="F7" s="77"/>
      <c r="G7" s="77"/>
      <c r="H7" s="77"/>
      <c r="J7" s="77"/>
      <c r="K7" s="77"/>
      <c r="L7" s="77"/>
      <c r="M7" s="77"/>
      <c r="N7" s="77"/>
      <c r="O7" s="77"/>
      <c r="P7" s="77"/>
    </row>
    <row r="8" spans="2:16" ht="19.5" customHeight="1" thickBot="1" x14ac:dyDescent="0.3">
      <c r="B8" s="96"/>
      <c r="C8" s="97"/>
      <c r="D8" s="77"/>
      <c r="E8" s="677" t="s">
        <v>294</v>
      </c>
      <c r="F8" s="678"/>
      <c r="G8" s="678"/>
      <c r="H8" s="678"/>
      <c r="I8" s="678"/>
      <c r="J8" s="678"/>
      <c r="K8" s="678"/>
      <c r="L8" s="678"/>
      <c r="M8" s="678"/>
      <c r="N8" s="678"/>
      <c r="O8" s="678"/>
      <c r="P8" s="678"/>
    </row>
    <row r="9" spans="2:16" ht="33.75" customHeight="1" x14ac:dyDescent="0.3">
      <c r="B9" s="98" t="s">
        <v>295</v>
      </c>
      <c r="C9" s="103" t="s">
        <v>128</v>
      </c>
      <c r="D9" s="104"/>
      <c r="E9" s="15" t="s">
        <v>119</v>
      </c>
      <c r="F9" s="15" t="s">
        <v>74</v>
      </c>
      <c r="G9" s="15" t="s">
        <v>120</v>
      </c>
      <c r="H9" s="15" t="s">
        <v>121</v>
      </c>
      <c r="I9" s="16" t="s">
        <v>127</v>
      </c>
      <c r="J9" s="15" t="s">
        <v>122</v>
      </c>
      <c r="K9" s="15" t="s">
        <v>76</v>
      </c>
      <c r="L9" s="15" t="s">
        <v>123</v>
      </c>
      <c r="M9" s="15" t="s">
        <v>124</v>
      </c>
      <c r="N9" s="15" t="s">
        <v>125</v>
      </c>
      <c r="O9" s="15" t="s">
        <v>365</v>
      </c>
      <c r="P9" s="16" t="s">
        <v>126</v>
      </c>
    </row>
    <row r="10" spans="2:16" x14ac:dyDescent="0.25">
      <c r="B10" s="92" t="s">
        <v>343</v>
      </c>
      <c r="C10" s="416">
        <f>SUM(E10:P10)</f>
        <v>32364853.564590007</v>
      </c>
      <c r="D10" s="417"/>
      <c r="E10" s="416">
        <v>2588659.2948099999</v>
      </c>
      <c r="F10" s="416">
        <v>1755663.3303500002</v>
      </c>
      <c r="G10" s="416">
        <v>5485893.3170400001</v>
      </c>
      <c r="H10" s="416">
        <v>7375973.4460699996</v>
      </c>
      <c r="I10" s="416">
        <v>821295.27272000001</v>
      </c>
      <c r="J10" s="416">
        <v>4711334.4997199997</v>
      </c>
      <c r="K10" s="416">
        <v>2629871.0665799999</v>
      </c>
      <c r="L10" s="416">
        <v>1157036.1591700001</v>
      </c>
      <c r="M10" s="416">
        <v>2764361.3765099999</v>
      </c>
      <c r="N10" s="416">
        <v>678153.47542999999</v>
      </c>
      <c r="O10" s="416">
        <v>882657.97429000004</v>
      </c>
      <c r="P10" s="416">
        <v>1513954.3519000001</v>
      </c>
    </row>
    <row r="11" spans="2:16" ht="15.75" x14ac:dyDescent="0.3">
      <c r="B11" s="93" t="s">
        <v>335</v>
      </c>
      <c r="C11" s="418"/>
      <c r="D11" s="392"/>
      <c r="E11" s="418"/>
      <c r="F11" s="418"/>
      <c r="G11" s="418"/>
      <c r="H11" s="418"/>
      <c r="I11" s="418"/>
      <c r="J11" s="418"/>
      <c r="K11" s="418"/>
      <c r="L11" s="418"/>
      <c r="M11" s="418"/>
      <c r="N11" s="418"/>
      <c r="O11" s="418"/>
      <c r="P11" s="418"/>
    </row>
    <row r="12" spans="2:16" ht="15.75" x14ac:dyDescent="0.3">
      <c r="B12" s="94" t="s">
        <v>27</v>
      </c>
      <c r="C12" s="418">
        <f t="shared" ref="C12:C20" si="0">SUM(E12:P12)</f>
        <v>23056903.406800002</v>
      </c>
      <c r="D12" s="392"/>
      <c r="E12" s="418">
        <v>1774530.0192200001</v>
      </c>
      <c r="F12" s="418">
        <v>1383013.11368</v>
      </c>
      <c r="G12" s="418">
        <v>3907244.3551100004</v>
      </c>
      <c r="H12" s="418">
        <v>4971513.8599199997</v>
      </c>
      <c r="I12" s="418">
        <v>601674.29752000002</v>
      </c>
      <c r="J12" s="418">
        <v>3399170.9062199998</v>
      </c>
      <c r="K12" s="418">
        <v>1882235.3739799999</v>
      </c>
      <c r="L12" s="418">
        <v>809734.86695000005</v>
      </c>
      <c r="M12" s="418">
        <v>2210547.9630399998</v>
      </c>
      <c r="N12" s="418">
        <v>454643.03973000002</v>
      </c>
      <c r="O12" s="418">
        <v>521284.70491000003</v>
      </c>
      <c r="P12" s="418">
        <v>1141310.90652</v>
      </c>
    </row>
    <row r="13" spans="2:16" ht="15.75" x14ac:dyDescent="0.3">
      <c r="B13" s="94" t="s">
        <v>135</v>
      </c>
      <c r="C13" s="418">
        <f t="shared" si="0"/>
        <v>2412179.4465999999</v>
      </c>
      <c r="D13" s="392"/>
      <c r="E13" s="418">
        <v>91089.249920000002</v>
      </c>
      <c r="F13" s="418">
        <v>16612.213759999999</v>
      </c>
      <c r="G13" s="418">
        <v>669576.73153999995</v>
      </c>
      <c r="H13" s="418">
        <v>653891.12424000003</v>
      </c>
      <c r="I13" s="418">
        <v>11960.79607</v>
      </c>
      <c r="J13" s="418">
        <v>331363.90297000005</v>
      </c>
      <c r="K13" s="418">
        <v>208044.16131999998</v>
      </c>
      <c r="L13" s="418">
        <v>3948.9355099999998</v>
      </c>
      <c r="M13" s="418">
        <v>179493.56196000002</v>
      </c>
      <c r="N13" s="418">
        <v>82326.846279999998</v>
      </c>
      <c r="O13" s="418">
        <v>48483.061529999999</v>
      </c>
      <c r="P13" s="418">
        <v>115388.8615</v>
      </c>
    </row>
    <row r="14" spans="2:16" ht="15.75" x14ac:dyDescent="0.3">
      <c r="B14" s="94" t="s">
        <v>133</v>
      </c>
      <c r="C14" s="418">
        <f t="shared" si="0"/>
        <v>1001755.0373300001</v>
      </c>
      <c r="D14" s="392"/>
      <c r="E14" s="418">
        <v>87883.173250000007</v>
      </c>
      <c r="F14" s="418">
        <v>12548.480599999999</v>
      </c>
      <c r="G14" s="418">
        <v>25394.495170000002</v>
      </c>
      <c r="H14" s="418">
        <v>223578.49299999999</v>
      </c>
      <c r="I14" s="418">
        <v>87426.858040000006</v>
      </c>
      <c r="J14" s="418">
        <v>178421.11596999998</v>
      </c>
      <c r="K14" s="418">
        <v>80079.654620000001</v>
      </c>
      <c r="L14" s="418">
        <v>157876.49863999998</v>
      </c>
      <c r="M14" s="418">
        <v>84972.063540000003</v>
      </c>
      <c r="N14" s="418">
        <v>25971.2592</v>
      </c>
      <c r="O14" s="418">
        <v>31560.17137</v>
      </c>
      <c r="P14" s="418">
        <v>6042.7739299999994</v>
      </c>
    </row>
    <row r="15" spans="2:16" ht="15.75" x14ac:dyDescent="0.3">
      <c r="B15" s="94" t="s">
        <v>138</v>
      </c>
      <c r="C15" s="418">
        <f t="shared" si="0"/>
        <v>3837771.6873699999</v>
      </c>
      <c r="D15" s="392"/>
      <c r="E15" s="418">
        <v>356852.87254000001</v>
      </c>
      <c r="F15" s="418">
        <v>172350.48994999999</v>
      </c>
      <c r="G15" s="418">
        <v>659729.41769000003</v>
      </c>
      <c r="H15" s="418">
        <v>1159759.5619900001</v>
      </c>
      <c r="I15" s="418">
        <v>19357.506969999999</v>
      </c>
      <c r="J15" s="418">
        <v>517369.61229000002</v>
      </c>
      <c r="K15" s="418">
        <v>263505.86468</v>
      </c>
      <c r="L15" s="418">
        <v>94832.476750000002</v>
      </c>
      <c r="M15" s="418">
        <v>152482.07868000001</v>
      </c>
      <c r="N15" s="418">
        <v>34977.46228</v>
      </c>
      <c r="O15" s="418">
        <v>203073.85713999998</v>
      </c>
      <c r="P15" s="418">
        <v>203480.48640999998</v>
      </c>
    </row>
    <row r="16" spans="2:16" ht="15.75" x14ac:dyDescent="0.3">
      <c r="B16" s="94" t="s">
        <v>139</v>
      </c>
      <c r="C16" s="418">
        <f t="shared" si="0"/>
        <v>410735.76478999993</v>
      </c>
      <c r="D16" s="392"/>
      <c r="E16" s="418">
        <v>63153.004700000005</v>
      </c>
      <c r="F16" s="418">
        <v>0</v>
      </c>
      <c r="G16" s="418">
        <v>48437.616609999997</v>
      </c>
      <c r="H16" s="418">
        <v>66059.836209999994</v>
      </c>
      <c r="I16" s="418">
        <v>16080.006130000002</v>
      </c>
      <c r="J16" s="418">
        <v>68621.37473000001</v>
      </c>
      <c r="K16" s="418">
        <v>78170.729229999997</v>
      </c>
      <c r="L16" s="418">
        <v>5544.6663699999999</v>
      </c>
      <c r="M16" s="418">
        <v>39428.553329999995</v>
      </c>
      <c r="N16" s="418">
        <v>14504.34441</v>
      </c>
      <c r="O16" s="418">
        <v>4724.4651800000001</v>
      </c>
      <c r="P16" s="418">
        <v>6011.1678899999997</v>
      </c>
    </row>
    <row r="17" spans="2:16" ht="15.75" x14ac:dyDescent="0.3">
      <c r="B17" s="94" t="s">
        <v>144</v>
      </c>
      <c r="C17" s="418">
        <f t="shared" si="0"/>
        <v>295437.93076000002</v>
      </c>
      <c r="D17" s="392"/>
      <c r="E17" s="418">
        <v>30918.822390000001</v>
      </c>
      <c r="F17" s="418">
        <v>53520.694309999999</v>
      </c>
      <c r="G17" s="418">
        <v>16328.552750000001</v>
      </c>
      <c r="H17" s="418">
        <v>42548.511749999998</v>
      </c>
      <c r="I17" s="418">
        <v>16437.840700000001</v>
      </c>
      <c r="J17" s="418">
        <v>22263.73259</v>
      </c>
      <c r="K17" s="418">
        <v>26623.791949999999</v>
      </c>
      <c r="L17" s="418">
        <v>9849.4592200000006</v>
      </c>
      <c r="M17" s="418">
        <v>10915.83691</v>
      </c>
      <c r="N17" s="418">
        <v>22545.124749999999</v>
      </c>
      <c r="O17" s="418">
        <v>23520.984379999998</v>
      </c>
      <c r="P17" s="418">
        <v>19964.57906</v>
      </c>
    </row>
    <row r="18" spans="2:16" ht="15.75" x14ac:dyDescent="0.3">
      <c r="B18" s="94" t="s">
        <v>344</v>
      </c>
      <c r="C18" s="418">
        <f t="shared" si="0"/>
        <v>1177756.19465</v>
      </c>
      <c r="D18" s="392"/>
      <c r="E18" s="418">
        <v>171257.85547000001</v>
      </c>
      <c r="F18" s="418">
        <v>113466.62015</v>
      </c>
      <c r="G18" s="418">
        <v>136761.49078999998</v>
      </c>
      <c r="H18" s="418">
        <v>172842.69984000002</v>
      </c>
      <c r="I18" s="418">
        <v>52605.860609999996</v>
      </c>
      <c r="J18" s="418">
        <v>182028.98628000001</v>
      </c>
      <c r="K18" s="418">
        <v>78237.899709999998</v>
      </c>
      <c r="L18" s="418">
        <v>74709.39748</v>
      </c>
      <c r="M18" s="418">
        <v>83283.012920000008</v>
      </c>
      <c r="N18" s="418">
        <v>42891.941149999999</v>
      </c>
      <c r="O18" s="418">
        <v>49193.615460000001</v>
      </c>
      <c r="P18" s="418">
        <v>20476.81479</v>
      </c>
    </row>
    <row r="19" spans="2:16" ht="15.75" x14ac:dyDescent="0.3">
      <c r="B19" s="94" t="s">
        <v>155</v>
      </c>
      <c r="C19" s="418">
        <f t="shared" si="0"/>
        <v>59699.35777000001</v>
      </c>
      <c r="D19" s="392"/>
      <c r="E19" s="418">
        <v>135.49494000000001</v>
      </c>
      <c r="F19" s="418">
        <v>0</v>
      </c>
      <c r="G19" s="418">
        <v>14515.37383</v>
      </c>
      <c r="H19" s="418">
        <v>32475.106530000001</v>
      </c>
      <c r="I19" s="418">
        <v>0</v>
      </c>
      <c r="J19" s="418">
        <v>5781.6532100000004</v>
      </c>
      <c r="K19" s="418">
        <v>5921.1478299999999</v>
      </c>
      <c r="L19" s="418">
        <v>0</v>
      </c>
      <c r="M19" s="418">
        <v>0</v>
      </c>
      <c r="N19" s="418">
        <v>54.457629999999995</v>
      </c>
      <c r="O19" s="450">
        <v>816.12343999999996</v>
      </c>
      <c r="P19" s="418">
        <v>3.5999999999999997E-4</v>
      </c>
    </row>
    <row r="20" spans="2:16" ht="15.75" x14ac:dyDescent="0.3">
      <c r="B20" s="94" t="s">
        <v>152</v>
      </c>
      <c r="C20" s="418">
        <f t="shared" si="0"/>
        <v>112614.73852000001</v>
      </c>
      <c r="D20" s="392"/>
      <c r="E20" s="418">
        <v>12838.802380000001</v>
      </c>
      <c r="F20" s="418">
        <v>4151.7178999999996</v>
      </c>
      <c r="G20" s="418">
        <v>7905.2835500000001</v>
      </c>
      <c r="H20" s="418">
        <v>53304.252590000004</v>
      </c>
      <c r="I20" s="418">
        <v>15752.106679999999</v>
      </c>
      <c r="J20" s="418">
        <v>6313.2154600000003</v>
      </c>
      <c r="K20" s="418">
        <v>7052.44326</v>
      </c>
      <c r="L20" s="418">
        <v>539.85825</v>
      </c>
      <c r="M20" s="418">
        <v>3238.3061299999999</v>
      </c>
      <c r="N20" s="418">
        <v>239</v>
      </c>
      <c r="O20" s="418">
        <v>0.99087999999999998</v>
      </c>
      <c r="P20" s="418">
        <v>1278.76144</v>
      </c>
    </row>
    <row r="21" spans="2:16" ht="15.75" x14ac:dyDescent="0.3">
      <c r="B21" s="93" t="s">
        <v>297</v>
      </c>
      <c r="C21" s="418"/>
      <c r="D21" s="392"/>
      <c r="E21" s="418"/>
      <c r="F21" s="418"/>
      <c r="G21" s="418"/>
      <c r="H21" s="418"/>
      <c r="I21" s="418"/>
      <c r="J21" s="418"/>
      <c r="K21" s="418"/>
      <c r="L21" s="418"/>
      <c r="M21" s="418"/>
      <c r="N21" s="418"/>
      <c r="O21" s="418"/>
      <c r="P21" s="418"/>
    </row>
    <row r="22" spans="2:16" x14ac:dyDescent="0.25">
      <c r="B22" s="92" t="s">
        <v>345</v>
      </c>
      <c r="C22" s="416">
        <f>SUM(E22:P22)</f>
        <v>30715918.32429</v>
      </c>
      <c r="D22" s="417"/>
      <c r="E22" s="416">
        <v>2306616.4744099998</v>
      </c>
      <c r="F22" s="416">
        <v>1663338.9204000004</v>
      </c>
      <c r="G22" s="416">
        <v>5358177.4288999997</v>
      </c>
      <c r="H22" s="416">
        <v>7052322.0975699984</v>
      </c>
      <c r="I22" s="416">
        <v>789095.96947999997</v>
      </c>
      <c r="J22" s="416">
        <v>4458911.3022399992</v>
      </c>
      <c r="K22" s="416">
        <v>2524154.7917800001</v>
      </c>
      <c r="L22" s="416">
        <v>1012175.47858</v>
      </c>
      <c r="M22" s="416">
        <v>2605579.2262399998</v>
      </c>
      <c r="N22" s="416">
        <v>634676.46371000016</v>
      </c>
      <c r="O22" s="416">
        <v>816032.78807000001</v>
      </c>
      <c r="P22" s="416">
        <v>1494837.3829100002</v>
      </c>
    </row>
    <row r="23" spans="2:16" ht="15.75" x14ac:dyDescent="0.3">
      <c r="B23" s="93" t="s">
        <v>331</v>
      </c>
      <c r="C23" s="418"/>
      <c r="D23" s="392"/>
      <c r="E23" s="418"/>
      <c r="F23" s="441"/>
      <c r="G23" s="418"/>
      <c r="H23" s="418"/>
      <c r="I23" s="418"/>
      <c r="J23" s="418"/>
      <c r="K23" s="418"/>
      <c r="L23" s="418"/>
      <c r="M23" s="418"/>
      <c r="N23" s="418"/>
      <c r="O23" s="418"/>
      <c r="P23" s="418"/>
    </row>
    <row r="24" spans="2:16" ht="15.75" x14ac:dyDescent="0.3">
      <c r="B24" s="94" t="s">
        <v>140</v>
      </c>
      <c r="C24" s="418">
        <f t="shared" ref="C24:C35" si="1">SUM(E24:P24)</f>
        <v>7797790.3512799991</v>
      </c>
      <c r="D24" s="392"/>
      <c r="E24" s="418">
        <v>780430.89662999997</v>
      </c>
      <c r="F24" s="418">
        <v>551335.92888000002</v>
      </c>
      <c r="G24" s="418">
        <v>1116979.81886</v>
      </c>
      <c r="H24" s="418">
        <v>1635123.45065</v>
      </c>
      <c r="I24" s="418">
        <v>182315.43654</v>
      </c>
      <c r="J24" s="418">
        <v>1398807.50193</v>
      </c>
      <c r="K24" s="418">
        <v>593312.99034999998</v>
      </c>
      <c r="L24" s="418">
        <v>405326.03642000002</v>
      </c>
      <c r="M24" s="418">
        <v>428295.29735000001</v>
      </c>
      <c r="N24" s="418">
        <v>136180.80098</v>
      </c>
      <c r="O24" s="418">
        <v>351921.48762999999</v>
      </c>
      <c r="P24" s="418">
        <v>217760.70506000001</v>
      </c>
    </row>
    <row r="25" spans="2:16" ht="15.75" x14ac:dyDescent="0.3">
      <c r="B25" s="94" t="s">
        <v>346</v>
      </c>
      <c r="C25" s="418">
        <f t="shared" si="1"/>
        <v>9914292.7727099992</v>
      </c>
      <c r="D25" s="392"/>
      <c r="E25" s="418">
        <v>455384.16606999998</v>
      </c>
      <c r="F25" s="418">
        <v>336005.29132000002</v>
      </c>
      <c r="G25" s="418">
        <v>2146631.38063</v>
      </c>
      <c r="H25" s="418">
        <v>3242779.5726600001</v>
      </c>
      <c r="I25" s="418">
        <v>164240.6018</v>
      </c>
      <c r="J25" s="418">
        <v>901578.76380999992</v>
      </c>
      <c r="K25" s="418">
        <v>707588.09377000004</v>
      </c>
      <c r="L25" s="418">
        <v>78674.69485</v>
      </c>
      <c r="M25" s="418">
        <v>740488.41835000005</v>
      </c>
      <c r="N25" s="418">
        <v>163152.07924000002</v>
      </c>
      <c r="O25" s="418">
        <v>170110.28279</v>
      </c>
      <c r="P25" s="418">
        <v>807659.42741999996</v>
      </c>
    </row>
    <row r="26" spans="2:16" ht="15.75" x14ac:dyDescent="0.3">
      <c r="B26" s="94" t="s">
        <v>347</v>
      </c>
      <c r="C26" s="418">
        <f t="shared" si="1"/>
        <v>1372343.4300199999</v>
      </c>
      <c r="D26" s="392"/>
      <c r="E26" s="418">
        <v>112338.33445000001</v>
      </c>
      <c r="F26" s="418">
        <v>65387.915850000005</v>
      </c>
      <c r="G26" s="418">
        <v>43029.153090000007</v>
      </c>
      <c r="H26" s="418">
        <v>248264.03547999999</v>
      </c>
      <c r="I26" s="418">
        <v>103036.97145</v>
      </c>
      <c r="J26" s="418">
        <v>306874.73911999998</v>
      </c>
      <c r="K26" s="418">
        <v>132834.87579000002</v>
      </c>
      <c r="L26" s="418">
        <v>144726.32544999997</v>
      </c>
      <c r="M26" s="418">
        <v>111214.54968000001</v>
      </c>
      <c r="N26" s="418">
        <v>44595.069790000001</v>
      </c>
      <c r="O26" s="418">
        <v>46681.555820000001</v>
      </c>
      <c r="P26" s="418">
        <v>13359.904050000001</v>
      </c>
    </row>
    <row r="27" spans="2:16" ht="15.75" x14ac:dyDescent="0.3">
      <c r="B27" s="94" t="s">
        <v>136</v>
      </c>
      <c r="C27" s="418">
        <f t="shared" si="1"/>
        <v>2344962.12408</v>
      </c>
      <c r="D27" s="392"/>
      <c r="E27" s="418">
        <v>278912.00477</v>
      </c>
      <c r="F27" s="418">
        <v>317207.89316000004</v>
      </c>
      <c r="G27" s="418">
        <v>622189.39199999999</v>
      </c>
      <c r="H27" s="418">
        <v>408385.99182999996</v>
      </c>
      <c r="I27" s="418">
        <v>60643.423219999997</v>
      </c>
      <c r="J27" s="418">
        <v>157870.27007</v>
      </c>
      <c r="K27" s="418">
        <v>209572.46147000001</v>
      </c>
      <c r="L27" s="418">
        <v>12407.39976</v>
      </c>
      <c r="M27" s="418">
        <v>106768.76294</v>
      </c>
      <c r="N27" s="418">
        <v>86421.941989999992</v>
      </c>
      <c r="O27" s="418">
        <v>38662.387860000003</v>
      </c>
      <c r="P27" s="418">
        <v>45920.195009999996</v>
      </c>
    </row>
    <row r="28" spans="2:16" ht="15.75" x14ac:dyDescent="0.3">
      <c r="B28" s="94" t="s">
        <v>348</v>
      </c>
      <c r="C28" s="418">
        <f t="shared" si="1"/>
        <v>4615164.4359500008</v>
      </c>
      <c r="D28" s="392"/>
      <c r="E28" s="418">
        <v>260450.10608000003</v>
      </c>
      <c r="F28" s="418">
        <v>1211.9298999999999</v>
      </c>
      <c r="G28" s="418">
        <v>854899.96398</v>
      </c>
      <c r="H28" s="418">
        <v>562320.55940999999</v>
      </c>
      <c r="I28" s="418">
        <v>58880.240969999999</v>
      </c>
      <c r="J28" s="418">
        <v>915034.05748000008</v>
      </c>
      <c r="K28" s="418">
        <v>534330.05478999997</v>
      </c>
      <c r="L28" s="418">
        <v>84808.161980000004</v>
      </c>
      <c r="M28" s="418">
        <v>960004.30720000004</v>
      </c>
      <c r="N28" s="418">
        <v>50918.899619999997</v>
      </c>
      <c r="O28" s="418">
        <v>52411.114350000003</v>
      </c>
      <c r="P28" s="418">
        <v>279895.04018999997</v>
      </c>
    </row>
    <row r="29" spans="2:16" ht="15.75" x14ac:dyDescent="0.3">
      <c r="B29" s="94" t="s">
        <v>141</v>
      </c>
      <c r="C29" s="418">
        <f t="shared" si="1"/>
        <v>25156.027830000003</v>
      </c>
      <c r="D29" s="392"/>
      <c r="E29" s="418">
        <v>0</v>
      </c>
      <c r="F29" s="418">
        <v>0</v>
      </c>
      <c r="G29" s="418">
        <v>0</v>
      </c>
      <c r="H29" s="418">
        <v>14784.49439</v>
      </c>
      <c r="I29" s="418">
        <v>0</v>
      </c>
      <c r="J29" s="418">
        <v>132.19999999999999</v>
      </c>
      <c r="K29" s="418">
        <v>0</v>
      </c>
      <c r="L29" s="418">
        <v>0</v>
      </c>
      <c r="M29" s="418">
        <v>4915.40906</v>
      </c>
      <c r="N29" s="418">
        <v>0</v>
      </c>
      <c r="O29" s="418">
        <v>0</v>
      </c>
      <c r="P29" s="418">
        <v>5323.9243799999995</v>
      </c>
    </row>
    <row r="30" spans="2:16" ht="15.75" x14ac:dyDescent="0.3">
      <c r="B30" s="94" t="s">
        <v>145</v>
      </c>
      <c r="C30" s="418">
        <f t="shared" si="1"/>
        <v>1523720.2550900001</v>
      </c>
      <c r="D30" s="392"/>
      <c r="E30" s="418">
        <v>115483.72856999999</v>
      </c>
      <c r="F30" s="418">
        <v>131326.69714</v>
      </c>
      <c r="G30" s="418">
        <v>145861.38836000001</v>
      </c>
      <c r="H30" s="418">
        <v>305767.11663999996</v>
      </c>
      <c r="I30" s="418">
        <v>85902.461779999998</v>
      </c>
      <c r="J30" s="418">
        <v>245183.27584000002</v>
      </c>
      <c r="K30" s="418">
        <v>124172.81658</v>
      </c>
      <c r="L30" s="418">
        <v>125708.48731999999</v>
      </c>
      <c r="M30" s="418">
        <v>85610.984430000011</v>
      </c>
      <c r="N30" s="418">
        <v>51389.273479999996</v>
      </c>
      <c r="O30" s="418">
        <v>66135.857600000003</v>
      </c>
      <c r="P30" s="418">
        <v>41178.167350000003</v>
      </c>
    </row>
    <row r="31" spans="2:16" ht="15.75" x14ac:dyDescent="0.3">
      <c r="B31" s="94" t="s">
        <v>150</v>
      </c>
      <c r="C31" s="418">
        <f t="shared" si="1"/>
        <v>166199.10580000002</v>
      </c>
      <c r="D31" s="392"/>
      <c r="E31" s="418">
        <v>32026.17859</v>
      </c>
      <c r="F31" s="418">
        <v>40821.546759999997</v>
      </c>
      <c r="G31" s="418">
        <v>28658.234510000002</v>
      </c>
      <c r="H31" s="418">
        <v>14155.67123</v>
      </c>
      <c r="I31" s="418">
        <v>7212.5929599999999</v>
      </c>
      <c r="J31" s="418">
        <v>7645.7452199999998</v>
      </c>
      <c r="K31" s="418">
        <v>12055.622140000001</v>
      </c>
      <c r="L31" s="418">
        <v>758.6868199999999</v>
      </c>
      <c r="M31" s="418">
        <v>11485.937699999999</v>
      </c>
      <c r="N31" s="418">
        <v>8449.96414</v>
      </c>
      <c r="O31" s="418">
        <v>1546.0725299999999</v>
      </c>
      <c r="P31" s="418">
        <v>1382.8532</v>
      </c>
    </row>
    <row r="32" spans="2:16" ht="15.75" x14ac:dyDescent="0.3">
      <c r="B32" s="94" t="s">
        <v>147</v>
      </c>
      <c r="C32" s="418">
        <f t="shared" si="1"/>
        <v>2369801.8526699995</v>
      </c>
      <c r="D32" s="392"/>
      <c r="E32" s="418">
        <v>190196.89944000001</v>
      </c>
      <c r="F32" s="418">
        <v>182038.62369000001</v>
      </c>
      <c r="G32" s="418">
        <v>320860.47041000001</v>
      </c>
      <c r="H32" s="418">
        <v>518291.07727999997</v>
      </c>
      <c r="I32" s="418">
        <v>117994.10683</v>
      </c>
      <c r="J32" s="418">
        <v>445473.42573000002</v>
      </c>
      <c r="K32" s="418">
        <v>149540.77302000002</v>
      </c>
      <c r="L32" s="418">
        <v>115825.90551000001</v>
      </c>
      <c r="M32" s="418">
        <v>109827.12835</v>
      </c>
      <c r="N32" s="418">
        <v>80670.1829</v>
      </c>
      <c r="O32" s="418">
        <v>70182.478749999995</v>
      </c>
      <c r="P32" s="418">
        <v>68900.780760000009</v>
      </c>
    </row>
    <row r="33" spans="2:16" ht="15.75" x14ac:dyDescent="0.3">
      <c r="B33" s="94" t="s">
        <v>349</v>
      </c>
      <c r="C33" s="418">
        <f t="shared" si="1"/>
        <v>13348.290060000001</v>
      </c>
      <c r="D33" s="392"/>
      <c r="E33" s="418">
        <v>0</v>
      </c>
      <c r="F33" s="418">
        <v>170.54495</v>
      </c>
      <c r="G33" s="418">
        <v>384.88739000000004</v>
      </c>
      <c r="H33" s="418">
        <v>695.94382999999993</v>
      </c>
      <c r="I33" s="418">
        <v>1138.6896299999999</v>
      </c>
      <c r="J33" s="418">
        <v>3331.43878</v>
      </c>
      <c r="K33" s="418">
        <v>5199.3029999999999</v>
      </c>
      <c r="L33" s="418">
        <v>0</v>
      </c>
      <c r="M33" s="418">
        <v>0</v>
      </c>
      <c r="N33" s="418">
        <v>153.64521999999999</v>
      </c>
      <c r="O33" s="418">
        <v>2271.1313599999999</v>
      </c>
      <c r="P33" s="418">
        <v>2.7059000000000002</v>
      </c>
    </row>
    <row r="34" spans="2:16" ht="15.75" x14ac:dyDescent="0.3">
      <c r="B34" s="94" t="s">
        <v>350</v>
      </c>
      <c r="C34" s="418">
        <f t="shared" si="1"/>
        <v>528590.00742000004</v>
      </c>
      <c r="D34" s="392"/>
      <c r="E34" s="418">
        <v>79893.525900000008</v>
      </c>
      <c r="F34" s="418">
        <v>37829.969210000003</v>
      </c>
      <c r="G34" s="418">
        <v>61162.054299999996</v>
      </c>
      <c r="H34" s="418">
        <v>98062.973239999992</v>
      </c>
      <c r="I34" s="418">
        <v>5947.3121200000005</v>
      </c>
      <c r="J34" s="418">
        <v>76966.264319999987</v>
      </c>
      <c r="K34" s="418">
        <v>36223.67884</v>
      </c>
      <c r="L34" s="418">
        <v>43439.780469999998</v>
      </c>
      <c r="M34" s="418">
        <v>46809.69771</v>
      </c>
      <c r="N34" s="418">
        <v>12698.109859999999</v>
      </c>
      <c r="O34" s="418">
        <v>16110.419380000001</v>
      </c>
      <c r="P34" s="418">
        <v>13446.22207</v>
      </c>
    </row>
    <row r="35" spans="2:16" ht="15.75" x14ac:dyDescent="0.3">
      <c r="B35" s="94" t="s">
        <v>153</v>
      </c>
      <c r="C35" s="418">
        <f t="shared" si="1"/>
        <v>44549.671380000007</v>
      </c>
      <c r="D35" s="392"/>
      <c r="E35" s="418">
        <v>1500.63391</v>
      </c>
      <c r="F35" s="418">
        <v>2.5795400000000002</v>
      </c>
      <c r="G35" s="418">
        <v>17520.685369999999</v>
      </c>
      <c r="H35" s="418">
        <v>3691.2109300000002</v>
      </c>
      <c r="I35" s="450">
        <v>1784.1321799999998</v>
      </c>
      <c r="J35" s="418">
        <v>13.61994</v>
      </c>
      <c r="K35" s="418">
        <v>19324.122030000002</v>
      </c>
      <c r="L35" s="418">
        <v>500</v>
      </c>
      <c r="M35" s="450">
        <v>158.73347000000001</v>
      </c>
      <c r="N35" s="418">
        <v>46.496490000000001</v>
      </c>
      <c r="O35" s="418">
        <v>0</v>
      </c>
      <c r="P35" s="450">
        <v>7.4575200000000006</v>
      </c>
    </row>
    <row r="36" spans="2:16" ht="15.75" x14ac:dyDescent="0.3">
      <c r="B36" s="93" t="s">
        <v>337</v>
      </c>
      <c r="C36" s="418"/>
      <c r="D36" s="392"/>
      <c r="E36" s="418"/>
      <c r="F36" s="418"/>
      <c r="G36" s="418"/>
      <c r="H36" s="418"/>
      <c r="I36" s="418"/>
      <c r="J36" s="418"/>
      <c r="K36" s="418"/>
      <c r="L36" s="418"/>
      <c r="M36" s="418"/>
      <c r="N36" s="418"/>
      <c r="O36" s="418"/>
      <c r="P36" s="418"/>
    </row>
    <row r="37" spans="2:16" ht="15.75" thickBot="1" x14ac:dyDescent="0.3">
      <c r="B37" s="95" t="s">
        <v>351</v>
      </c>
      <c r="C37" s="419">
        <f>SUM(E37:P37)</f>
        <v>1648935.2403000016</v>
      </c>
      <c r="D37" s="417"/>
      <c r="E37" s="420">
        <v>282042.82040000008</v>
      </c>
      <c r="F37" s="420">
        <v>92324.409949999812</v>
      </c>
      <c r="G37" s="420">
        <v>127715.88814000034</v>
      </c>
      <c r="H37" s="420">
        <v>323651.34850000095</v>
      </c>
      <c r="I37" s="420">
        <v>32199.303240000008</v>
      </c>
      <c r="J37" s="420">
        <v>252423.1974800005</v>
      </c>
      <c r="K37" s="420">
        <v>105716.27479999971</v>
      </c>
      <c r="L37" s="420">
        <v>144860.68059000003</v>
      </c>
      <c r="M37" s="420">
        <v>158782.15026999998</v>
      </c>
      <c r="N37" s="420">
        <v>43477.011719999791</v>
      </c>
      <c r="O37" s="420">
        <v>66625.186220000032</v>
      </c>
      <c r="P37" s="420">
        <v>19116.968990000008</v>
      </c>
    </row>
    <row r="38" spans="2:16" x14ac:dyDescent="0.25">
      <c r="C38" s="427"/>
      <c r="D38" s="415"/>
      <c r="E38" s="415"/>
      <c r="F38" s="415"/>
      <c r="G38" s="415"/>
      <c r="H38" s="415"/>
      <c r="I38" s="415"/>
      <c r="J38" s="415"/>
      <c r="K38" s="415"/>
      <c r="L38" s="415"/>
      <c r="M38" s="415"/>
      <c r="N38" s="415"/>
      <c r="O38" s="415"/>
      <c r="P38" s="415"/>
    </row>
    <row r="39" spans="2:16" ht="15" customHeight="1" x14ac:dyDescent="0.25">
      <c r="C39" s="378"/>
      <c r="D39" s="356"/>
      <c r="E39" s="356"/>
      <c r="F39" s="356"/>
      <c r="G39" s="356"/>
      <c r="H39" s="356"/>
      <c r="I39" s="356"/>
      <c r="J39" s="356"/>
      <c r="K39" s="356"/>
      <c r="L39" s="356"/>
      <c r="M39" s="356"/>
      <c r="N39" s="356"/>
      <c r="O39" s="356"/>
      <c r="P39" s="356"/>
    </row>
    <row r="40" spans="2:16" ht="12.75" customHeight="1" x14ac:dyDescent="0.25">
      <c r="C40" s="191"/>
      <c r="D40" s="191"/>
      <c r="E40" s="191"/>
      <c r="F40" s="191"/>
      <c r="G40" s="191"/>
      <c r="H40" s="191"/>
      <c r="I40" s="191"/>
      <c r="J40" s="191"/>
      <c r="K40" s="191"/>
      <c r="L40" s="191"/>
      <c r="M40" s="191"/>
      <c r="N40" s="191"/>
      <c r="O40" s="191"/>
      <c r="P40" s="191"/>
    </row>
    <row r="41" spans="2:16" x14ac:dyDescent="0.25"/>
    <row r="51" ht="409.6" hidden="1" customHeight="1" x14ac:dyDescent="0.25"/>
    <row r="52" ht="409.6" hidden="1" customHeight="1" x14ac:dyDescent="0.25"/>
  </sheetData>
  <mergeCells count="1">
    <mergeCell ref="E8:P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9">
    <tabColor rgb="FFFFC000"/>
  </sheetPr>
  <dimension ref="B1:Q56"/>
  <sheetViews>
    <sheetView zoomScale="92" zoomScaleNormal="92" workbookViewId="0">
      <selection activeCell="C53" sqref="B8:C53"/>
    </sheetView>
  </sheetViews>
  <sheetFormatPr baseColWidth="10" defaultColWidth="11.42578125" defaultRowHeight="15" zeroHeight="1" x14ac:dyDescent="0.25"/>
  <cols>
    <col min="1" max="1" width="7.85546875" style="48" customWidth="1"/>
    <col min="2" max="2" width="66" style="48" bestFit="1" customWidth="1"/>
    <col min="3" max="3" width="20.7109375" style="48" customWidth="1"/>
    <col min="4" max="5" width="11.42578125" style="48" hidden="1" customWidth="1"/>
    <col min="6" max="23" width="23.5703125" style="48" customWidth="1"/>
    <col min="24" max="16384" width="11.42578125" style="48"/>
  </cols>
  <sheetData>
    <row r="1" spans="2:17" ht="26.25" customHeight="1" x14ac:dyDescent="0.25">
      <c r="B1" s="306" t="s">
        <v>291</v>
      </c>
      <c r="C1" s="294"/>
      <c r="D1" s="294"/>
      <c r="E1" s="294"/>
      <c r="F1" s="294"/>
      <c r="G1" s="294"/>
      <c r="H1" s="294"/>
      <c r="I1" s="294"/>
    </row>
    <row r="2" spans="2:17" ht="26.25" x14ac:dyDescent="0.25">
      <c r="B2" s="307" t="s">
        <v>180</v>
      </c>
      <c r="C2" s="295"/>
      <c r="D2" s="295"/>
      <c r="E2" s="295"/>
      <c r="F2" s="295"/>
      <c r="G2" s="295"/>
      <c r="H2" s="295"/>
      <c r="I2" s="295"/>
    </row>
    <row r="3" spans="2:17" ht="21" x14ac:dyDescent="0.25">
      <c r="B3" s="308" t="s">
        <v>292</v>
      </c>
      <c r="C3" s="296"/>
      <c r="D3" s="296"/>
      <c r="E3" s="296"/>
      <c r="F3" s="633"/>
      <c r="G3" s="296"/>
      <c r="H3" s="296"/>
      <c r="I3" s="296"/>
    </row>
    <row r="4" spans="2:17" ht="17.25" x14ac:dyDescent="0.25">
      <c r="B4" s="309" t="s">
        <v>378</v>
      </c>
      <c r="C4" s="297"/>
      <c r="D4" s="297"/>
      <c r="E4" s="297"/>
      <c r="F4" s="635"/>
      <c r="G4" s="297"/>
      <c r="H4" s="297"/>
      <c r="I4" s="297"/>
    </row>
    <row r="5" spans="2:17" x14ac:dyDescent="0.25">
      <c r="B5" s="310" t="s">
        <v>293</v>
      </c>
      <c r="C5" s="298"/>
      <c r="D5" s="298"/>
      <c r="E5" s="298"/>
      <c r="F5" s="298"/>
      <c r="G5" s="298"/>
      <c r="H5" s="298"/>
      <c r="I5" s="298"/>
    </row>
    <row r="6" spans="2:17" x14ac:dyDescent="0.25"/>
    <row r="7" spans="2:17" hidden="1" x14ac:dyDescent="0.25">
      <c r="E7" s="77"/>
      <c r="F7" s="77"/>
      <c r="G7" s="77"/>
      <c r="H7" s="77"/>
      <c r="I7" s="77"/>
      <c r="K7" s="77"/>
      <c r="L7" s="77"/>
      <c r="M7" s="77"/>
      <c r="N7" s="77"/>
      <c r="O7" s="77"/>
      <c r="P7" s="77"/>
      <c r="Q7" s="77"/>
    </row>
    <row r="8" spans="2:17" ht="15" customHeight="1" thickBot="1" x14ac:dyDescent="0.3">
      <c r="B8" s="89"/>
      <c r="C8" s="90"/>
      <c r="E8" s="77"/>
      <c r="F8" s="677" t="s">
        <v>294</v>
      </c>
      <c r="G8" s="678"/>
      <c r="H8" s="678"/>
      <c r="I8" s="678"/>
      <c r="J8" s="678"/>
      <c r="K8" s="678"/>
      <c r="L8" s="678"/>
      <c r="M8" s="678"/>
      <c r="N8" s="678"/>
      <c r="O8" s="678"/>
      <c r="P8" s="678"/>
      <c r="Q8" s="678"/>
    </row>
    <row r="9" spans="2:17" ht="40.5" customHeight="1" x14ac:dyDescent="0.3">
      <c r="B9" s="91" t="s">
        <v>295</v>
      </c>
      <c r="C9" s="103" t="s">
        <v>128</v>
      </c>
      <c r="D9"/>
      <c r="E9" s="104"/>
      <c r="F9" s="17" t="s">
        <v>119</v>
      </c>
      <c r="G9" s="15" t="s">
        <v>74</v>
      </c>
      <c r="H9" s="15" t="s">
        <v>120</v>
      </c>
      <c r="I9" s="15" t="s">
        <v>121</v>
      </c>
      <c r="J9" s="16" t="s">
        <v>127</v>
      </c>
      <c r="K9" s="15" t="s">
        <v>122</v>
      </c>
      <c r="L9" s="15" t="s">
        <v>76</v>
      </c>
      <c r="M9" s="15" t="s">
        <v>123</v>
      </c>
      <c r="N9" s="15" t="s">
        <v>124</v>
      </c>
      <c r="O9" s="15" t="s">
        <v>125</v>
      </c>
      <c r="P9" s="15" t="s">
        <v>365</v>
      </c>
      <c r="Q9" s="16" t="s">
        <v>126</v>
      </c>
    </row>
    <row r="10" spans="2:17" ht="15.75" x14ac:dyDescent="0.3">
      <c r="B10" s="92" t="s">
        <v>296</v>
      </c>
      <c r="C10" s="416">
        <f>SUM(F10:Q10)</f>
        <v>25855197.884100005</v>
      </c>
      <c r="D10" s="397"/>
      <c r="E10" s="417"/>
      <c r="F10" s="416">
        <v>3057278.0564300003</v>
      </c>
      <c r="G10" s="416">
        <v>3691957.6763599999</v>
      </c>
      <c r="H10" s="416">
        <v>2992518.6915599997</v>
      </c>
      <c r="I10" s="416">
        <v>4163941.6203299998</v>
      </c>
      <c r="J10" s="416">
        <v>1328844.53367</v>
      </c>
      <c r="K10" s="416">
        <v>3641383.5016600001</v>
      </c>
      <c r="L10" s="416">
        <v>1516412.1871199999</v>
      </c>
      <c r="M10" s="416">
        <v>1322353.6912499999</v>
      </c>
      <c r="N10" s="416">
        <v>1572039.2486100001</v>
      </c>
      <c r="O10" s="416">
        <v>707974.96749999991</v>
      </c>
      <c r="P10" s="416">
        <v>1037388.5556500001</v>
      </c>
      <c r="Q10" s="416">
        <v>823105.15395999991</v>
      </c>
    </row>
    <row r="11" spans="2:17" ht="15.75" x14ac:dyDescent="0.3">
      <c r="B11" s="93" t="s">
        <v>297</v>
      </c>
      <c r="C11" s="418"/>
      <c r="D11" s="397"/>
      <c r="E11" s="392"/>
      <c r="F11" s="418"/>
      <c r="G11" s="418"/>
      <c r="H11" s="418"/>
      <c r="I11" s="418"/>
      <c r="J11" s="418"/>
      <c r="K11" s="418"/>
      <c r="L11" s="418"/>
      <c r="M11" s="418"/>
      <c r="N11" s="418"/>
      <c r="O11" s="418"/>
      <c r="P11" s="418"/>
      <c r="Q11" s="418"/>
    </row>
    <row r="12" spans="2:17" ht="15.75" x14ac:dyDescent="0.3">
      <c r="B12" s="94" t="s">
        <v>298</v>
      </c>
      <c r="C12" s="418">
        <f t="shared" ref="C12:C21" si="0">SUM(F12:Q12)</f>
        <v>1462717.8002799999</v>
      </c>
      <c r="D12" s="397"/>
      <c r="E12" s="392"/>
      <c r="F12" s="418">
        <v>332360.26247000002</v>
      </c>
      <c r="G12" s="418">
        <v>71824.056270000001</v>
      </c>
      <c r="H12" s="418">
        <v>164484.23968999999</v>
      </c>
      <c r="I12" s="418">
        <v>142708.92009</v>
      </c>
      <c r="J12" s="418">
        <v>65467.199789999999</v>
      </c>
      <c r="K12" s="418">
        <v>303638.33683999995</v>
      </c>
      <c r="L12" s="418">
        <v>71854.183590000001</v>
      </c>
      <c r="M12" s="418">
        <v>97196.095939999999</v>
      </c>
      <c r="N12" s="418">
        <v>14044.866259999999</v>
      </c>
      <c r="O12" s="418">
        <v>73187.890189999991</v>
      </c>
      <c r="P12" s="418">
        <v>35404.815000000002</v>
      </c>
      <c r="Q12" s="418">
        <v>90546.934150000001</v>
      </c>
    </row>
    <row r="13" spans="2:17" ht="15.75" x14ac:dyDescent="0.3">
      <c r="B13" s="94" t="s">
        <v>299</v>
      </c>
      <c r="C13" s="418">
        <f t="shared" si="0"/>
        <v>13296673.641419999</v>
      </c>
      <c r="D13" s="397"/>
      <c r="E13" s="392"/>
      <c r="F13" s="418">
        <v>1927061.96037</v>
      </c>
      <c r="G13" s="418">
        <v>1537732.79049</v>
      </c>
      <c r="H13" s="418">
        <v>1362309.1444399999</v>
      </c>
      <c r="I13" s="418">
        <v>2034482.36301</v>
      </c>
      <c r="J13" s="418">
        <v>736535.50198000006</v>
      </c>
      <c r="K13" s="418">
        <v>1889433.6992200001</v>
      </c>
      <c r="L13" s="418">
        <v>602132.61495000008</v>
      </c>
      <c r="M13" s="418">
        <v>973020.50078999996</v>
      </c>
      <c r="N13" s="418">
        <v>941227.31015000003</v>
      </c>
      <c r="O13" s="418">
        <v>410048.75532</v>
      </c>
      <c r="P13" s="418">
        <v>642171.18340999994</v>
      </c>
      <c r="Q13" s="418">
        <v>240517.81728999998</v>
      </c>
    </row>
    <row r="14" spans="2:17" ht="15.75" x14ac:dyDescent="0.3">
      <c r="B14" s="94" t="s">
        <v>300</v>
      </c>
      <c r="C14" s="418">
        <f t="shared" si="0"/>
        <v>0</v>
      </c>
      <c r="D14" s="397"/>
      <c r="E14" s="392"/>
      <c r="F14" s="418">
        <v>0</v>
      </c>
      <c r="G14" s="418">
        <v>0</v>
      </c>
      <c r="H14" s="418">
        <v>0</v>
      </c>
      <c r="I14" s="418">
        <v>0</v>
      </c>
      <c r="J14" s="418">
        <v>0</v>
      </c>
      <c r="K14" s="418">
        <v>0</v>
      </c>
      <c r="L14" s="418">
        <v>0</v>
      </c>
      <c r="M14" s="418">
        <v>0</v>
      </c>
      <c r="N14" s="418">
        <v>0</v>
      </c>
      <c r="O14" s="418">
        <v>0</v>
      </c>
      <c r="P14" s="418">
        <v>0</v>
      </c>
      <c r="Q14" s="418">
        <v>0</v>
      </c>
    </row>
    <row r="15" spans="2:17" ht="15.75" x14ac:dyDescent="0.3">
      <c r="B15" s="94" t="s">
        <v>301</v>
      </c>
      <c r="C15" s="418">
        <f t="shared" si="0"/>
        <v>791032.06281999999</v>
      </c>
      <c r="D15" s="397"/>
      <c r="E15" s="392"/>
      <c r="F15" s="418">
        <v>0</v>
      </c>
      <c r="G15" s="418">
        <v>117420.79433</v>
      </c>
      <c r="H15" s="418">
        <v>24361.773280000001</v>
      </c>
      <c r="I15" s="418">
        <v>1676.6905300000001</v>
      </c>
      <c r="J15" s="418">
        <v>109404.46265999999</v>
      </c>
      <c r="K15" s="418">
        <v>161681.41191</v>
      </c>
      <c r="L15" s="418">
        <v>353021.63686999999</v>
      </c>
      <c r="M15" s="418">
        <v>0</v>
      </c>
      <c r="N15" s="418">
        <v>17154.76931</v>
      </c>
      <c r="O15" s="418">
        <v>6310.5239299999994</v>
      </c>
      <c r="P15" s="418">
        <v>0</v>
      </c>
      <c r="Q15" s="418">
        <v>0</v>
      </c>
    </row>
    <row r="16" spans="2:17" ht="15.75" x14ac:dyDescent="0.3">
      <c r="B16" s="94" t="s">
        <v>302</v>
      </c>
      <c r="C16" s="418">
        <f t="shared" si="0"/>
        <v>4574833.92619</v>
      </c>
      <c r="D16" s="397"/>
      <c r="E16" s="392"/>
      <c r="F16" s="418">
        <v>399613.02570999996</v>
      </c>
      <c r="G16" s="418">
        <v>257811.54538</v>
      </c>
      <c r="H16" s="418">
        <v>627228.39010000008</v>
      </c>
      <c r="I16" s="418">
        <v>1090282.15607</v>
      </c>
      <c r="J16" s="418">
        <v>132583.18204000001</v>
      </c>
      <c r="K16" s="418">
        <v>793459.50811000005</v>
      </c>
      <c r="L16" s="418">
        <v>229599.18402000002</v>
      </c>
      <c r="M16" s="418">
        <v>144688.01218000002</v>
      </c>
      <c r="N16" s="418">
        <v>383686.50549000001</v>
      </c>
      <c r="O16" s="418">
        <v>151351.34797</v>
      </c>
      <c r="P16" s="418">
        <v>94190.864959999992</v>
      </c>
      <c r="Q16" s="418">
        <v>270340.20416000002</v>
      </c>
    </row>
    <row r="17" spans="2:17" ht="15.75" x14ac:dyDescent="0.3">
      <c r="B17" s="94" t="s">
        <v>303</v>
      </c>
      <c r="C17" s="418">
        <f>SUM(F17:Q17)</f>
        <v>4367162.8663899992</v>
      </c>
      <c r="D17" s="397"/>
      <c r="E17" s="392"/>
      <c r="F17" s="418">
        <v>354619.28608999995</v>
      </c>
      <c r="G17" s="418">
        <v>1640589.9269600001</v>
      </c>
      <c r="H17" s="418">
        <v>533973.78049999999</v>
      </c>
      <c r="I17" s="418">
        <v>741952.30746000004</v>
      </c>
      <c r="J17" s="418">
        <v>16325.399039999998</v>
      </c>
      <c r="K17" s="418">
        <v>306797.45173000003</v>
      </c>
      <c r="L17" s="418">
        <v>146660.89337999999</v>
      </c>
      <c r="M17" s="418">
        <v>71580.65731000001</v>
      </c>
      <c r="N17" s="418">
        <v>111477.62573999999</v>
      </c>
      <c r="O17" s="418">
        <v>54707.201179999996</v>
      </c>
      <c r="P17" s="418">
        <v>196746.75405000002</v>
      </c>
      <c r="Q17" s="418">
        <v>191731.58294999998</v>
      </c>
    </row>
    <row r="18" spans="2:17" ht="15.75" x14ac:dyDescent="0.3">
      <c r="B18" s="94" t="s">
        <v>304</v>
      </c>
      <c r="C18" s="418">
        <f t="shared" si="0"/>
        <v>53348.786319999992</v>
      </c>
      <c r="D18" s="397"/>
      <c r="E18" s="392"/>
      <c r="F18" s="418">
        <v>7305.5</v>
      </c>
      <c r="G18" s="418">
        <v>0</v>
      </c>
      <c r="H18" s="418">
        <v>10204.2076</v>
      </c>
      <c r="I18" s="418">
        <v>4718.3999999999996</v>
      </c>
      <c r="J18" s="418">
        <v>2545.5440099999996</v>
      </c>
      <c r="K18" s="418">
        <v>16475.022000000001</v>
      </c>
      <c r="L18" s="418">
        <v>1706.85</v>
      </c>
      <c r="M18" s="418">
        <v>0</v>
      </c>
      <c r="N18" s="418">
        <v>8557.8867899999987</v>
      </c>
      <c r="O18" s="418">
        <v>980</v>
      </c>
      <c r="P18" s="418">
        <v>0</v>
      </c>
      <c r="Q18" s="418">
        <v>855.37592000000006</v>
      </c>
    </row>
    <row r="19" spans="2:17" ht="15.75" x14ac:dyDescent="0.3">
      <c r="B19" s="94" t="s">
        <v>305</v>
      </c>
      <c r="C19" s="418">
        <f t="shared" si="0"/>
        <v>259685.14804999993</v>
      </c>
      <c r="D19" s="397"/>
      <c r="E19" s="392"/>
      <c r="F19" s="418">
        <v>9201.9951700000001</v>
      </c>
      <c r="G19" s="418">
        <v>14053.463760000001</v>
      </c>
      <c r="H19" s="418">
        <v>49219.437819999999</v>
      </c>
      <c r="I19" s="418">
        <v>63361.744340000005</v>
      </c>
      <c r="J19" s="418">
        <v>9540.8818300000003</v>
      </c>
      <c r="K19" s="418">
        <v>49071.696969999997</v>
      </c>
      <c r="L19" s="418">
        <v>7504.4708600000004</v>
      </c>
      <c r="M19" s="418">
        <v>25492.538059999999</v>
      </c>
      <c r="N19" s="418">
        <v>12025.61044</v>
      </c>
      <c r="O19" s="418">
        <v>2984.7527999999998</v>
      </c>
      <c r="P19" s="418">
        <v>11847.198640000001</v>
      </c>
      <c r="Q19" s="418">
        <v>5381.35736</v>
      </c>
    </row>
    <row r="20" spans="2:17" ht="15.75" x14ac:dyDescent="0.3">
      <c r="B20" s="94" t="s">
        <v>306</v>
      </c>
      <c r="C20" s="418">
        <f t="shared" si="0"/>
        <v>115351.72283999999</v>
      </c>
      <c r="D20" s="397"/>
      <c r="E20" s="392"/>
      <c r="F20" s="418">
        <v>1025.60771</v>
      </c>
      <c r="G20" s="418">
        <v>0</v>
      </c>
      <c r="H20" s="418">
        <v>11615.36443</v>
      </c>
      <c r="I20" s="418">
        <v>0</v>
      </c>
      <c r="J20" s="418">
        <v>101807.01243999999</v>
      </c>
      <c r="K20" s="418">
        <v>903.73825999999997</v>
      </c>
      <c r="L20" s="418">
        <v>0</v>
      </c>
      <c r="M20" s="418">
        <v>0</v>
      </c>
      <c r="N20" s="418">
        <v>0</v>
      </c>
      <c r="O20" s="418">
        <v>0</v>
      </c>
      <c r="P20" s="418">
        <v>0</v>
      </c>
      <c r="Q20" s="418">
        <v>0</v>
      </c>
    </row>
    <row r="21" spans="2:17" ht="15.75" x14ac:dyDescent="0.3">
      <c r="B21" s="94" t="s">
        <v>307</v>
      </c>
      <c r="C21" s="418">
        <f t="shared" si="0"/>
        <v>934391.92979000008</v>
      </c>
      <c r="D21" s="397"/>
      <c r="E21" s="392"/>
      <c r="F21" s="418">
        <v>26090.41891</v>
      </c>
      <c r="G21" s="418">
        <v>52525.099170000001</v>
      </c>
      <c r="H21" s="418">
        <v>209122.35369999998</v>
      </c>
      <c r="I21" s="418">
        <v>84759.038830000005</v>
      </c>
      <c r="J21" s="418">
        <v>154635.34987999999</v>
      </c>
      <c r="K21" s="418">
        <v>119922.63662</v>
      </c>
      <c r="L21" s="418">
        <v>103932.35345000001</v>
      </c>
      <c r="M21" s="418">
        <v>10375.886970000001</v>
      </c>
      <c r="N21" s="418">
        <v>83864.674430000014</v>
      </c>
      <c r="O21" s="418">
        <v>8404.49611</v>
      </c>
      <c r="P21" s="418">
        <v>57027.739590000005</v>
      </c>
      <c r="Q21" s="418">
        <v>23731.882129999998</v>
      </c>
    </row>
    <row r="22" spans="2:17" ht="15.75" x14ac:dyDescent="0.3">
      <c r="B22" s="93" t="s">
        <v>308</v>
      </c>
      <c r="C22" s="418"/>
      <c r="D22" s="397"/>
      <c r="E22" s="392"/>
      <c r="F22" s="418"/>
      <c r="G22" s="418"/>
      <c r="H22" s="418"/>
      <c r="I22" s="418"/>
      <c r="J22" s="418"/>
      <c r="K22" s="418"/>
      <c r="L22" s="418"/>
      <c r="M22" s="418"/>
      <c r="N22" s="418"/>
      <c r="O22" s="418"/>
      <c r="P22" s="418"/>
      <c r="Q22" s="418"/>
    </row>
    <row r="23" spans="2:17" ht="15.75" x14ac:dyDescent="0.3">
      <c r="B23" s="92" t="s">
        <v>309</v>
      </c>
      <c r="C23" s="416">
        <f>SUM(F23:Q23)</f>
        <v>15943693.204439998</v>
      </c>
      <c r="D23" s="397"/>
      <c r="E23" s="417"/>
      <c r="F23" s="416">
        <v>0</v>
      </c>
      <c r="G23" s="416">
        <v>0</v>
      </c>
      <c r="H23" s="416">
        <v>2583835.7766799997</v>
      </c>
      <c r="I23" s="416">
        <v>3571210.29482</v>
      </c>
      <c r="J23" s="416">
        <v>1763831.03409</v>
      </c>
      <c r="K23" s="416">
        <v>1327829.2</v>
      </c>
      <c r="L23" s="416">
        <v>2732593.4023600002</v>
      </c>
      <c r="M23" s="416">
        <v>20897.425360000001</v>
      </c>
      <c r="N23" s="416">
        <v>1741394.80217</v>
      </c>
      <c r="O23" s="416">
        <v>931124.29782000009</v>
      </c>
      <c r="P23" s="416">
        <v>0</v>
      </c>
      <c r="Q23" s="416">
        <v>1270976.97114</v>
      </c>
    </row>
    <row r="24" spans="2:17" ht="15.75" x14ac:dyDescent="0.3">
      <c r="B24" s="93" t="s">
        <v>310</v>
      </c>
      <c r="C24" s="418"/>
      <c r="D24" s="397"/>
      <c r="E24" s="392"/>
      <c r="F24" s="418"/>
      <c r="G24" s="418"/>
      <c r="H24" s="418"/>
      <c r="I24" s="418"/>
      <c r="J24" s="418"/>
      <c r="K24" s="418"/>
      <c r="L24" s="418"/>
      <c r="M24" s="418"/>
      <c r="N24" s="418"/>
      <c r="O24" s="418"/>
      <c r="P24" s="418"/>
      <c r="Q24" s="418"/>
    </row>
    <row r="25" spans="2:17" ht="15.75" x14ac:dyDescent="0.3">
      <c r="B25" s="92" t="s">
        <v>311</v>
      </c>
      <c r="C25" s="416">
        <f>SUM(F25:Q25)</f>
        <v>41798891.088540003</v>
      </c>
      <c r="D25" s="397"/>
      <c r="E25" s="417"/>
      <c r="F25" s="416">
        <v>3057278.0564300003</v>
      </c>
      <c r="G25" s="416">
        <v>3691957.6763599999</v>
      </c>
      <c r="H25" s="416">
        <v>5576354.4682399994</v>
      </c>
      <c r="I25" s="416">
        <v>7735151.9151499998</v>
      </c>
      <c r="J25" s="416">
        <v>3092675.56776</v>
      </c>
      <c r="K25" s="416">
        <v>4969212.7016599998</v>
      </c>
      <c r="L25" s="416">
        <v>4249005.5894799996</v>
      </c>
      <c r="M25" s="416">
        <v>1343251.1166099999</v>
      </c>
      <c r="N25" s="416">
        <v>3313434.0507800002</v>
      </c>
      <c r="O25" s="416">
        <v>1639099.26532</v>
      </c>
      <c r="P25" s="416">
        <v>1037388.5556500001</v>
      </c>
      <c r="Q25" s="416">
        <v>2094082.1250999998</v>
      </c>
    </row>
    <row r="26" spans="2:17" ht="15.75" x14ac:dyDescent="0.3">
      <c r="B26" s="93" t="s">
        <v>312</v>
      </c>
      <c r="C26" s="418"/>
      <c r="D26" s="397"/>
      <c r="E26" s="392"/>
      <c r="F26" s="418"/>
      <c r="G26" s="418"/>
      <c r="H26" s="418"/>
      <c r="I26" s="418"/>
      <c r="J26" s="418"/>
      <c r="K26" s="418"/>
      <c r="L26" s="418"/>
      <c r="M26" s="418"/>
      <c r="N26" s="418"/>
      <c r="O26" s="418"/>
      <c r="P26" s="418"/>
      <c r="Q26" s="418"/>
    </row>
    <row r="27" spans="2:17" ht="15.75" x14ac:dyDescent="0.3">
      <c r="B27" s="92" t="s">
        <v>313</v>
      </c>
      <c r="C27" s="416">
        <f>SUM(F27:Q27)</f>
        <v>16788934.743009999</v>
      </c>
      <c r="D27" s="397"/>
      <c r="E27" s="417"/>
      <c r="F27" s="416">
        <v>1839200.8259100001</v>
      </c>
      <c r="G27" s="416">
        <v>3037852.2032599999</v>
      </c>
      <c r="H27" s="416">
        <v>2263145.8319899999</v>
      </c>
      <c r="I27" s="416">
        <v>2719001.8135199994</v>
      </c>
      <c r="J27" s="416">
        <v>587485.79038999998</v>
      </c>
      <c r="K27" s="416">
        <v>2273825.4191300003</v>
      </c>
      <c r="L27" s="416">
        <v>988578.7</v>
      </c>
      <c r="M27" s="416">
        <v>682871.15351000009</v>
      </c>
      <c r="N27" s="416">
        <v>858280.41185999999</v>
      </c>
      <c r="O27" s="416">
        <v>383353.05894999998</v>
      </c>
      <c r="P27" s="416">
        <v>584637.56981000002</v>
      </c>
      <c r="Q27" s="416">
        <v>570701.96468000009</v>
      </c>
    </row>
    <row r="28" spans="2:17" ht="15.75" x14ac:dyDescent="0.3">
      <c r="B28" s="93" t="s">
        <v>314</v>
      </c>
      <c r="C28" s="418"/>
      <c r="D28" s="397"/>
      <c r="E28" s="392"/>
      <c r="F28" s="418"/>
      <c r="G28" s="418"/>
      <c r="H28" s="418"/>
      <c r="I28" s="418"/>
      <c r="J28" s="418"/>
      <c r="K28" s="418"/>
      <c r="L28" s="418"/>
      <c r="M28" s="418"/>
      <c r="N28" s="418"/>
      <c r="O28" s="418"/>
      <c r="P28" s="418"/>
      <c r="Q28" s="418"/>
    </row>
    <row r="29" spans="2:17" ht="15.75" x14ac:dyDescent="0.3">
      <c r="B29" s="94" t="s">
        <v>315</v>
      </c>
      <c r="C29" s="418">
        <f t="shared" ref="C29:C37" si="1">SUM(F29:Q29)</f>
        <v>684216.68529000017</v>
      </c>
      <c r="D29" s="397"/>
      <c r="E29" s="392"/>
      <c r="F29" s="418">
        <v>18969.49552</v>
      </c>
      <c r="G29" s="418">
        <v>33854.577680000002</v>
      </c>
      <c r="H29" s="418">
        <v>15785.961150000001</v>
      </c>
      <c r="I29" s="418">
        <v>199612.57171000002</v>
      </c>
      <c r="J29" s="418">
        <v>11962.2804</v>
      </c>
      <c r="K29" s="418">
        <v>27956.079809999999</v>
      </c>
      <c r="L29" s="418">
        <v>93144.885299999994</v>
      </c>
      <c r="M29" s="418">
        <v>8996.9466899999989</v>
      </c>
      <c r="N29" s="418">
        <v>126352.99703</v>
      </c>
      <c r="O29" s="418">
        <v>7282.2076699999998</v>
      </c>
      <c r="P29" s="418">
        <v>134390.82827</v>
      </c>
      <c r="Q29" s="418">
        <v>5907.8540599999997</v>
      </c>
    </row>
    <row r="30" spans="2:17" ht="15.75" x14ac:dyDescent="0.3">
      <c r="B30" s="94" t="s">
        <v>316</v>
      </c>
      <c r="C30" s="418">
        <f t="shared" si="1"/>
        <v>3566647.7208199999</v>
      </c>
      <c r="D30" s="397"/>
      <c r="E30" s="392"/>
      <c r="F30" s="418">
        <v>376161.61177999998</v>
      </c>
      <c r="G30" s="418">
        <v>167974.03094</v>
      </c>
      <c r="H30" s="418">
        <v>503231.34455000004</v>
      </c>
      <c r="I30" s="418">
        <v>778420.98054999998</v>
      </c>
      <c r="J30" s="418">
        <v>57766.448759999999</v>
      </c>
      <c r="K30" s="418">
        <v>768333.46273000003</v>
      </c>
      <c r="L30" s="418">
        <v>130795.86968999999</v>
      </c>
      <c r="M30" s="418">
        <v>171026.39918000001</v>
      </c>
      <c r="N30" s="418">
        <v>185160.52189999999</v>
      </c>
      <c r="O30" s="418">
        <v>118802.57148999999</v>
      </c>
      <c r="P30" s="418">
        <v>199546.85653999998</v>
      </c>
      <c r="Q30" s="418">
        <v>109427.62271</v>
      </c>
    </row>
    <row r="31" spans="2:17" ht="15.75" x14ac:dyDescent="0.3">
      <c r="B31" s="94" t="s">
        <v>317</v>
      </c>
      <c r="C31" s="418">
        <f t="shared" si="1"/>
        <v>606000.9071699999</v>
      </c>
      <c r="D31" s="397"/>
      <c r="E31" s="392"/>
      <c r="F31" s="418">
        <v>71093.944060000009</v>
      </c>
      <c r="G31" s="418">
        <v>52316.048299999995</v>
      </c>
      <c r="H31" s="418">
        <v>85886.055200000003</v>
      </c>
      <c r="I31" s="418">
        <v>189871.57858</v>
      </c>
      <c r="J31" s="418">
        <v>23070.642749999999</v>
      </c>
      <c r="K31" s="418">
        <v>48784.745219999997</v>
      </c>
      <c r="L31" s="418">
        <v>35105.5622</v>
      </c>
      <c r="M31" s="418">
        <v>13636.20505</v>
      </c>
      <c r="N31" s="418">
        <v>28935.385630000001</v>
      </c>
      <c r="O31" s="418">
        <v>26864.859219999998</v>
      </c>
      <c r="P31" s="418">
        <v>8551.0854299999992</v>
      </c>
      <c r="Q31" s="418">
        <v>21884.795529999999</v>
      </c>
    </row>
    <row r="32" spans="2:17" ht="15.75" x14ac:dyDescent="0.3">
      <c r="B32" s="94" t="s">
        <v>318</v>
      </c>
      <c r="C32" s="418">
        <f t="shared" si="1"/>
        <v>1059510.5832799999</v>
      </c>
      <c r="D32" s="397"/>
      <c r="E32" s="392"/>
      <c r="F32" s="418">
        <v>93156.966099999991</v>
      </c>
      <c r="G32" s="418">
        <v>42271.012149999995</v>
      </c>
      <c r="H32" s="418">
        <v>192285.99111</v>
      </c>
      <c r="I32" s="418">
        <v>172071.80858000001</v>
      </c>
      <c r="J32" s="418">
        <v>59887.309099999999</v>
      </c>
      <c r="K32" s="418">
        <v>169836.55816999997</v>
      </c>
      <c r="L32" s="418">
        <v>85835.637790000008</v>
      </c>
      <c r="M32" s="418">
        <v>46098.240669999999</v>
      </c>
      <c r="N32" s="418">
        <v>44848.449509999999</v>
      </c>
      <c r="O32" s="418">
        <v>28030.982309999999</v>
      </c>
      <c r="P32" s="418">
        <v>26044.638309999998</v>
      </c>
      <c r="Q32" s="418">
        <v>99142.989480000004</v>
      </c>
    </row>
    <row r="33" spans="2:17" ht="15.75" x14ac:dyDescent="0.3">
      <c r="B33" s="94" t="s">
        <v>319</v>
      </c>
      <c r="C33" s="418">
        <f t="shared" si="1"/>
        <v>31072.368549999999</v>
      </c>
      <c r="D33" s="397"/>
      <c r="E33" s="392"/>
      <c r="F33" s="418">
        <v>550.75086999999996</v>
      </c>
      <c r="G33" s="418">
        <v>25420.80673</v>
      </c>
      <c r="H33" s="418">
        <v>5076.5087999999996</v>
      </c>
      <c r="I33" s="418">
        <v>0</v>
      </c>
      <c r="J33" s="418">
        <v>0</v>
      </c>
      <c r="K33" s="418">
        <v>0</v>
      </c>
      <c r="L33" s="418">
        <v>24.302150000000001</v>
      </c>
      <c r="M33" s="418">
        <v>0</v>
      </c>
      <c r="N33" s="418">
        <v>0</v>
      </c>
      <c r="O33" s="418">
        <v>0</v>
      </c>
      <c r="P33" s="418">
        <v>0</v>
      </c>
      <c r="Q33" s="418">
        <v>0</v>
      </c>
    </row>
    <row r="34" spans="2:17" ht="15.75" x14ac:dyDescent="0.3">
      <c r="B34" s="94" t="s">
        <v>320</v>
      </c>
      <c r="C34" s="418">
        <f t="shared" si="1"/>
        <v>2924758.1193100004</v>
      </c>
      <c r="D34" s="397"/>
      <c r="E34" s="392"/>
      <c r="F34" s="418">
        <v>194898.99372</v>
      </c>
      <c r="G34" s="418">
        <v>62185.65971</v>
      </c>
      <c r="H34" s="418">
        <v>805013.42437000002</v>
      </c>
      <c r="I34" s="418">
        <v>690696.68286000006</v>
      </c>
      <c r="J34" s="418">
        <v>56182.680740000003</v>
      </c>
      <c r="K34" s="418">
        <v>260107.99875</v>
      </c>
      <c r="L34" s="418">
        <v>222393.78934000002</v>
      </c>
      <c r="M34" s="418">
        <v>76772.26225</v>
      </c>
      <c r="N34" s="418">
        <v>150790.08343</v>
      </c>
      <c r="O34" s="418">
        <v>39739.551780000002</v>
      </c>
      <c r="P34" s="418">
        <v>79185.077680000002</v>
      </c>
      <c r="Q34" s="418">
        <v>286791.91467999999</v>
      </c>
    </row>
    <row r="35" spans="2:17" ht="15.75" x14ac:dyDescent="0.3">
      <c r="B35" s="94" t="s">
        <v>321</v>
      </c>
      <c r="C35" s="418">
        <f t="shared" si="1"/>
        <v>7535230.1836900013</v>
      </c>
      <c r="D35" s="397"/>
      <c r="E35" s="392"/>
      <c r="F35" s="418">
        <v>1045323.94412</v>
      </c>
      <c r="G35" s="418">
        <v>2615311.89732</v>
      </c>
      <c r="H35" s="418">
        <v>604902.27210000006</v>
      </c>
      <c r="I35" s="418">
        <v>640663.6616799999</v>
      </c>
      <c r="J35" s="418">
        <v>356854.63006</v>
      </c>
      <c r="K35" s="418">
        <v>977025.13124999998</v>
      </c>
      <c r="L35" s="418">
        <v>363280.30455</v>
      </c>
      <c r="M35" s="418">
        <v>316800.89425000001</v>
      </c>
      <c r="N35" s="418">
        <v>286315.09463999997</v>
      </c>
      <c r="O35" s="418">
        <v>155276.68203999999</v>
      </c>
      <c r="P35" s="418">
        <v>136898.47775999998</v>
      </c>
      <c r="Q35" s="418">
        <v>36577.193920000005</v>
      </c>
    </row>
    <row r="36" spans="2:17" ht="15.75" x14ac:dyDescent="0.3">
      <c r="B36" s="94" t="s">
        <v>322</v>
      </c>
      <c r="C36" s="418">
        <f t="shared" si="1"/>
        <v>150939.53062999999</v>
      </c>
      <c r="D36" s="397"/>
      <c r="E36" s="392"/>
      <c r="F36" s="418">
        <v>10341.427180000001</v>
      </c>
      <c r="G36" s="418">
        <v>0</v>
      </c>
      <c r="H36" s="418">
        <v>39738.250690000001</v>
      </c>
      <c r="I36" s="418">
        <v>15193.51496</v>
      </c>
      <c r="J36" s="418">
        <v>1890</v>
      </c>
      <c r="K36" s="418">
        <v>21649.191070000001</v>
      </c>
      <c r="L36" s="418">
        <v>22795.496179999998</v>
      </c>
      <c r="M36" s="418">
        <v>5709.58619</v>
      </c>
      <c r="N36" s="418">
        <v>22625.98603</v>
      </c>
      <c r="O36" s="418">
        <v>7356.2044400000004</v>
      </c>
      <c r="P36" s="418">
        <v>20.605820000000001</v>
      </c>
      <c r="Q36" s="418">
        <v>3619.2680699999996</v>
      </c>
    </row>
    <row r="37" spans="2:17" ht="15.75" x14ac:dyDescent="0.3">
      <c r="B37" s="443" t="s">
        <v>323</v>
      </c>
      <c r="C37" s="418">
        <f t="shared" si="1"/>
        <v>230638.23822</v>
      </c>
      <c r="D37" s="397"/>
      <c r="E37" s="392"/>
      <c r="F37" s="418">
        <v>28703.69256</v>
      </c>
      <c r="G37" s="418">
        <v>38518.170429999998</v>
      </c>
      <c r="H37" s="418">
        <v>11226.024019999999</v>
      </c>
      <c r="I37" s="418">
        <v>32471.014600000002</v>
      </c>
      <c r="J37" s="418">
        <v>19871.798579999999</v>
      </c>
      <c r="K37" s="418">
        <v>132.25212999999999</v>
      </c>
      <c r="L37" s="418">
        <v>35282.446750000003</v>
      </c>
      <c r="M37" s="418">
        <v>43830.619229999997</v>
      </c>
      <c r="N37" s="418">
        <v>13251.893689999999</v>
      </c>
      <c r="O37" s="418">
        <v>0</v>
      </c>
      <c r="P37" s="418">
        <v>0</v>
      </c>
      <c r="Q37" s="418">
        <v>7350.3262300000006</v>
      </c>
    </row>
    <row r="38" spans="2:17" ht="15.75" x14ac:dyDescent="0.3">
      <c r="B38" s="93" t="s">
        <v>324</v>
      </c>
      <c r="C38" s="418"/>
      <c r="D38" s="397"/>
      <c r="E38" s="392"/>
      <c r="F38" s="418"/>
      <c r="G38" s="418"/>
      <c r="H38" s="418"/>
      <c r="I38" s="418"/>
      <c r="J38" s="418"/>
      <c r="K38" s="418"/>
      <c r="L38" s="418"/>
      <c r="M38" s="418"/>
      <c r="N38" s="418"/>
      <c r="O38" s="418"/>
      <c r="P38" s="418"/>
      <c r="Q38" s="418"/>
    </row>
    <row r="39" spans="2:17" ht="15.75" x14ac:dyDescent="0.3">
      <c r="B39" s="92" t="s">
        <v>109</v>
      </c>
      <c r="C39" s="416">
        <f>SUM(F39:Q39)</f>
        <v>9066263.1471399982</v>
      </c>
      <c r="D39" s="397"/>
      <c r="E39" s="417"/>
      <c r="F39" s="416">
        <v>1218077.23052</v>
      </c>
      <c r="G39" s="416">
        <v>654105.47310000006</v>
      </c>
      <c r="H39" s="416">
        <v>729372.85957000009</v>
      </c>
      <c r="I39" s="416">
        <v>1444939.80681</v>
      </c>
      <c r="J39" s="416">
        <v>741358.74327999994</v>
      </c>
      <c r="K39" s="416">
        <v>1367558.08253</v>
      </c>
      <c r="L39" s="416">
        <v>527833.49317000003</v>
      </c>
      <c r="M39" s="416">
        <v>639482.53774000006</v>
      </c>
      <c r="N39" s="416">
        <v>713758.83675000002</v>
      </c>
      <c r="O39" s="416">
        <v>324621.90854999993</v>
      </c>
      <c r="P39" s="416">
        <v>452750.98584000004</v>
      </c>
      <c r="Q39" s="416">
        <v>252403.18927999999</v>
      </c>
    </row>
    <row r="40" spans="2:17" ht="15.75" x14ac:dyDescent="0.3">
      <c r="B40" s="93" t="s">
        <v>325</v>
      </c>
      <c r="C40" s="418"/>
      <c r="D40" s="397"/>
      <c r="E40" s="392"/>
      <c r="F40" s="418"/>
      <c r="G40" s="418"/>
      <c r="H40" s="418"/>
      <c r="I40" s="418"/>
      <c r="J40" s="418"/>
      <c r="K40" s="418"/>
      <c r="L40" s="418"/>
      <c r="M40" s="418"/>
      <c r="N40" s="418"/>
      <c r="O40" s="418"/>
      <c r="P40" s="418"/>
      <c r="Q40" s="418"/>
    </row>
    <row r="41" spans="2:17" ht="15.75" x14ac:dyDescent="0.3">
      <c r="B41" s="94" t="s">
        <v>326</v>
      </c>
      <c r="C41" s="418">
        <f>SUM(F41:Q41)</f>
        <v>4288553</v>
      </c>
      <c r="D41" s="397"/>
      <c r="E41" s="392"/>
      <c r="F41" s="418">
        <v>364800</v>
      </c>
      <c r="G41" s="418">
        <v>90000</v>
      </c>
      <c r="H41" s="418">
        <v>180000</v>
      </c>
      <c r="I41" s="418">
        <v>850000</v>
      </c>
      <c r="J41" s="418">
        <v>400000</v>
      </c>
      <c r="K41" s="418">
        <v>950000</v>
      </c>
      <c r="L41" s="418">
        <v>250000</v>
      </c>
      <c r="M41" s="418">
        <v>343753</v>
      </c>
      <c r="N41" s="418">
        <v>300000</v>
      </c>
      <c r="O41" s="418">
        <v>180000</v>
      </c>
      <c r="P41" s="418">
        <v>200000</v>
      </c>
      <c r="Q41" s="418">
        <v>180000</v>
      </c>
    </row>
    <row r="42" spans="2:17" ht="15.75" x14ac:dyDescent="0.3">
      <c r="B42" s="94" t="s">
        <v>327</v>
      </c>
      <c r="C42" s="418">
        <f>SUM(F42:Q42)</f>
        <v>665160.90484000009</v>
      </c>
      <c r="D42" s="397"/>
      <c r="E42" s="392"/>
      <c r="F42" s="418">
        <v>108831.45462999999</v>
      </c>
      <c r="G42" s="418">
        <v>18000</v>
      </c>
      <c r="H42" s="418">
        <v>36000</v>
      </c>
      <c r="I42" s="418">
        <v>123494.64942</v>
      </c>
      <c r="J42" s="418">
        <v>45364.93232</v>
      </c>
      <c r="K42" s="418">
        <v>174478.45836000002</v>
      </c>
      <c r="L42" s="418">
        <v>36444.759420000002</v>
      </c>
      <c r="M42" s="418">
        <v>42235.857149999996</v>
      </c>
      <c r="N42" s="418">
        <v>47085.787649999998</v>
      </c>
      <c r="O42" s="418">
        <v>18897.653320000001</v>
      </c>
      <c r="P42" s="418">
        <v>11552.31006</v>
      </c>
      <c r="Q42" s="418">
        <v>2775.0425099999998</v>
      </c>
    </row>
    <row r="43" spans="2:17" ht="15.75" x14ac:dyDescent="0.3">
      <c r="B43" s="94" t="s">
        <v>328</v>
      </c>
      <c r="C43" s="418">
        <f>SUM(F43:Q43)</f>
        <v>2476234.4619</v>
      </c>
      <c r="D43" s="397"/>
      <c r="E43" s="392"/>
      <c r="F43" s="418">
        <v>462402.95549000002</v>
      </c>
      <c r="G43" s="418">
        <v>453781.06315</v>
      </c>
      <c r="H43" s="418">
        <v>385656.97143000003</v>
      </c>
      <c r="I43" s="418">
        <v>147793.80888999999</v>
      </c>
      <c r="J43" s="418">
        <v>263794.50771999999</v>
      </c>
      <c r="K43" s="418">
        <v>3277.5865899999999</v>
      </c>
      <c r="L43" s="418">
        <v>135671.75894999999</v>
      </c>
      <c r="M43" s="418">
        <v>108633</v>
      </c>
      <c r="N43" s="418">
        <v>207890.89883000002</v>
      </c>
      <c r="O43" s="418">
        <v>82247.24351</v>
      </c>
      <c r="P43" s="418">
        <v>174573.48956000002</v>
      </c>
      <c r="Q43" s="418">
        <v>50511.177779999998</v>
      </c>
    </row>
    <row r="44" spans="2:17" ht="15.75" x14ac:dyDescent="0.3">
      <c r="B44" s="94" t="s">
        <v>329</v>
      </c>
      <c r="C44" s="418">
        <f>SUM(F44:Q44)</f>
        <v>1636314.7804000003</v>
      </c>
      <c r="D44" s="397"/>
      <c r="E44" s="392"/>
      <c r="F44" s="418">
        <v>282042.82039999997</v>
      </c>
      <c r="G44" s="418">
        <v>92324.409950000001</v>
      </c>
      <c r="H44" s="418">
        <v>127715.88814</v>
      </c>
      <c r="I44" s="418">
        <v>323651.34850000002</v>
      </c>
      <c r="J44" s="418">
        <v>32199.303239999997</v>
      </c>
      <c r="K44" s="418">
        <v>239802.03758</v>
      </c>
      <c r="L44" s="418">
        <v>105716.9748</v>
      </c>
      <c r="M44" s="418">
        <v>144860.68059</v>
      </c>
      <c r="N44" s="418">
        <v>158782.15027000001</v>
      </c>
      <c r="O44" s="418">
        <v>43477.011720000002</v>
      </c>
      <c r="P44" s="418">
        <v>66625.186220000003</v>
      </c>
      <c r="Q44" s="418">
        <v>19116.968989999998</v>
      </c>
    </row>
    <row r="45" spans="2:17" ht="15.75" x14ac:dyDescent="0.3">
      <c r="B45" s="94" t="s">
        <v>330</v>
      </c>
      <c r="C45" s="418">
        <f>SUM(F45:Q45)</f>
        <v>0</v>
      </c>
      <c r="D45" s="397"/>
      <c r="E45" s="392"/>
      <c r="F45" s="418">
        <v>0</v>
      </c>
      <c r="G45" s="418">
        <v>0</v>
      </c>
      <c r="H45" s="418">
        <v>0</v>
      </c>
      <c r="I45" s="418">
        <v>0</v>
      </c>
      <c r="J45" s="418">
        <v>0</v>
      </c>
      <c r="K45" s="418">
        <v>0</v>
      </c>
      <c r="L45" s="418">
        <v>0</v>
      </c>
      <c r="M45" s="418">
        <v>0</v>
      </c>
      <c r="N45" s="418">
        <v>0</v>
      </c>
      <c r="O45" s="418">
        <v>0</v>
      </c>
      <c r="P45" s="418">
        <v>0</v>
      </c>
      <c r="Q45" s="418">
        <v>0</v>
      </c>
    </row>
    <row r="46" spans="2:17" ht="15.75" x14ac:dyDescent="0.3">
      <c r="B46" s="93" t="s">
        <v>331</v>
      </c>
      <c r="C46" s="418"/>
      <c r="D46" s="397"/>
      <c r="E46" s="392"/>
      <c r="F46" s="418"/>
      <c r="G46" s="418"/>
      <c r="H46" s="418"/>
      <c r="I46" s="418"/>
      <c r="J46" s="418"/>
      <c r="K46" s="418"/>
      <c r="L46" s="418"/>
      <c r="M46" s="418"/>
      <c r="N46" s="418"/>
      <c r="O46" s="418"/>
      <c r="P46" s="418"/>
      <c r="Q46" s="418"/>
    </row>
    <row r="47" spans="2:17" ht="15.75" x14ac:dyDescent="0.3">
      <c r="B47" s="92" t="s">
        <v>332</v>
      </c>
      <c r="C47" s="416">
        <f>SUM(F47:Q47)</f>
        <v>25855197.890150003</v>
      </c>
      <c r="D47" s="397"/>
      <c r="E47" s="417"/>
      <c r="F47" s="416">
        <v>3057278.0564300003</v>
      </c>
      <c r="G47" s="416">
        <v>3691957.6763599995</v>
      </c>
      <c r="H47" s="416">
        <v>2992518.6915599997</v>
      </c>
      <c r="I47" s="416">
        <v>4163941.6203299994</v>
      </c>
      <c r="J47" s="416">
        <v>1328844.53367</v>
      </c>
      <c r="K47" s="416">
        <v>3641383.5016600001</v>
      </c>
      <c r="L47" s="416">
        <v>1516412.1931700001</v>
      </c>
      <c r="M47" s="416">
        <v>1322353.6912499999</v>
      </c>
      <c r="N47" s="416">
        <v>1572039.2486100001</v>
      </c>
      <c r="O47" s="416">
        <v>707974.96750000003</v>
      </c>
      <c r="P47" s="416">
        <v>1037388.5556500001</v>
      </c>
      <c r="Q47" s="416">
        <v>823105.15396000003</v>
      </c>
    </row>
    <row r="48" spans="2:17" ht="15.75" x14ac:dyDescent="0.3">
      <c r="B48" s="93" t="s">
        <v>333</v>
      </c>
      <c r="C48" s="418"/>
      <c r="D48" s="397"/>
      <c r="E48" s="392"/>
      <c r="F48" s="418"/>
      <c r="G48" s="418"/>
      <c r="H48" s="418"/>
      <c r="I48" s="418"/>
      <c r="J48" s="418"/>
      <c r="K48" s="418"/>
      <c r="L48" s="418"/>
      <c r="M48" s="418"/>
      <c r="N48" s="418"/>
      <c r="O48" s="418"/>
      <c r="P48" s="418"/>
      <c r="Q48" s="418"/>
    </row>
    <row r="49" spans="2:17" ht="15.75" x14ac:dyDescent="0.3">
      <c r="B49" s="92" t="s">
        <v>334</v>
      </c>
      <c r="C49" s="416">
        <f>SUM(F49:Q49)</f>
        <v>15853693.204439998</v>
      </c>
      <c r="D49" s="397"/>
      <c r="E49" s="417"/>
      <c r="F49" s="416">
        <v>0</v>
      </c>
      <c r="G49" s="416">
        <v>0</v>
      </c>
      <c r="H49" s="416">
        <v>2583835.7766799997</v>
      </c>
      <c r="I49" s="416">
        <v>3571210.29482</v>
      </c>
      <c r="J49" s="416">
        <v>1763831.03409</v>
      </c>
      <c r="K49" s="416">
        <v>1237829.2</v>
      </c>
      <c r="L49" s="416">
        <v>2732593.4023600002</v>
      </c>
      <c r="M49" s="416">
        <v>20897.425360000001</v>
      </c>
      <c r="N49" s="416">
        <v>1741394.80217</v>
      </c>
      <c r="O49" s="416">
        <v>931124.29782000009</v>
      </c>
      <c r="P49" s="416">
        <v>0</v>
      </c>
      <c r="Q49" s="416">
        <v>1270976.97114</v>
      </c>
    </row>
    <row r="50" spans="2:17" ht="15.75" x14ac:dyDescent="0.3">
      <c r="B50" s="93" t="s">
        <v>335</v>
      </c>
      <c r="C50" s="418"/>
      <c r="D50" s="397"/>
      <c r="E50" s="392"/>
      <c r="F50" s="418"/>
      <c r="G50" s="418"/>
      <c r="H50" s="418"/>
      <c r="I50" s="418"/>
      <c r="J50" s="418"/>
      <c r="K50" s="418"/>
      <c r="L50" s="418"/>
      <c r="M50" s="418"/>
      <c r="N50" s="418"/>
      <c r="O50" s="418"/>
      <c r="P50" s="418"/>
      <c r="Q50" s="418"/>
    </row>
    <row r="51" spans="2:17" ht="15.75" x14ac:dyDescent="0.3">
      <c r="B51" s="92" t="s">
        <v>336</v>
      </c>
      <c r="C51" s="416">
        <f>SUM(F51:Q51)</f>
        <v>41708891.094590008</v>
      </c>
      <c r="D51" s="397"/>
      <c r="E51" s="417"/>
      <c r="F51" s="416">
        <v>3057278.0564300003</v>
      </c>
      <c r="G51" s="416">
        <v>3691957.6763599995</v>
      </c>
      <c r="H51" s="416">
        <v>5576354.4682399994</v>
      </c>
      <c r="I51" s="416">
        <v>7735151.9151499998</v>
      </c>
      <c r="J51" s="416">
        <v>3092675.56776</v>
      </c>
      <c r="K51" s="416">
        <v>4879212.7016599998</v>
      </c>
      <c r="L51" s="416">
        <v>4249005.5955300005</v>
      </c>
      <c r="M51" s="416">
        <v>1343251.1166099999</v>
      </c>
      <c r="N51" s="416">
        <v>3313434.0507800002</v>
      </c>
      <c r="O51" s="416">
        <v>1639099.2653200002</v>
      </c>
      <c r="P51" s="416">
        <v>1037388.5556500001</v>
      </c>
      <c r="Q51" s="416">
        <v>2094082.1251000001</v>
      </c>
    </row>
    <row r="52" spans="2:17" ht="15.75" x14ac:dyDescent="0.3">
      <c r="B52" s="93" t="s">
        <v>337</v>
      </c>
      <c r="C52" s="418"/>
      <c r="D52" s="397"/>
      <c r="E52" s="392"/>
      <c r="F52" s="418"/>
      <c r="G52" s="418"/>
      <c r="H52" s="418"/>
      <c r="I52" s="418"/>
      <c r="J52" s="418"/>
      <c r="K52" s="418"/>
      <c r="L52" s="418"/>
      <c r="M52" s="418"/>
      <c r="N52" s="418"/>
      <c r="O52" s="418"/>
      <c r="P52" s="418"/>
      <c r="Q52" s="418"/>
    </row>
    <row r="53" spans="2:17" ht="16.5" thickBot="1" x14ac:dyDescent="0.35">
      <c r="B53" s="95" t="s">
        <v>338</v>
      </c>
      <c r="C53" s="419">
        <f>SUM(F53:Q53)</f>
        <v>8036537811.4314213</v>
      </c>
      <c r="D53" s="397"/>
      <c r="E53" s="417"/>
      <c r="F53" s="420">
        <v>527330995.82971001</v>
      </c>
      <c r="G53" s="420">
        <v>312572849.68137002</v>
      </c>
      <c r="H53" s="420">
        <v>1013765781.4571</v>
      </c>
      <c r="I53" s="420">
        <v>2924364043.6645999</v>
      </c>
      <c r="J53" s="420">
        <v>171510372.04248002</v>
      </c>
      <c r="K53" s="420">
        <v>1158507509</v>
      </c>
      <c r="L53" s="420">
        <v>279678972.93814003</v>
      </c>
      <c r="M53" s="420">
        <v>146187181.38401002</v>
      </c>
      <c r="N53" s="420">
        <v>621093446.67470992</v>
      </c>
      <c r="O53" s="420">
        <v>95859526.595880002</v>
      </c>
      <c r="P53" s="420">
        <v>110986899.64669</v>
      </c>
      <c r="Q53" s="420">
        <v>674680232.51672995</v>
      </c>
    </row>
    <row r="54" spans="2:17" x14ac:dyDescent="0.25">
      <c r="C54" s="356"/>
      <c r="D54" s="356"/>
      <c r="E54" s="356"/>
      <c r="F54" s="356"/>
      <c r="G54" s="356"/>
      <c r="H54" s="356"/>
      <c r="I54" s="356"/>
      <c r="J54" s="356"/>
      <c r="K54" s="356"/>
      <c r="L54" s="356"/>
      <c r="M54" s="356"/>
      <c r="N54" s="356"/>
      <c r="O54" s="356"/>
      <c r="P54" s="356"/>
      <c r="Q54" s="356"/>
    </row>
    <row r="55" spans="2:17" ht="24" customHeight="1" x14ac:dyDescent="0.25">
      <c r="C55" s="191"/>
      <c r="D55" s="191"/>
      <c r="E55" s="191"/>
      <c r="F55" s="191"/>
      <c r="G55" s="191"/>
      <c r="H55" s="191"/>
      <c r="I55" s="191"/>
      <c r="J55" s="191"/>
      <c r="K55" s="191"/>
      <c r="L55" s="191"/>
      <c r="M55" s="191"/>
      <c r="N55" s="191"/>
      <c r="O55" s="191"/>
      <c r="P55" s="191"/>
      <c r="Q55" s="191"/>
    </row>
    <row r="56" spans="2:17" ht="2.25" customHeight="1" x14ac:dyDescent="0.25"/>
  </sheetData>
  <mergeCells count="1">
    <mergeCell ref="F8:Q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A40C53BD0F2974CA2272FD1CDAFAD81" ma:contentTypeVersion="17" ma:contentTypeDescription="Crear nuevo documento." ma:contentTypeScope="" ma:versionID="9ce06a28bf6978a2a941c48c1e9b3c24">
  <xsd:schema xmlns:xsd="http://www.w3.org/2001/XMLSchema" xmlns:xs="http://www.w3.org/2001/XMLSchema" xmlns:p="http://schemas.microsoft.com/office/2006/metadata/properties" xmlns:ns3="d7dafdc4-f02c-4f12-8e69-c7a072491c1d" xmlns:ns4="8dcc17c7-e210-42bb-95fa-f263bd6e7b34" targetNamespace="http://schemas.microsoft.com/office/2006/metadata/properties" ma:root="true" ma:fieldsID="b38edabdf59ec20009c958e13f215a6d" ns3:_="" ns4:_="">
    <xsd:import namespace="d7dafdc4-f02c-4f12-8e69-c7a072491c1d"/>
    <xsd:import namespace="8dcc17c7-e210-42bb-95fa-f263bd6e7b3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dafdc4-f02c-4f12-8e69-c7a072491c1d"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cc17c7-e210-42bb-95fa-f263bd6e7b3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dcc17c7-e210-42bb-95fa-f263bd6e7b34" xsi:nil="true"/>
  </documentManagement>
</p:properties>
</file>

<file path=customXml/itemProps1.xml><?xml version="1.0" encoding="utf-8"?>
<ds:datastoreItem xmlns:ds="http://schemas.openxmlformats.org/officeDocument/2006/customXml" ds:itemID="{338E4544-B1C8-46B3-89FA-EBDED95E5190}">
  <ds:schemaRefs>
    <ds:schemaRef ds:uri="http://schemas.microsoft.com/sharepoint/v3/contenttype/forms"/>
  </ds:schemaRefs>
</ds:datastoreItem>
</file>

<file path=customXml/itemProps2.xml><?xml version="1.0" encoding="utf-8"?>
<ds:datastoreItem xmlns:ds="http://schemas.openxmlformats.org/officeDocument/2006/customXml" ds:itemID="{57E895BD-EC13-491C-B5C6-577C9EC868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dafdc4-f02c-4f12-8e69-c7a072491c1d"/>
    <ds:schemaRef ds:uri="8dcc17c7-e210-42bb-95fa-f263bd6e7b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9FBD4C-F771-4DDF-B483-46D4976DA7E0}">
  <ds:schemaRefs>
    <ds:schemaRef ds:uri="http://purl.org/dc/dcmitype/"/>
    <ds:schemaRef ds:uri="d7dafdc4-f02c-4f12-8e69-c7a072491c1d"/>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8dcc17c7-e210-42bb-95fa-f263bd6e7b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Gráficos</vt:lpstr>
      <vt:lpstr>1. Ramos Totales</vt:lpstr>
      <vt:lpstr>2. Vida</vt:lpstr>
      <vt:lpstr>2.1 Vida Individual</vt:lpstr>
      <vt:lpstr>2.2 Vida Colectivo</vt:lpstr>
      <vt:lpstr>3. Accidentes y Enfermedades</vt:lpstr>
      <vt:lpstr>3.1 Salud y Hospitalización</vt:lpstr>
      <vt:lpstr>3.2 Accidentes Personales</vt:lpstr>
      <vt:lpstr>4. Incendio y Líneas Aliadas</vt:lpstr>
      <vt:lpstr>5. Vehículos Automotores</vt:lpstr>
      <vt:lpstr>6. Otros Seguros Generales</vt:lpstr>
      <vt:lpstr>6.1 Transporte</vt:lpstr>
      <vt:lpstr>6.2 Responsabilidad Civil</vt:lpstr>
      <vt:lpstr>6.3 Equipo Electrónico</vt:lpstr>
      <vt:lpstr>7. Fianzas</vt:lpstr>
      <vt:lpstr>8. Primas y Siniestros Totales</vt:lpstr>
      <vt:lpstr>9. Primas y Siniestros NO VIDA</vt:lpstr>
      <vt:lpstr>1. Utilidad</vt:lpstr>
      <vt:lpstr>2. Ingresos Financieros</vt:lpstr>
      <vt:lpstr>3. Reserva Técnica y Matemática</vt:lpstr>
      <vt:lpstr>4. Primas Por Cobrar</vt:lpstr>
      <vt:lpstr>5. Activos Totales</vt:lpstr>
      <vt:lpstr>6. Patrimonio</vt:lpstr>
      <vt:lpstr>7. Primas Cedidas </vt:lpstr>
      <vt:lpstr>7.1 Primas Retenidas</vt:lpstr>
      <vt:lpstr>8. Gastos Adq Negocio</vt:lpstr>
      <vt:lpstr>8.1 Gastos de Intermediación</vt:lpstr>
      <vt:lpstr>9. Siniestralidad Retenida</vt:lpstr>
      <vt:lpstr>10. Índice Solidez</vt:lpstr>
      <vt:lpstr>11. Índice Eficiencia Adm</vt:lpstr>
      <vt:lpstr>12. ROE</vt:lpstr>
      <vt:lpstr>13. ROA</vt:lpstr>
      <vt:lpstr>14.Índice Combinado</vt:lpstr>
      <vt:lpstr>Ranking del Sistema</vt:lpstr>
      <vt:lpstr>Índice Combinado Diciembre 2024</vt:lpstr>
      <vt:lpstr>Índice Combinado Dic. 2025  </vt:lpstr>
      <vt:lpstr>Primas Diciembre 2025</vt:lpstr>
      <vt:lpstr>Siniestros Diciembre  2025</vt:lpstr>
      <vt:lpstr>descarga app P&amp;S</vt:lpstr>
      <vt:lpstr>Balance Diciembre 2025</vt:lpstr>
      <vt:lpstr>descarga BG</vt:lpstr>
      <vt:lpstr>ER Diciembre 2025</vt:lpstr>
      <vt:lpstr>descarga ER</vt:lpstr>
      <vt:lpstr>Primas Diciembre 2024</vt:lpstr>
      <vt:lpstr>Siniestros Diciembre 2024</vt:lpstr>
      <vt:lpstr>ER diciembre 2024</vt:lpstr>
      <vt:lpstr>Balance diciembre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trivera</dc:creator>
  <cp:keywords>Tesla Rivera</cp:keywords>
  <dc:description/>
  <cp:lastModifiedBy>Lesly Araujo</cp:lastModifiedBy>
  <cp:revision/>
  <cp:lastPrinted>2024-06-26T22:45:33Z</cp:lastPrinted>
  <dcterms:created xsi:type="dcterms:W3CDTF">2015-02-18T16:28:22Z</dcterms:created>
  <dcterms:modified xsi:type="dcterms:W3CDTF">2026-02-24T03:30:52Z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0x010100EA40C53BD0F2974CA2272FD1CDAFAD81</vt:lpwstr>
  </property>
</Properties>
</file>